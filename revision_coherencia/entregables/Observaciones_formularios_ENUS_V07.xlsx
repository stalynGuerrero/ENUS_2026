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servaciones" sheetId="1" r:id="rId1"/>
    <sheet name="Resumen" sheetId="2" r:id="rId2"/>
    <sheet name="Guía" sheetId="3" r:id="rId3"/>
  </sheets>
  <definedNames>
    <definedName name="_xlnm._FilterDatabase" localSheetId="0" hidden="1">Observaciones!$A$1:$N$27</definedName>
    <definedName name="_xlnm.Print_Titles" localSheetId="0">Observaciones!$1:$1</definedName>
  </definedNames>
  <calcPr calcId="124519" fullCalcOnLoad="1"/>
</workbook>
</file>

<file path=xl/sharedStrings.xml><?xml version="1.0" encoding="utf-8"?>
<sst xmlns="http://schemas.openxmlformats.org/spreadsheetml/2006/main" count="268" uniqueCount="190">
  <si>
    <t>ID</t>
  </si>
  <si>
    <t>Origen</t>
  </si>
  <si>
    <t>Ubicación / módulo</t>
  </si>
  <si>
    <t>Observación</t>
  </si>
  <si>
    <t>Impacto</t>
  </si>
  <si>
    <t>Indicadores afectados</t>
  </si>
  <si>
    <t>Acción propuesta</t>
  </si>
  <si>
    <t>Prioridad</t>
  </si>
  <si>
    <t>Estado</t>
  </si>
  <si>
    <t>Fuente y ubicación</t>
  </si>
  <si>
    <t>Responsable</t>
  </si>
  <si>
    <t>Fecha compromiso</t>
  </si>
  <si>
    <t>Respuesta del equipo</t>
  </si>
  <si>
    <t>Evidencia de cierre</t>
  </si>
  <si>
    <t>Matriz V07: hallazgo documentado</t>
  </si>
  <si>
    <t>EPS - Módulo 3 (M3EPS_P10) · IPS - Módulo 1 (M1IPS_P10)</t>
  </si>
  <si>
    <t>El enunciado de P10 ya no pregunta por los minutos de desplazamiento: pregunta «¿Cuánto tiempo transcurrió desde la solicitud del servicio hasta…?» (DD-HH:MM), duplicando P03. En EPS - Módulo 3 además tiene errores de digitación («¿Cuántos tiempo…», «en qué»). P10a sigue preguntando por el transporte «para ese desplazamiento».</t>
  </si>
  <si>
    <t>El tiempo de desplazamiento no es medible con V07.</t>
  </si>
  <si>
    <t>IND-ACC-11 (suspendido)</t>
  </si>
  <si>
    <t>Restituir: «¿Cuántos minutos le tomó el desplazamiento desde su lugar de residencia hasta el lugar donde fue a tomar los servicios?» (respuesta en minutos), como figura en el Plan de Análisis.</t>
  </si>
  <si>
    <t>Alta</t>
  </si>
  <si>
    <t>Pendiente</t>
  </si>
  <si>
    <t>Matriz_de_indicadores_-_Fichas_tecnicas_ENUS_V07_30092026.xlsx | Hallazgos del instrumento | fila 4</t>
  </si>
  <si>
    <t>Sección B — T15 a T18 en EPS - Módulo 1</t>
  </si>
  <si>
    <t>El módulo de no usuarios (T06 = "No") incluye preguntas de experiencia, facilidad de acceso y recomendación del sitio de atención, que no aplican a quien no usó servicios.</t>
  </si>
  <si>
    <t>Datos no interpretables; riesgo de sesgar los consolidados si se incluyen.</t>
  </si>
  <si>
    <t>IND-SAT-02; IND-SAT-04; IND-SAT-05</t>
  </si>
  <si>
    <t>Retirar T15, T16 y T18 de EPS - Módulo 1 (conservar T17, recomendación de la EPS). Mientras tanto, excluirlas del cálculo.</t>
  </si>
  <si>
    <t>Matriz_de_indicadores_-_Fichas_tecnicas_ENUS_V07_30092026.xlsx | Hallazgos del instrumento | fila 5</t>
  </si>
  <si>
    <t>Sección B — T15 a T18 (todos los módulos)</t>
  </si>
  <si>
    <t>El mismo código T no identifica el mismo constructo: en IPS - Módulo 2, T17 = sitio de atención y T18 = prestador (no se pregunta por la EPS); en IPS - Módulo 4, T17 = prestador (no hay T18 ni NPS de EPS); en Gestor - Módulo 1, T16 = NPS del gestor (rotulado «Acceso general») y T17 = EPS, sin pregunta de facilidad de acceso.</t>
  </si>
  <si>
    <t>Cálculo automatizado por código T produciría mezclas de constructos. La matriz asigna la variable por módulo en cada ficha.</t>
  </si>
  <si>
    <t>IND-SAT-01; IND-SAT-02; IND-SAT-03; IND-SAT-05</t>
  </si>
  <si>
    <t>Homologar: T15 experiencia · T16 facilidad de acceso · T17 NPS EPS · T18 NPS prestador/sitio en los 8 módulos; el NPS del gestor como pregunta propia de la Sección C. Si no se homologa, asignar códigos distintos a constructos distintos.</t>
  </si>
  <si>
    <t>Matriz_de_indicadores_-_Fichas_tecnicas_ENUS_V07_30092026.xlsx | Hallazgos del instrumento | fila 6</t>
  </si>
  <si>
    <t>Plan de Análisis e Índice del libro ENUS</t>
  </si>
  <si>
    <t>Están desactualizados frente a los formularios: el Plan lista preguntas de cierre como P17–P20 de cada módulo (hoy T15–T18 en Sección B), incluye M2EPS_P21, P23, P26 y P27 que no están en el formulario, y no refleja la renumeración de Gestor - Módulo 1 (nueva M1GES_P12). El Índice indica «Versión 04» y conteos de Sección C que no coinciden (p. ej., EPS - Módulo 3: 22).</t>
  </si>
  <si>
    <t>La matriz toma como fuente única los formularios de cada módulo.</t>
  </si>
  <si>
    <t>Todos (trazabilidad)</t>
  </si>
  <si>
    <t>Regenerar el Plan de Análisis y el Índice desde los formularios V07 y registrar los cambios V04 → V07 en el Control de Cambios del instrumento.</t>
  </si>
  <si>
    <t>Matriz_de_indicadores_-_Fichas_tecnicas_ENUS_V07_30092026.xlsx | Hallazgos del instrumento | fila 7</t>
  </si>
  <si>
    <t>Gestor - Módulo 1 — saltos (M1GES_P07, P09, P10)</t>
  </si>
  <si>
    <t>Por la inserción de la nueva M1GES_P12 (tiempo de entrega a domicilio), los saltos «Pase a M1GES_P12» quedaron desplazados: M1GES_P07 = "Sí" lleva al tiempo de domicilio en lugar de saltar la ruta de pendientes; P09 = "No" y P10 = "No" deberían llevar a P13.</t>
  </si>
  <si>
    <t>Poblaciones incorrectas para gasto de bolsillo, domicilio y tiempo de espera en el punto de dispensación.</t>
  </si>
  <si>
    <t>IND-GAB-02; IND-MED-05; IND-MED-06</t>
  </si>
  <si>
    <t>Corregir: P07 = "Sí" → P14; P09 = "No" → P13; P10 = "No" → P13; P11 = "Sí" → P12; P11 = "No" → P13. Aplicar filtros en el procesamiento mientras tanto.</t>
  </si>
  <si>
    <t>Matriz_de_indicadores_-_Fichas_tecnicas_ENUS_V07_30092026.xlsx | Hallazgos del instrumento | fila 8</t>
  </si>
  <si>
    <t>Gestor - Módulo 1 — M1GES_P08</t>
  </si>
  <si>
    <t>El tiempo de espera en el punto de dispensación solo se pregunta a quienes NO recibieron todos los medicamentos (salto desde P07).</t>
  </si>
  <si>
    <t>Sesgo de selección: no representa la experiencia de todos los usuarios del punto.</t>
  </si>
  <si>
    <t>IND-MED-05</t>
  </si>
  <si>
    <t>Preguntar M1GES_P08 a todos los usuarios que asistieron al punto de dispensación (ubicarla antes de P07).</t>
  </si>
  <si>
    <t>Media</t>
  </si>
  <si>
    <t>Matriz_de_indicadores_-_Fichas_tecnicas_ENUS_V07_30092026.xlsx | Hallazgos del instrumento | fila 9</t>
  </si>
  <si>
    <t>Gestor - Módulo 1 — código «M1GES-P12» y nota de M1GES_P11</t>
  </si>
  <si>
    <t>El código usa guion en lugar de guion bajo. La nota de M1GES_P11 («indique cuántos días se tardó el domicilio») duplica la nueva M1GES_P12.</t>
  </si>
  <si>
    <t>Riesgo de error en la carga de la base de datos y doble registro del tiempo.</t>
  </si>
  <si>
    <t>IND-MED-06</t>
  </si>
  <si>
    <t>Normalizar a M1GES_P12 y retirar la nota de M1GES_P11.</t>
  </si>
  <si>
    <t>Matriz_de_indicadores_-_Fichas_tecnicas_ENUS_V07_30092026.xlsx | Hallazgos del instrumento | fila 10</t>
  </si>
  <si>
    <t>EPS - Módulo 2 — Sección B</t>
  </si>
  <si>
    <t>T13 y T14 aparecen duplicadas (filas 75/77 y 108/110) y el orden de la Sección B difiere del resto de módulos (T07 antes de T06; T08 después de T09).</t>
  </si>
  <si>
    <t>Doble registro de la misma variable por encuestado.</t>
  </si>
  <si>
    <t>IND-INF-09; IND-EXI-01</t>
  </si>
  <si>
    <t>Eliminar la primera aparición de T13/T14 y ordenar la Sección B igual que en los demás módulos.</t>
  </si>
  <si>
    <t>Matriz_de_indicadores_-_Fichas_tecnicas_ENUS_V07_30092026.xlsx | Hallazgos del instrumento | fila 11</t>
  </si>
  <si>
    <t>EPS - Módulo 2 — T09</t>
  </si>
  <si>
    <t>La lista de servicios tiene 17 opciones con códigos repetidos (dos opciones «5» y dos «6») y difiere de la lista de 10 opciones de los otros módulos.</t>
  </si>
  <si>
    <t>Codificación ambigua; T09 no es comparable entre módulos.</t>
  </si>
  <si>
    <t>IND-ACC-01 (control de calidad)</t>
  </si>
  <si>
    <t>Recodificar con numeración única y homologar con los otros módulos (o documentar la lista ampliada como propia de EPS - Módulo 2).</t>
  </si>
  <si>
    <t>Matriz_de_indicadores_-_Fichas_tecnicas_ENUS_V07_30092026.xlsx | Hallazgos del instrumento | fila 12</t>
  </si>
  <si>
    <t>Formatos de tiempo (varios módulos)</t>
  </si>
  <si>
    <t>La misma pregunta compartida usa formatos distintos: M3EPS_P03 (DD-HH:MM) frente a M1IPS_P03 (días con decimales); M2IPS_P12b (DD-HH:MM) frente a M3IPS_P10 (horas con decimales). El Control de Cambios V04 describía «número de horas/días», pero los formularios V07 usan DD-HH:MM.</t>
  </si>
  <si>
    <t>Obliga a conversión previa (t_d, t_h, t_m) y eleva el riesgo de errores de unidad.</t>
  </si>
  <si>
    <t>IND-ACC-03; IND-ACC-04; IND-ACC-05; IND-ACC-13; IND-ACC-14; IND-ACC-15; IND-MED-04; IND-MED-05; IND-MED-06</t>
  </si>
  <si>
    <t>Unificar el formato de todas las preguntas de tiempo (recomendado DD-HH:MM con validación de rangos) y documentarlo en el diccionario de datos.</t>
  </si>
  <si>
    <t>Matriz_de_indicadores_-_Fichas_tecnicas_ENUS_V07_30092026.xlsx | Hallazgos del instrumento | fila 13</t>
  </si>
  <si>
    <t>Sección B — T05</t>
  </si>
  <si>
    <t>La escala del formulario tiene 5 niveles (Deficiente / Malo / Regular / Buena / Excelente), mientras el Control de Cambios V04 registra 6 niveles (Excelente / Muy buena / Buena / Regular / Mala / Muy mala). Hay mezcla de género gramatical (Malo / Buena).</t>
  </si>
  <si>
    <t>Ruptura de serie y ambigüedad sobre la escala oficial.</t>
  </si>
  <si>
    <t>IND-PES-01</t>
  </si>
  <si>
    <t>Confirmar la escala oficial. Si se mantiene la de 5 niveles, homogeneizar la concordancia (Deficiente / Mala / Regular / Buena / Excelente).</t>
  </si>
  <si>
    <t>Matriz_de_indicadores_-_Fichas_tecnicas_ENUS_V07_30092026.xlsx | Hallazgos del instrumento | fila 14</t>
  </si>
  <si>
    <t>IPS - Módulo 2 — categoría de triage</t>
  </si>
  <si>
    <t>No se registra la categoría de triage asignada al usuario.</t>
  </si>
  <si>
    <t>No es posible contrastar el tiempo de espera post-triage contra el estándar por categoría (Res. 5596 de 2015).</t>
  </si>
  <si>
    <t>IND-ACC-04</t>
  </si>
  <si>
    <t>Agregar una pregunta «¿Qué clasificación de triage le asignaron?» (I a V / No sabe) o capturarla del registro de la IPS.</t>
  </si>
  <si>
    <t>Matriz_de_indicadores_-_Fichas_tecnicas_ENUS_V07_30092026.xlsx | Hallazgos del instrumento | fila 15</t>
  </si>
  <si>
    <t>EPS - Módulo 1 — M1EPS_P06 a P09</t>
  </si>
  <si>
    <t>Las preguntas sobre valoración, intervención, orientación y remisión por el EBS no tienen salto desde M1EPS_P05 (caracterización del hogar).</t>
  </si>
  <si>
    <t>Encuestados sin visita del EBS pueden responder «Sí»; denominador incierto.</t>
  </si>
  <si>
    <t>IND-EBS-02; IND-EBS-03; IND-EBS-04; IND-EBS-05</t>
  </si>
  <si>
    <t>Agregar salto: M1EPS_P05 = "No" → M1EPS_P10.</t>
  </si>
  <si>
    <t>Matriz_de_indicadores_-_Fichas_tecnicas_ENUS_V07_30092026.xlsx | Hallazgos del instrumento | fila 16</t>
  </si>
  <si>
    <t>EPS - Módulo 1 — alcance de la medición del EBS</t>
  </si>
  <si>
    <t>La cobertura de los Equipos Básicos de Salud solo se indaga en no usuarios.</t>
  </si>
  <si>
    <t>No se puede estimar la cobertura poblacional de los EBS.</t>
  </si>
  <si>
    <t>IND-EBS-01</t>
  </si>
  <si>
    <t>Incluir M1EPS_P05 también en EPS - Módulo 2 (afiliados en general).</t>
  </si>
  <si>
    <t>Baja</t>
  </si>
  <si>
    <t>Matriz_de_indicadores_-_Fichas_tecnicas_ENUS_V07_30092026.xlsx | Hallazgos del instrumento | fila 17</t>
  </si>
  <si>
    <t>EPS - Módulo 2 — bloque OCDE</t>
  </si>
  <si>
    <t>El formulario conserva 4 de los 8 ítems OCDE registrados en el Plan de Análisis (faltan M2EPS_P21, P23, P26 y P27) y la numeración queda discontinua.</t>
  </si>
  <si>
    <t>El índice de atención centrada en la persona es una versión abreviada, no comparable con la batería OCDE completa.</t>
  </si>
  <si>
    <t>IND-PCC-01</t>
  </si>
  <si>
    <t>Decidir si se restituyen los 4 ítems; si no, renumerar y documentar la versión abreviada.</t>
  </si>
  <si>
    <t>Matriz_de_indicadores_-_Fichas_tecnicas_ENUS_V07_30092026.xlsx | Hallazgos del instrumento | fila 18</t>
  </si>
  <si>
    <t>EPS - Módulo 2 — M2EPS_P04 a P11</t>
  </si>
  <si>
    <t>Ambigüedad entre «Nunca» y «No necesitó solicitarla / ejercerla».</t>
  </si>
  <si>
    <t>Denominador incierto para el ejercicio efectivo de derechos.</t>
  </si>
  <si>
    <t>IND-DER-01; IND-EXI-02</t>
  </si>
  <si>
    <t>Precisar en la instrucción: «Nunca = lo necesitó pero no lo ejerció».</t>
  </si>
  <si>
    <t>Matriz_de_indicadores_-_Fichas_tecnicas_ENUS_V07_30092026.xlsx | Hallazgos del instrumento | fila 19</t>
  </si>
  <si>
    <t>EPS - Módulo 2 — M2EPS_P18, P19 y P28</t>
  </si>
  <si>
    <t>Los ítems de satisfacción refieren a «la EPS/IPS» en conjunto.</t>
  </si>
  <si>
    <t>No permiten atribuir el resultado a un solo actor.</t>
  </si>
  <si>
    <t>IND-DER-02</t>
  </si>
  <si>
    <t>Separar el actor evaluado o precisar que se refiere a la experiencia global con el sistema.</t>
  </si>
  <si>
    <t>Matriz_de_indicadores_-_Fichas_tecnicas_ENUS_V07_30092026.xlsx | Hallazgos del instrumento | fila 20</t>
  </si>
  <si>
    <t>IPS - Módulo 1 — M1IPS_P15</t>
  </si>
  <si>
    <t>Ambas respuestas pasan a P16: no existe la pregunta de magnitud del gasto (P15a) a nivel IPS, a diferencia de EPS - Módulo 3.</t>
  </si>
  <si>
    <t>La magnitud del gasto de bolsillo solo se estima a nivel EPS.</t>
  </si>
  <si>
    <t>IND-GAB-04</t>
  </si>
  <si>
    <t>Replicar M3EPS_P15a en IPS - Módulo 1 (pendiente también registrado en la hoja Hallazgos del instrumento).</t>
  </si>
  <si>
    <t>Matriz_de_indicadores_-_Fichas_tecnicas_ENUS_V07_30092026.xlsx | Hallazgos del instrumento | fila 21</t>
  </si>
  <si>
    <t>IPS - Módulo 2 (M2IPS_P03) frente a IPS - Módulo 3 (M3IPS_P02)</t>
  </si>
  <si>
    <t>El Plan de Análisis las declara compartidas, pero tienen opciones distintas (público/privado/propia de la EPS frente a nivel de complejidad).</t>
  </si>
  <si>
    <t>La desagregación «tipo de institución» no es comparable entre urgencias e internación.</t>
  </si>
  <si>
    <t>IND-ACC-04; IND-ACC-12; IND-ACC-15; IND-SAT-02</t>
  </si>
  <si>
    <t>Homologar las opciones o separar dos variables (naturaleza jurídica y nivel de complejidad).</t>
  </si>
  <si>
    <t>Matriz_de_indicadores_-_Fichas_tecnicas_ENUS_V07_30092026.xlsx | Hallazgos del instrumento | fila 22</t>
  </si>
  <si>
    <t>IPS - Módulo 4 — M4IPS_P05</t>
  </si>
  <si>
    <t>La pregunta fusionada incluye a la vez «Ninguna vez», «No recuerda» y «No aplica».</t>
  </si>
  <si>
    <t>«No aplica» no es claro para quien tuvo una cirugía agendada.</t>
  </si>
  <si>
    <t>IND-ACC-09</t>
  </si>
  <si>
    <t>Retirar «No aplica» o definir cuándo aplica.</t>
  </si>
  <si>
    <t>Matriz_de_indicadores_-_Fichas_tecnicas_ENUS_V07_30092026.xlsx | Hallazgos del instrumento | fila 23</t>
  </si>
  <si>
    <t>EPS - Módulo 1 — M1EPS_P02</t>
  </si>
  <si>
    <t>No se indica si es respuesta única o múltiple y no existe la opción «No acudió a ningún lugar».</t>
  </si>
  <si>
    <t>Respuestas forzadas en no usuarios que no buscaron atención.</t>
  </si>
  <si>
    <t>IND-NUS-05</t>
  </si>
  <si>
    <t>Agregar la opción «No acudió a ningún lugar / no lo necesitó» y precisar el tipo de respuesta.</t>
  </si>
  <si>
    <t>Matriz_de_indicadores_-_Fichas_tecnicas_ENUS_V07_30092026.xlsx | Hallazgos del instrumento | fila 24</t>
  </si>
  <si>
    <t>Sección B — T08</t>
  </si>
  <si>
    <t>No se indica si es respuesta única o múltiple.</t>
  </si>
  <si>
    <t>Regla de conteo incierta.</t>
  </si>
  <si>
    <t>IND-ACC-16</t>
  </si>
  <si>
    <t>Precisar «seleccione la principal» o habilitar respuesta múltiple.</t>
  </si>
  <si>
    <t>Matriz_de_indicadores_-_Fichas_tecnicas_ENUS_V07_30092026.xlsx | Hallazgos del instrumento | fila 25</t>
  </si>
  <si>
    <t>Matriz de indicadores (versión anterior)</t>
  </si>
  <si>
    <t>La hoja «Presentación» anunciaba una hoja «Catálogo de preguntas» que no existía en el libro.</t>
  </si>
  <si>
    <t>Los códigos de pregunta no podían resolverse dentro de la matriz.</t>
  </si>
  <si>
    <t>Todos</t>
  </si>
  <si>
    <t>Incorporada en esta versión, generada directamente desde los formularios V07.</t>
  </si>
  <si>
    <t>No aplica</t>
  </si>
  <si>
    <t>Resuelto en fuente</t>
  </si>
  <si>
    <t>Matriz_de_indicadores_-_Fichas_tecnicas_ENUS_V07_30092026.xlsx | Hallazgos del instrumento | fila 26</t>
  </si>
  <si>
    <t>Contraste con documento técnico</t>
  </si>
  <si>
    <t>Periodo del cuestionario y marco</t>
  </si>
  <si>
    <t>Las preguntas V07 usan el último año; el diseño técnico mantiene atenciones registradas en los últimos seis meses.</t>
  </si>
  <si>
    <t>Los universos y periodos pueden no coincidir; afecta interpretación y calibración.</t>
  </si>
  <si>
    <t>Transversales y por módulo</t>
  </si>
  <si>
    <t>Definir y documentar la relación entre ventana de elegibilidad, periodo de las preguntas y universo anual. No cambiar automáticamente todos los periodos.</t>
  </si>
  <si>
    <t>Requiere decisión</t>
  </si>
  <si>
    <t>Formulario V07 (Índice y módulos) / capítulos 06, 13 y 18</t>
  </si>
  <si>
    <t>Perfil de aplicación y asignación de módulos</t>
  </si>
  <si>
    <t>El Índice del formulario describe preselección por perfil, incluido no usuario; el documento técnico plantea asignación aleatoria dentro del actor.</t>
  </si>
  <si>
    <t>Puede asignarse contenido no aplicable; las probabilidades y los universos de los pesos dependen de la decisión.</t>
  </si>
  <si>
    <t>Todos los modelos de módulo</t>
  </si>
  <si>
    <t>Resolver la elegibilidad por módulo y el universo de EPS 1. Recalcular probabilidades y revisar los totales de calibración si cambia el conjunto asignable.</t>
  </si>
  <si>
    <t>Identificación de versión y documentación del prototipo</t>
  </si>
  <si>
    <t>Los nombres de los archivos son V07, algunos encabezados internos dicen V04 y las capturas de ClicSalud muestran una estructura anterior.</t>
  </si>
  <si>
    <t>Dificulta identificar la especificación que debe implementar y auditar el equipo.</t>
  </si>
  <si>
    <t>Unificar identificadores de versión y fechas. Actualizar las capturas después de implementar los textos y rutas aprobados.</t>
  </si>
  <si>
    <t>Control</t>
  </si>
  <si>
    <t>Cantidad</t>
  </si>
  <si>
    <t>Total de observaciones</t>
  </si>
  <si>
    <t>Objeto</t>
  </si>
  <si>
    <t>Revisión punto por punto de los formularios y matriz V07. Fecha: 5 de octubre de 2026.</t>
  </si>
  <si>
    <t>Alcance</t>
  </si>
  <si>
    <t>23 hallazgos de la matriz fuente y 3 observaciones adicionales por contraste con el documento técnico.</t>
  </si>
  <si>
    <t>Uso</t>
  </si>
  <si>
    <t>Filtre por prioridad, módulo o estado. Complete responsable, fecha, respuesta y evidencia. Los archivos V1 no se modificaron.</t>
  </si>
  <si>
    <t>1–23: prioridad documentada en la matriz; 24–26: prioridad propuesta en la revisión. El punto 23 está resuelto en la fuente.</t>
  </si>
  <si>
    <t>Cierre</t>
  </si>
  <si>
    <t>La acción propuesta requiere revisión del equipo; no significa que el formulario ya esté corregido. Registre evidencia antes de marcar Cerrado.</t>
  </si>
  <si>
    <t>Fuentes</t>
  </si>
  <si>
    <t>Matriz_de_indicadores_-_Fichas_tecnicas_ENUS_V07_30092026.xlsx; ENUS_Formato_por_Modulos_CartaDerechos_V07 17092026.xlsx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</si>
</sst>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27"/>
  <sheetViews>
    <sheetView showGridLines="0"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6.7109375" customWidth="1"/>
    <col min="2" max="3" width="30.7109375" customWidth="1"/>
    <col min="4" max="5" width="55.7109375" customWidth="1"/>
    <col min="6" max="6" width="30.7109375" customWidth="1"/>
    <col min="7" max="7" width="60.7109375" customWidth="1"/>
    <col min="8" max="9" width="22.7109375" customWidth="1"/>
    <col min="10" max="10" width="45.7109375" customWidth="1"/>
    <col min="11" max="14" width="2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15" customHeight="1">
      <c r="A2" s="2">
        <v>1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/>
      <c r="L2" s="2"/>
      <c r="M2" s="2"/>
      <c r="N2" s="2"/>
    </row>
    <row r="3" spans="1:14" ht="115" customHeight="1">
      <c r="A3" s="2">
        <v>2</v>
      </c>
      <c r="B3" s="2" t="s">
        <v>14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20</v>
      </c>
      <c r="I3" s="2" t="s">
        <v>21</v>
      </c>
      <c r="J3" s="2" t="s">
        <v>28</v>
      </c>
      <c r="K3" s="2"/>
      <c r="L3" s="2"/>
      <c r="M3" s="2"/>
      <c r="N3" s="2"/>
    </row>
    <row r="4" spans="1:14" ht="115" customHeight="1">
      <c r="A4" s="2">
        <v>3</v>
      </c>
      <c r="B4" s="2" t="s">
        <v>14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33</v>
      </c>
      <c r="H4" s="2" t="s">
        <v>20</v>
      </c>
      <c r="I4" s="2" t="s">
        <v>21</v>
      </c>
      <c r="J4" s="2" t="s">
        <v>34</v>
      </c>
      <c r="K4" s="2"/>
      <c r="L4" s="2"/>
      <c r="M4" s="2"/>
      <c r="N4" s="2"/>
    </row>
    <row r="5" spans="1:14" ht="115" customHeight="1">
      <c r="A5" s="2">
        <v>4</v>
      </c>
      <c r="B5" s="2" t="s">
        <v>14</v>
      </c>
      <c r="C5" s="2" t="s">
        <v>35</v>
      </c>
      <c r="D5" s="2" t="s">
        <v>36</v>
      </c>
      <c r="E5" s="2" t="s">
        <v>37</v>
      </c>
      <c r="F5" s="2" t="s">
        <v>38</v>
      </c>
      <c r="G5" s="2" t="s">
        <v>39</v>
      </c>
      <c r="H5" s="2" t="s">
        <v>20</v>
      </c>
      <c r="I5" s="2" t="s">
        <v>21</v>
      </c>
      <c r="J5" s="2" t="s">
        <v>40</v>
      </c>
      <c r="K5" s="2"/>
      <c r="L5" s="2"/>
      <c r="M5" s="2"/>
      <c r="N5" s="2"/>
    </row>
    <row r="6" spans="1:14" ht="115" customHeight="1">
      <c r="A6" s="2">
        <v>5</v>
      </c>
      <c r="B6" s="2" t="s">
        <v>14</v>
      </c>
      <c r="C6" s="2" t="s">
        <v>41</v>
      </c>
      <c r="D6" s="2" t="s">
        <v>42</v>
      </c>
      <c r="E6" s="2" t="s">
        <v>43</v>
      </c>
      <c r="F6" s="2" t="s">
        <v>44</v>
      </c>
      <c r="G6" s="2" t="s">
        <v>45</v>
      </c>
      <c r="H6" s="2" t="s">
        <v>20</v>
      </c>
      <c r="I6" s="2" t="s">
        <v>21</v>
      </c>
      <c r="J6" s="2" t="s">
        <v>46</v>
      </c>
      <c r="K6" s="2"/>
      <c r="L6" s="2"/>
      <c r="M6" s="2"/>
      <c r="N6" s="2"/>
    </row>
    <row r="7" spans="1:14" ht="115" customHeight="1">
      <c r="A7" s="2">
        <v>6</v>
      </c>
      <c r="B7" s="2" t="s">
        <v>14</v>
      </c>
      <c r="C7" s="2" t="s">
        <v>47</v>
      </c>
      <c r="D7" s="2" t="s">
        <v>48</v>
      </c>
      <c r="E7" s="2" t="s">
        <v>49</v>
      </c>
      <c r="F7" s="2" t="s">
        <v>50</v>
      </c>
      <c r="G7" s="2" t="s">
        <v>51</v>
      </c>
      <c r="H7" s="2" t="s">
        <v>52</v>
      </c>
      <c r="I7" s="2" t="s">
        <v>21</v>
      </c>
      <c r="J7" s="2" t="s">
        <v>53</v>
      </c>
      <c r="K7" s="2"/>
      <c r="L7" s="2"/>
      <c r="M7" s="2"/>
      <c r="N7" s="2"/>
    </row>
    <row r="8" spans="1:14" ht="115" customHeight="1">
      <c r="A8" s="2">
        <v>7</v>
      </c>
      <c r="B8" s="2" t="s">
        <v>14</v>
      </c>
      <c r="C8" s="2" t="s">
        <v>54</v>
      </c>
      <c r="D8" s="2" t="s">
        <v>55</v>
      </c>
      <c r="E8" s="2" t="s">
        <v>56</v>
      </c>
      <c r="F8" s="2" t="s">
        <v>57</v>
      </c>
      <c r="G8" s="2" t="s">
        <v>58</v>
      </c>
      <c r="H8" s="2" t="s">
        <v>52</v>
      </c>
      <c r="I8" s="2" t="s">
        <v>21</v>
      </c>
      <c r="J8" s="2" t="s">
        <v>59</v>
      </c>
      <c r="K8" s="2"/>
      <c r="L8" s="2"/>
      <c r="M8" s="2"/>
      <c r="N8" s="2"/>
    </row>
    <row r="9" spans="1:14" ht="115" customHeight="1">
      <c r="A9" s="2">
        <v>8</v>
      </c>
      <c r="B9" s="2" t="s">
        <v>14</v>
      </c>
      <c r="C9" s="2" t="s">
        <v>60</v>
      </c>
      <c r="D9" s="2" t="s">
        <v>61</v>
      </c>
      <c r="E9" s="2" t="s">
        <v>62</v>
      </c>
      <c r="F9" s="2" t="s">
        <v>63</v>
      </c>
      <c r="G9" s="2" t="s">
        <v>64</v>
      </c>
      <c r="H9" s="2" t="s">
        <v>52</v>
      </c>
      <c r="I9" s="2" t="s">
        <v>21</v>
      </c>
      <c r="J9" s="2" t="s">
        <v>65</v>
      </c>
      <c r="K9" s="2"/>
      <c r="L9" s="2"/>
      <c r="M9" s="2"/>
      <c r="N9" s="2"/>
    </row>
    <row r="10" spans="1:14" ht="115" customHeight="1">
      <c r="A10" s="2">
        <v>9</v>
      </c>
      <c r="B10" s="2" t="s">
        <v>14</v>
      </c>
      <c r="C10" s="2" t="s">
        <v>66</v>
      </c>
      <c r="D10" s="2" t="s">
        <v>67</v>
      </c>
      <c r="E10" s="2" t="s">
        <v>68</v>
      </c>
      <c r="F10" s="2" t="s">
        <v>69</v>
      </c>
      <c r="G10" s="2" t="s">
        <v>70</v>
      </c>
      <c r="H10" s="2" t="s">
        <v>52</v>
      </c>
      <c r="I10" s="2" t="s">
        <v>21</v>
      </c>
      <c r="J10" s="2" t="s">
        <v>71</v>
      </c>
      <c r="K10" s="2"/>
      <c r="L10" s="2"/>
      <c r="M10" s="2"/>
      <c r="N10" s="2"/>
    </row>
    <row r="11" spans="1:14" ht="115" customHeight="1">
      <c r="A11" s="2">
        <v>10</v>
      </c>
      <c r="B11" s="2" t="s">
        <v>14</v>
      </c>
      <c r="C11" s="2" t="s">
        <v>72</v>
      </c>
      <c r="D11" s="2" t="s">
        <v>73</v>
      </c>
      <c r="E11" s="2" t="s">
        <v>74</v>
      </c>
      <c r="F11" s="2" t="s">
        <v>75</v>
      </c>
      <c r="G11" s="2" t="s">
        <v>76</v>
      </c>
      <c r="H11" s="2" t="s">
        <v>52</v>
      </c>
      <c r="I11" s="2" t="s">
        <v>21</v>
      </c>
      <c r="J11" s="2" t="s">
        <v>77</v>
      </c>
      <c r="K11" s="2"/>
      <c r="L11" s="2"/>
      <c r="M11" s="2"/>
      <c r="N11" s="2"/>
    </row>
    <row r="12" spans="1:14" ht="115" customHeight="1">
      <c r="A12" s="2">
        <v>11</v>
      </c>
      <c r="B12" s="2" t="s">
        <v>14</v>
      </c>
      <c r="C12" s="2" t="s">
        <v>78</v>
      </c>
      <c r="D12" s="2" t="s">
        <v>79</v>
      </c>
      <c r="E12" s="2" t="s">
        <v>80</v>
      </c>
      <c r="F12" s="2" t="s">
        <v>81</v>
      </c>
      <c r="G12" s="2" t="s">
        <v>82</v>
      </c>
      <c r="H12" s="2" t="s">
        <v>52</v>
      </c>
      <c r="I12" s="2" t="s">
        <v>21</v>
      </c>
      <c r="J12" s="2" t="s">
        <v>83</v>
      </c>
      <c r="K12" s="2"/>
      <c r="L12" s="2"/>
      <c r="M12" s="2"/>
      <c r="N12" s="2"/>
    </row>
    <row r="13" spans="1:14" ht="115" customHeight="1">
      <c r="A13" s="2">
        <v>12</v>
      </c>
      <c r="B13" s="2" t="s">
        <v>14</v>
      </c>
      <c r="C13" s="2" t="s">
        <v>84</v>
      </c>
      <c r="D13" s="2" t="s">
        <v>85</v>
      </c>
      <c r="E13" s="2" t="s">
        <v>86</v>
      </c>
      <c r="F13" s="2" t="s">
        <v>87</v>
      </c>
      <c r="G13" s="2" t="s">
        <v>88</v>
      </c>
      <c r="H13" s="2" t="s">
        <v>52</v>
      </c>
      <c r="I13" s="2" t="s">
        <v>21</v>
      </c>
      <c r="J13" s="2" t="s">
        <v>89</v>
      </c>
      <c r="K13" s="2"/>
      <c r="L13" s="2"/>
      <c r="M13" s="2"/>
      <c r="N13" s="2"/>
    </row>
    <row r="14" spans="1:14" ht="115" customHeight="1">
      <c r="A14" s="2">
        <v>13</v>
      </c>
      <c r="B14" s="2" t="s">
        <v>14</v>
      </c>
      <c r="C14" s="2" t="s">
        <v>90</v>
      </c>
      <c r="D14" s="2" t="s">
        <v>91</v>
      </c>
      <c r="E14" s="2" t="s">
        <v>92</v>
      </c>
      <c r="F14" s="2" t="s">
        <v>93</v>
      </c>
      <c r="G14" s="2" t="s">
        <v>94</v>
      </c>
      <c r="H14" s="2" t="s">
        <v>52</v>
      </c>
      <c r="I14" s="2" t="s">
        <v>21</v>
      </c>
      <c r="J14" s="2" t="s">
        <v>95</v>
      </c>
      <c r="K14" s="2"/>
      <c r="L14" s="2"/>
      <c r="M14" s="2"/>
      <c r="N14" s="2"/>
    </row>
    <row r="15" spans="1:14" ht="115" customHeight="1">
      <c r="A15" s="2">
        <v>14</v>
      </c>
      <c r="B15" s="2" t="s">
        <v>14</v>
      </c>
      <c r="C15" s="2" t="s">
        <v>96</v>
      </c>
      <c r="D15" s="2" t="s">
        <v>97</v>
      </c>
      <c r="E15" s="2" t="s">
        <v>98</v>
      </c>
      <c r="F15" s="2" t="s">
        <v>99</v>
      </c>
      <c r="G15" s="2" t="s">
        <v>100</v>
      </c>
      <c r="H15" s="2" t="s">
        <v>101</v>
      </c>
      <c r="I15" s="2" t="s">
        <v>21</v>
      </c>
      <c r="J15" s="2" t="s">
        <v>102</v>
      </c>
      <c r="K15" s="2"/>
      <c r="L15" s="2"/>
      <c r="M15" s="2"/>
      <c r="N15" s="2"/>
    </row>
    <row r="16" spans="1:14" ht="115" customHeight="1">
      <c r="A16" s="2">
        <v>15</v>
      </c>
      <c r="B16" s="2" t="s">
        <v>14</v>
      </c>
      <c r="C16" s="2" t="s">
        <v>103</v>
      </c>
      <c r="D16" s="2" t="s">
        <v>104</v>
      </c>
      <c r="E16" s="2" t="s">
        <v>105</v>
      </c>
      <c r="F16" s="2" t="s">
        <v>106</v>
      </c>
      <c r="G16" s="2" t="s">
        <v>107</v>
      </c>
      <c r="H16" s="2" t="s">
        <v>52</v>
      </c>
      <c r="I16" s="2" t="s">
        <v>21</v>
      </c>
      <c r="J16" s="2" t="s">
        <v>108</v>
      </c>
      <c r="K16" s="2"/>
      <c r="L16" s="2"/>
      <c r="M16" s="2"/>
      <c r="N16" s="2"/>
    </row>
    <row r="17" spans="1:14" ht="115" customHeight="1">
      <c r="A17" s="2">
        <v>16</v>
      </c>
      <c r="B17" s="2" t="s">
        <v>14</v>
      </c>
      <c r="C17" s="2" t="s">
        <v>109</v>
      </c>
      <c r="D17" s="2" t="s">
        <v>110</v>
      </c>
      <c r="E17" s="2" t="s">
        <v>111</v>
      </c>
      <c r="F17" s="2" t="s">
        <v>112</v>
      </c>
      <c r="G17" s="2" t="s">
        <v>113</v>
      </c>
      <c r="H17" s="2" t="s">
        <v>101</v>
      </c>
      <c r="I17" s="2" t="s">
        <v>21</v>
      </c>
      <c r="J17" s="2" t="s">
        <v>114</v>
      </c>
      <c r="K17" s="2"/>
      <c r="L17" s="2"/>
      <c r="M17" s="2"/>
      <c r="N17" s="2"/>
    </row>
    <row r="18" spans="1:14" ht="115" customHeight="1">
      <c r="A18" s="2">
        <v>17</v>
      </c>
      <c r="B18" s="2" t="s">
        <v>14</v>
      </c>
      <c r="C18" s="2" t="s">
        <v>115</v>
      </c>
      <c r="D18" s="2" t="s">
        <v>116</v>
      </c>
      <c r="E18" s="2" t="s">
        <v>117</v>
      </c>
      <c r="F18" s="2" t="s">
        <v>118</v>
      </c>
      <c r="G18" s="2" t="s">
        <v>119</v>
      </c>
      <c r="H18" s="2" t="s">
        <v>101</v>
      </c>
      <c r="I18" s="2" t="s">
        <v>21</v>
      </c>
      <c r="J18" s="2" t="s">
        <v>120</v>
      </c>
      <c r="K18" s="2"/>
      <c r="L18" s="2"/>
      <c r="M18" s="2"/>
      <c r="N18" s="2"/>
    </row>
    <row r="19" spans="1:14" ht="115" customHeight="1">
      <c r="A19" s="2">
        <v>18</v>
      </c>
      <c r="B19" s="2" t="s">
        <v>14</v>
      </c>
      <c r="C19" s="2" t="s">
        <v>121</v>
      </c>
      <c r="D19" s="2" t="s">
        <v>122</v>
      </c>
      <c r="E19" s="2" t="s">
        <v>123</v>
      </c>
      <c r="F19" s="2" t="s">
        <v>124</v>
      </c>
      <c r="G19" s="2" t="s">
        <v>125</v>
      </c>
      <c r="H19" s="2" t="s">
        <v>101</v>
      </c>
      <c r="I19" s="2" t="s">
        <v>21</v>
      </c>
      <c r="J19" s="2" t="s">
        <v>126</v>
      </c>
      <c r="K19" s="2"/>
      <c r="L19" s="2"/>
      <c r="M19" s="2"/>
      <c r="N19" s="2"/>
    </row>
    <row r="20" spans="1:14" ht="115" customHeight="1">
      <c r="A20" s="2">
        <v>19</v>
      </c>
      <c r="B20" s="2" t="s">
        <v>14</v>
      </c>
      <c r="C20" s="2" t="s">
        <v>127</v>
      </c>
      <c r="D20" s="2" t="s">
        <v>128</v>
      </c>
      <c r="E20" s="2" t="s">
        <v>129</v>
      </c>
      <c r="F20" s="2" t="s">
        <v>130</v>
      </c>
      <c r="G20" s="2" t="s">
        <v>131</v>
      </c>
      <c r="H20" s="2" t="s">
        <v>101</v>
      </c>
      <c r="I20" s="2" t="s">
        <v>21</v>
      </c>
      <c r="J20" s="2" t="s">
        <v>132</v>
      </c>
      <c r="K20" s="2"/>
      <c r="L20" s="2"/>
      <c r="M20" s="2"/>
      <c r="N20" s="2"/>
    </row>
    <row r="21" spans="1:14" ht="115" customHeight="1">
      <c r="A21" s="2">
        <v>20</v>
      </c>
      <c r="B21" s="2" t="s">
        <v>14</v>
      </c>
      <c r="C21" s="2" t="s">
        <v>133</v>
      </c>
      <c r="D21" s="2" t="s">
        <v>134</v>
      </c>
      <c r="E21" s="2" t="s">
        <v>135</v>
      </c>
      <c r="F21" s="2" t="s">
        <v>136</v>
      </c>
      <c r="G21" s="2" t="s">
        <v>137</v>
      </c>
      <c r="H21" s="2" t="s">
        <v>101</v>
      </c>
      <c r="I21" s="2" t="s">
        <v>21</v>
      </c>
      <c r="J21" s="2" t="s">
        <v>138</v>
      </c>
      <c r="K21" s="2"/>
      <c r="L21" s="2"/>
      <c r="M21" s="2"/>
      <c r="N21" s="2"/>
    </row>
    <row r="22" spans="1:14" ht="115" customHeight="1">
      <c r="A22" s="2">
        <v>21</v>
      </c>
      <c r="B22" s="2" t="s">
        <v>14</v>
      </c>
      <c r="C22" s="2" t="s">
        <v>139</v>
      </c>
      <c r="D22" s="2" t="s">
        <v>140</v>
      </c>
      <c r="E22" s="2" t="s">
        <v>141</v>
      </c>
      <c r="F22" s="2" t="s">
        <v>142</v>
      </c>
      <c r="G22" s="2" t="s">
        <v>143</v>
      </c>
      <c r="H22" s="2" t="s">
        <v>101</v>
      </c>
      <c r="I22" s="2" t="s">
        <v>21</v>
      </c>
      <c r="J22" s="2" t="s">
        <v>144</v>
      </c>
      <c r="K22" s="2"/>
      <c r="L22" s="2"/>
      <c r="M22" s="2"/>
      <c r="N22" s="2"/>
    </row>
    <row r="23" spans="1:14" ht="115" customHeight="1">
      <c r="A23" s="2">
        <v>22</v>
      </c>
      <c r="B23" s="2" t="s">
        <v>14</v>
      </c>
      <c r="C23" s="2" t="s">
        <v>145</v>
      </c>
      <c r="D23" s="2" t="s">
        <v>146</v>
      </c>
      <c r="E23" s="2" t="s">
        <v>147</v>
      </c>
      <c r="F23" s="2" t="s">
        <v>148</v>
      </c>
      <c r="G23" s="2" t="s">
        <v>149</v>
      </c>
      <c r="H23" s="2" t="s">
        <v>101</v>
      </c>
      <c r="I23" s="2" t="s">
        <v>21</v>
      </c>
      <c r="J23" s="2" t="s">
        <v>150</v>
      </c>
      <c r="K23" s="2"/>
      <c r="L23" s="2"/>
      <c r="M23" s="2"/>
      <c r="N23" s="2"/>
    </row>
    <row r="24" spans="1:14" ht="115" customHeight="1">
      <c r="A24" s="2">
        <v>23</v>
      </c>
      <c r="B24" s="2" t="s">
        <v>14</v>
      </c>
      <c r="C24" s="2" t="s">
        <v>151</v>
      </c>
      <c r="D24" s="2" t="s">
        <v>152</v>
      </c>
      <c r="E24" s="2" t="s">
        <v>153</v>
      </c>
      <c r="F24" s="2" t="s">
        <v>154</v>
      </c>
      <c r="G24" s="2" t="s">
        <v>155</v>
      </c>
      <c r="H24" s="2" t="s">
        <v>156</v>
      </c>
      <c r="I24" s="2" t="s">
        <v>157</v>
      </c>
      <c r="J24" s="2" t="s">
        <v>158</v>
      </c>
      <c r="K24" s="2"/>
      <c r="L24" s="2"/>
      <c r="M24" s="2"/>
      <c r="N24" s="2"/>
    </row>
    <row r="25" spans="1:14" ht="115" customHeight="1">
      <c r="A25" s="2">
        <v>24</v>
      </c>
      <c r="B25" s="2" t="s">
        <v>159</v>
      </c>
      <c r="C25" s="2" t="s">
        <v>160</v>
      </c>
      <c r="D25" s="2" t="s">
        <v>161</v>
      </c>
      <c r="E25" s="2" t="s">
        <v>162</v>
      </c>
      <c r="F25" s="2" t="s">
        <v>163</v>
      </c>
      <c r="G25" s="2" t="s">
        <v>164</v>
      </c>
      <c r="H25" s="2" t="s">
        <v>20</v>
      </c>
      <c r="I25" s="2" t="s">
        <v>165</v>
      </c>
      <c r="J25" s="2" t="s">
        <v>166</v>
      </c>
      <c r="K25" s="2"/>
      <c r="L25" s="2"/>
      <c r="M25" s="2"/>
      <c r="N25" s="2"/>
    </row>
    <row r="26" spans="1:14" ht="115" customHeight="1">
      <c r="A26" s="2">
        <v>25</v>
      </c>
      <c r="B26" s="2" t="s">
        <v>159</v>
      </c>
      <c r="C26" s="2" t="s">
        <v>167</v>
      </c>
      <c r="D26" s="2" t="s">
        <v>168</v>
      </c>
      <c r="E26" s="2" t="s">
        <v>169</v>
      </c>
      <c r="F26" s="2" t="s">
        <v>170</v>
      </c>
      <c r="G26" s="2" t="s">
        <v>171</v>
      </c>
      <c r="H26" s="2" t="s">
        <v>20</v>
      </c>
      <c r="I26" s="2" t="s">
        <v>165</v>
      </c>
      <c r="J26" s="2" t="s">
        <v>166</v>
      </c>
      <c r="K26" s="2"/>
      <c r="L26" s="2"/>
      <c r="M26" s="2"/>
      <c r="N26" s="2"/>
    </row>
    <row r="27" spans="1:14" ht="115" customHeight="1">
      <c r="A27" s="2">
        <v>26</v>
      </c>
      <c r="B27" s="2" t="s">
        <v>159</v>
      </c>
      <c r="C27" s="2" t="s">
        <v>172</v>
      </c>
      <c r="D27" s="2" t="s">
        <v>173</v>
      </c>
      <c r="E27" s="2" t="s">
        <v>174</v>
      </c>
      <c r="F27" s="2" t="s">
        <v>38</v>
      </c>
      <c r="G27" s="2" t="s">
        <v>175</v>
      </c>
      <c r="H27" s="2" t="s">
        <v>52</v>
      </c>
      <c r="I27" s="2" t="s">
        <v>165</v>
      </c>
      <c r="J27" s="2" t="s">
        <v>166</v>
      </c>
      <c r="K27" s="2"/>
      <c r="L27" s="2"/>
      <c r="M27" s="2"/>
      <c r="N27" s="2"/>
    </row>
  </sheetData>
  <autoFilter ref="A1:N27"/>
  <dataValidations count="2">
    <dataValidation type="list" allowBlank="1" showInputMessage="1" showErrorMessage="1" sqref="I2:I27">
      <formula1>"Pendiente,Requiere decisión,En revisión,En ajuste,Resuelto en fuente,Cerrado"</formula1>
    </dataValidation>
    <dataValidation type="list" allowBlank="1" showInputMessage="1" showErrorMessage="1" sqref="H2:H27">
      <formula1>"Alta,Media,Baja,No aplica"</formula1>
    </dataValidation>
  </dataValidations>
  <pageMargins left="0.7" right="0.7" top="0.75" bottom="0.75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cols>
    <col min="1" max="1" width="48.7109375" customWidth="1"/>
    <col min="2" max="2" width="18.7109375" customWidth="1"/>
  </cols>
  <sheetData>
    <row r="1" spans="1:2">
      <c r="A1" s="1" t="s">
        <v>176</v>
      </c>
      <c r="B1" s="1" t="s">
        <v>177</v>
      </c>
    </row>
    <row r="2" spans="1:2">
      <c r="A2" t="s">
        <v>178</v>
      </c>
      <c r="B2">
        <f>COUNTA(Observaciones!A2:A27)</f>
        <v>26</v>
      </c>
    </row>
    <row r="3" spans="1:2">
      <c r="A3" t="s">
        <v>20</v>
      </c>
      <c r="B3">
        <f>COUNTIF(Observaciones!H2:H27,A3)</f>
        <v>7</v>
      </c>
    </row>
    <row r="4" spans="1:2">
      <c r="A4" t="s">
        <v>52</v>
      </c>
      <c r="B4">
        <f>COUNTIF(Observaciones!H2:H27,A4)</f>
        <v>10</v>
      </c>
    </row>
    <row r="5" spans="1:2">
      <c r="A5" t="s">
        <v>101</v>
      </c>
      <c r="B5">
        <f>COUNTIF(Observaciones!H2:H27,A5)</f>
        <v>8</v>
      </c>
    </row>
    <row r="6" spans="1:2">
      <c r="A6" t="s">
        <v>156</v>
      </c>
      <c r="B6">
        <f>COUNTIF(Observaciones!H2:H27,A6)</f>
        <v>1</v>
      </c>
    </row>
    <row r="8" spans="1:2">
      <c r="A8" t="s">
        <v>157</v>
      </c>
      <c r="B8">
        <f>COUNTIF(Observaciones!I2:I27,A8)</f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32.7109375" customWidth="1"/>
    <col min="2" max="2" width="110.7109375" customWidth="1"/>
  </cols>
  <sheetData>
    <row r="1" spans="1:2" ht="45" customHeight="1">
      <c r="A1" s="2" t="s">
        <v>179</v>
      </c>
      <c r="B1" s="2" t="s">
        <v>180</v>
      </c>
    </row>
    <row r="2" spans="1:2" ht="45" customHeight="1">
      <c r="A2" s="2" t="s">
        <v>181</v>
      </c>
      <c r="B2" s="2" t="s">
        <v>182</v>
      </c>
    </row>
    <row r="3" spans="1:2" ht="45" customHeight="1">
      <c r="A3" s="2" t="s">
        <v>183</v>
      </c>
      <c r="B3" s="2" t="s">
        <v>184</v>
      </c>
    </row>
    <row r="4" spans="1:2" ht="45" customHeight="1">
      <c r="A4" s="2" t="s">
        <v>7</v>
      </c>
      <c r="B4" s="2" t="s">
        <v>185</v>
      </c>
    </row>
    <row r="5" spans="1:2" ht="45" customHeight="1">
      <c r="A5" s="2" t="s">
        <v>186</v>
      </c>
      <c r="B5" s="2" t="s">
        <v>187</v>
      </c>
    </row>
    <row r="6" spans="1:2" ht="45" customHeight="1">
      <c r="A6" s="2" t="s">
        <v>188</v>
      </c>
      <c r="B6" s="2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Observaciones</vt:lpstr>
      <vt:lpstr>Resumen</vt:lpstr>
      <vt:lpstr>Guía</vt:lpstr>
      <vt:lpstr>Observaciones!Print_Titles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2026-10-05T18:13:39Z</dcterms:created>
  <dcterms:modified xsi:type="dcterms:W3CDTF">2026-10-05T18:13:39Z</dcterms:modified>
</cp:coreProperties>
</file>