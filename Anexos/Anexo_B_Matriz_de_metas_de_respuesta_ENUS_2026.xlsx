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Parametros" sheetId="1" r:id="rId1"/>
    <sheet name="1_Departamento_n" sheetId="2" r:id="rId2"/>
    <sheet name="2_Asignacion_Celda" sheetId="3" r:id="rId3"/>
    <sheet name="3_Chequeo_Cuadre" sheetId="4" r:id="rId4"/>
    <sheet name="4_Resumen_Sexo" sheetId="5" r:id="rId5"/>
    <sheet name="5_Resumen_Edad" sheetId="6" r:id="rId6"/>
    <sheet name="6_Resumen_Zona" sheetId="7" r:id="rId7"/>
    <sheet name="7_Resumen_Regimen" sheetId="8" r:id="rId8"/>
    <sheet name="8_Resumen_Region" sheetId="9" r:id="rId9"/>
  </sheets>
  <calcPr calcId="124519" fullCalcOnLoad="1"/>
</workbook>
</file>

<file path=xl/sharedStrings.xml><?xml version="1.0" encoding="utf-8"?>
<sst xmlns="http://schemas.openxmlformats.org/spreadsheetml/2006/main" count="11299" uniqueCount="89">
  <si>
    <t>parametro</t>
  </si>
  <si>
    <t>valor</t>
  </si>
  <si>
    <t>P</t>
  </si>
  <si>
    <t>Z</t>
  </si>
  <si>
    <t>ME</t>
  </si>
  <si>
    <t>DEFF</t>
  </si>
  <si>
    <t>Factor</t>
  </si>
  <si>
    <t>Minimo por celda</t>
  </si>
  <si>
    <t>Fuente poblacion</t>
  </si>
  <si>
    <t>Matriz departamental anterior, conteos BDUA marzo 2026</t>
  </si>
  <si>
    <t>Metodo</t>
  </si>
  <si>
    <t>10 por celda + reparto proporcional del remanente + resto mayor; empate por orden de fila</t>
  </si>
  <si>
    <t>region</t>
  </si>
  <si>
    <t>departamento</t>
  </si>
  <si>
    <t>poblacion</t>
  </si>
  <si>
    <t>n_mas</t>
  </si>
  <si>
    <t>n_deff</t>
  </si>
  <si>
    <t>n_corregido</t>
  </si>
  <si>
    <t>meta_sin_redondear</t>
  </si>
  <si>
    <t>meta_final</t>
  </si>
  <si>
    <t>regimen</t>
  </si>
  <si>
    <t>sexo</t>
  </si>
  <si>
    <t>edad</t>
  </si>
  <si>
    <t>zona</t>
  </si>
  <si>
    <t>poblacion_celda</t>
  </si>
  <si>
    <t>poblacion_depto</t>
  </si>
  <si>
    <t>meta_depto</t>
  </si>
  <si>
    <t>minimo</t>
  </si>
  <si>
    <t>remanente_proporcional</t>
  </si>
  <si>
    <t>entero</t>
  </si>
  <si>
    <t>fraccion</t>
  </si>
  <si>
    <t>orden_resto</t>
  </si>
  <si>
    <t>meta_celda</t>
  </si>
  <si>
    <t>meta</t>
  </si>
  <si>
    <t>asignado</t>
  </si>
  <si>
    <t>diferencia</t>
  </si>
  <si>
    <t>Bogotá</t>
  </si>
  <si>
    <t>BOGOTA D.C.</t>
  </si>
  <si>
    <t>CONTRIBUTIVO</t>
  </si>
  <si>
    <t>FEMENINO</t>
  </si>
  <si>
    <t>00-09</t>
  </si>
  <si>
    <t>URBANO</t>
  </si>
  <si>
    <t>RURAL</t>
  </si>
  <si>
    <t>10-19</t>
  </si>
  <si>
    <t>20-29</t>
  </si>
  <si>
    <t>30-39</t>
  </si>
  <si>
    <t>40-49</t>
  </si>
  <si>
    <t>50-59</t>
  </si>
  <si>
    <t>60 o más</t>
  </si>
  <si>
    <t>MASCULINO</t>
  </si>
  <si>
    <t>SUBSIDIADO</t>
  </si>
  <si>
    <t>Caribe</t>
  </si>
  <si>
    <t>ATLANTICO</t>
  </si>
  <si>
    <t>BOLIVAR</t>
  </si>
  <si>
    <t>CESAR</t>
  </si>
  <si>
    <t>CORDOBA</t>
  </si>
  <si>
    <t>LA GUAJIRA</t>
  </si>
  <si>
    <t>MAGDALENA</t>
  </si>
  <si>
    <t>SAN ANDRES</t>
  </si>
  <si>
    <t>SUCRE</t>
  </si>
  <si>
    <t>Central</t>
  </si>
  <si>
    <t>ANTIOQUIA</t>
  </si>
  <si>
    <t>CALDAS</t>
  </si>
  <si>
    <t>CAQUETA</t>
  </si>
  <si>
    <t>HUILA</t>
  </si>
  <si>
    <t>QUINDIO</t>
  </si>
  <si>
    <t>RISARALDA</t>
  </si>
  <si>
    <t>TOLIMA</t>
  </si>
  <si>
    <t>Oriental</t>
  </si>
  <si>
    <t>BOYACA</t>
  </si>
  <si>
    <t>CUNDINAMARCA</t>
  </si>
  <si>
    <t>META</t>
  </si>
  <si>
    <t>NORTE DE SANTANDER</t>
  </si>
  <si>
    <t>SANTANDER</t>
  </si>
  <si>
    <t>Orinoquía-Amazonía</t>
  </si>
  <si>
    <t>AMAZONAS</t>
  </si>
  <si>
    <t>ARAUCA</t>
  </si>
  <si>
    <t>CASANARE</t>
  </si>
  <si>
    <t>GUAINIA</t>
  </si>
  <si>
    <t>GUAVIARE</t>
  </si>
  <si>
    <t>PUTUMAYO</t>
  </si>
  <si>
    <t>VAUPES</t>
  </si>
  <si>
    <t>VICHADA</t>
  </si>
  <si>
    <t>Pacífica</t>
  </si>
  <si>
    <t>CAUCA</t>
  </si>
  <si>
    <t>CHOCO</t>
  </si>
  <si>
    <t>NARINO</t>
  </si>
  <si>
    <t>VALLE</t>
  </si>
  <si>
    <t>porcentaje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</si>
</sst>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0.0%"/>
  </numFmts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0" fontId="2" fillId="2" borderId="0" xfId="0" applyFont="1" applyFill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0.5</v>
      </c>
    </row>
    <row r="3" spans="1:2">
      <c r="A3" s="1" t="s">
        <v>3</v>
      </c>
      <c r="B3" s="1">
        <v>1.96</v>
      </c>
    </row>
    <row r="4" spans="1:2">
      <c r="A4" s="1" t="s">
        <v>4</v>
      </c>
      <c r="B4" s="1">
        <v>0.0392</v>
      </c>
    </row>
    <row r="5" spans="1:2">
      <c r="A5" s="1" t="s">
        <v>5</v>
      </c>
      <c r="B5" s="1">
        <v>1.5</v>
      </c>
    </row>
    <row r="6" spans="1:2">
      <c r="A6" s="1" t="s">
        <v>6</v>
      </c>
      <c r="B6" s="1">
        <v>1.4</v>
      </c>
    </row>
    <row r="7" spans="1:2">
      <c r="A7" s="1" t="s">
        <v>7</v>
      </c>
      <c r="B7" s="1">
        <v>10</v>
      </c>
    </row>
    <row r="8" spans="1:2">
      <c r="A8" s="1" t="s">
        <v>8</v>
      </c>
      <c r="B8" s="1" t="s">
        <v>9</v>
      </c>
    </row>
    <row r="9" spans="1:2">
      <c r="A9" s="1" t="s">
        <v>10</v>
      </c>
      <c r="B9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0.7109375" style="1" customWidth="1"/>
  </cols>
  <sheetData>
    <row r="1" spans="1: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>
      <c r="A2" s="1" t="s">
        <v>36</v>
      </c>
      <c r="B2" s="1" t="s">
        <v>37</v>
      </c>
      <c r="C2" s="1">
        <v>7780253</v>
      </c>
      <c r="D2" s="3">
        <f>'0_Parametros'!B3^2*'0_Parametros'!B2*(1-'0_Parametros'!B2)/'0_Parametros'!B4^2</f>
        <v>625</v>
      </c>
      <c r="E2" s="3">
        <f>D2*'0_Parametros'!B5</f>
        <v>937.5</v>
      </c>
      <c r="F2" s="3">
        <f>E2/(1+E2/C2)</f>
        <v>937.3870473290688</v>
      </c>
      <c r="G2" s="3">
        <f>F2*'0_Parametros'!B6</f>
        <v>1312.3418662606962</v>
      </c>
      <c r="H2" s="1">
        <f>ROUNDUP(G2,0)</f>
        <v>1313</v>
      </c>
    </row>
    <row r="3" spans="1:8">
      <c r="A3" s="1" t="s">
        <v>51</v>
      </c>
      <c r="B3" s="1" t="s">
        <v>52</v>
      </c>
      <c r="C3" s="1">
        <v>2806306</v>
      </c>
      <c r="D3" s="3">
        <f>'0_Parametros'!B3^2*'0_Parametros'!B2*(1-'0_Parametros'!B2)/'0_Parametros'!B4^2</f>
        <v>625</v>
      </c>
      <c r="E3" s="3">
        <f>D3*'0_Parametros'!B5</f>
        <v>937.5</v>
      </c>
      <c r="F3" s="3">
        <f>E3/(1+E3/C3)</f>
        <v>937.1869148508137</v>
      </c>
      <c r="G3" s="3">
        <f>F3*'0_Parametros'!B6</f>
        <v>1312.061680791139</v>
      </c>
      <c r="H3" s="1">
        <f>ROUNDUP(G3,0)</f>
        <v>1313</v>
      </c>
    </row>
    <row r="4" spans="1:8">
      <c r="A4" s="1" t="s">
        <v>51</v>
      </c>
      <c r="B4" s="1" t="s">
        <v>53</v>
      </c>
      <c r="C4" s="1">
        <v>2345340</v>
      </c>
      <c r="D4" s="3">
        <f>'0_Parametros'!B3^2*'0_Parametros'!B2*(1-'0_Parametros'!B2)/'0_Parametros'!B4^2</f>
        <v>625</v>
      </c>
      <c r="E4" s="3">
        <f>D4*'0_Parametros'!B5</f>
        <v>937.5</v>
      </c>
      <c r="F4" s="3">
        <f>E4/(1+E4/C4)</f>
        <v>937.1254039643648</v>
      </c>
      <c r="G4" s="3">
        <f>F4*'0_Parametros'!B6</f>
        <v>1311.9755655501106</v>
      </c>
      <c r="H4" s="1">
        <f>ROUNDUP(G4,0)</f>
        <v>1312</v>
      </c>
    </row>
    <row r="5" spans="1:8">
      <c r="A5" s="1" t="s">
        <v>51</v>
      </c>
      <c r="B5" s="1" t="s">
        <v>54</v>
      </c>
      <c r="C5" s="1">
        <v>1284077</v>
      </c>
      <c r="D5" s="3">
        <f>'0_Parametros'!B3^2*'0_Parametros'!B2*(1-'0_Parametros'!B2)/'0_Parametros'!B4^2</f>
        <v>625</v>
      </c>
      <c r="E5" s="3">
        <f>D5*'0_Parametros'!B5</f>
        <v>937.5</v>
      </c>
      <c r="F5" s="3">
        <f>E5/(1+E5/C5)</f>
        <v>936.8160339824959</v>
      </c>
      <c r="G5" s="3">
        <f>F5*'0_Parametros'!B6</f>
        <v>1311.5424475754942</v>
      </c>
      <c r="H5" s="1">
        <f>ROUNDUP(G5,0)</f>
        <v>1312</v>
      </c>
    </row>
    <row r="6" spans="1:8">
      <c r="A6" s="1" t="s">
        <v>51</v>
      </c>
      <c r="B6" s="1" t="s">
        <v>55</v>
      </c>
      <c r="C6" s="1">
        <v>1670770</v>
      </c>
      <c r="D6" s="3">
        <f>'0_Parametros'!B3^2*'0_Parametros'!B2*(1-'0_Parametros'!B2)/'0_Parametros'!B4^2</f>
        <v>625</v>
      </c>
      <c r="E6" s="3">
        <f>D6*'0_Parametros'!B5</f>
        <v>937.5</v>
      </c>
      <c r="F6" s="3">
        <f>E6/(1+E6/C6)</f>
        <v>936.9742463917881</v>
      </c>
      <c r="G6" s="3">
        <f>F6*'0_Parametros'!B6</f>
        <v>1311.7639449485034</v>
      </c>
      <c r="H6" s="1">
        <f>ROUNDUP(G6,0)</f>
        <v>1312</v>
      </c>
    </row>
    <row r="7" spans="1:8">
      <c r="A7" s="1" t="s">
        <v>51</v>
      </c>
      <c r="B7" s="1" t="s">
        <v>56</v>
      </c>
      <c r="C7" s="1">
        <v>1151490</v>
      </c>
      <c r="D7" s="3">
        <f>'0_Parametros'!B3^2*'0_Parametros'!B2*(1-'0_Parametros'!B2)/'0_Parametros'!B4^2</f>
        <v>625</v>
      </c>
      <c r="E7" s="3">
        <f>D7*'0_Parametros'!B5</f>
        <v>937.5</v>
      </c>
      <c r="F7" s="3">
        <f>E7/(1+E7/C7)</f>
        <v>936.7373435639117</v>
      </c>
      <c r="G7" s="3">
        <f>F7*'0_Parametros'!B6</f>
        <v>1311.4322809894763</v>
      </c>
      <c r="H7" s="1">
        <f>ROUNDUP(G7,0)</f>
        <v>1312</v>
      </c>
    </row>
    <row r="8" spans="1:8">
      <c r="A8" s="1" t="s">
        <v>51</v>
      </c>
      <c r="B8" s="1" t="s">
        <v>57</v>
      </c>
      <c r="C8" s="1">
        <v>1402034</v>
      </c>
      <c r="D8" s="3">
        <f>'0_Parametros'!B3^2*'0_Parametros'!B2*(1-'0_Parametros'!B2)/'0_Parametros'!B4^2</f>
        <v>625</v>
      </c>
      <c r="E8" s="3">
        <f>D8*'0_Parametros'!B5</f>
        <v>937.5</v>
      </c>
      <c r="F8" s="3">
        <f>E8/(1+E8/C8)</f>
        <v>936.8735394838741</v>
      </c>
      <c r="G8" s="3">
        <f>F8*'0_Parametros'!B6</f>
        <v>1311.6229552774237</v>
      </c>
      <c r="H8" s="1">
        <f>ROUNDUP(G8,0)</f>
        <v>1312</v>
      </c>
    </row>
    <row r="9" spans="1:8">
      <c r="A9" s="1" t="s">
        <v>51</v>
      </c>
      <c r="B9" s="1" t="s">
        <v>58</v>
      </c>
      <c r="C9" s="1">
        <v>61282</v>
      </c>
      <c r="D9" s="3">
        <f>'0_Parametros'!B3^2*'0_Parametros'!B2*(1-'0_Parametros'!B2)/'0_Parametros'!B4^2</f>
        <v>625</v>
      </c>
      <c r="E9" s="3">
        <f>D9*'0_Parametros'!B5</f>
        <v>937.5</v>
      </c>
      <c r="F9" s="3">
        <f>E9/(1+E9/C9)</f>
        <v>923.374102974148</v>
      </c>
      <c r="G9" s="3">
        <f>F9*'0_Parametros'!B6</f>
        <v>1292.723744163807</v>
      </c>
      <c r="H9" s="1">
        <f>ROUNDUP(G9,0)</f>
        <v>1293</v>
      </c>
    </row>
    <row r="10" spans="1:8">
      <c r="A10" s="1" t="s">
        <v>51</v>
      </c>
      <c r="B10" s="1" t="s">
        <v>59</v>
      </c>
      <c r="C10" s="1">
        <v>944956</v>
      </c>
      <c r="D10" s="3">
        <f>'0_Parametros'!B3^2*'0_Parametros'!B2*(1-'0_Parametros'!B2)/'0_Parametros'!B4^2</f>
        <v>625</v>
      </c>
      <c r="E10" s="3">
        <f>D10*'0_Parametros'!B5</f>
        <v>937.5</v>
      </c>
      <c r="F10" s="3">
        <f>E10/(1+E10/C10)</f>
        <v>936.570819019266</v>
      </c>
      <c r="G10" s="3">
        <f>F10*'0_Parametros'!B6</f>
        <v>1311.1991466269724</v>
      </c>
      <c r="H10" s="1">
        <f>ROUNDUP(G10,0)</f>
        <v>1312</v>
      </c>
    </row>
    <row r="11" spans="1:8">
      <c r="A11" s="1" t="s">
        <v>60</v>
      </c>
      <c r="B11" s="1" t="s">
        <v>61</v>
      </c>
      <c r="C11" s="1">
        <v>6959952</v>
      </c>
      <c r="D11" s="3">
        <f>'0_Parametros'!B3^2*'0_Parametros'!B2*(1-'0_Parametros'!B2)/'0_Parametros'!B4^2</f>
        <v>625</v>
      </c>
      <c r="E11" s="3">
        <f>D11*'0_Parametros'!B5</f>
        <v>937.5</v>
      </c>
      <c r="F11" s="3">
        <f>E11/(1+E11/C11)</f>
        <v>937.3737365030719</v>
      </c>
      <c r="G11" s="3">
        <f>F11*'0_Parametros'!B6</f>
        <v>1312.3232311043005</v>
      </c>
      <c r="H11" s="1">
        <f>ROUNDUP(G11,0)</f>
        <v>1313</v>
      </c>
    </row>
    <row r="12" spans="1:8">
      <c r="A12" s="1" t="s">
        <v>60</v>
      </c>
      <c r="B12" s="1" t="s">
        <v>62</v>
      </c>
      <c r="C12" s="1">
        <v>911331</v>
      </c>
      <c r="D12" s="3">
        <f>'0_Parametros'!B3^2*'0_Parametros'!B2*(1-'0_Parametros'!B2)/'0_Parametros'!B4^2</f>
        <v>625</v>
      </c>
      <c r="E12" s="3">
        <f>D12*'0_Parametros'!B5</f>
        <v>937.5</v>
      </c>
      <c r="F12" s="3">
        <f>E12/(1+E12/C12)</f>
        <v>936.5365706477862</v>
      </c>
      <c r="G12" s="3">
        <f>F12*'0_Parametros'!B6</f>
        <v>1311.1511989069006</v>
      </c>
      <c r="H12" s="1">
        <f>ROUNDUP(G12,0)</f>
        <v>1312</v>
      </c>
    </row>
    <row r="13" spans="1:8">
      <c r="A13" s="1" t="s">
        <v>60</v>
      </c>
      <c r="B13" s="1" t="s">
        <v>63</v>
      </c>
      <c r="C13" s="1">
        <v>411841</v>
      </c>
      <c r="D13" s="3">
        <f>'0_Parametros'!B3^2*'0_Parametros'!B2*(1-'0_Parametros'!B2)/'0_Parametros'!B4^2</f>
        <v>625</v>
      </c>
      <c r="E13" s="3">
        <f>D13*'0_Parametros'!B5</f>
        <v>937.5</v>
      </c>
      <c r="F13" s="3">
        <f>E13/(1+E13/C13)</f>
        <v>935.3707557443036</v>
      </c>
      <c r="G13" s="3">
        <f>F13*'0_Parametros'!B6</f>
        <v>1309.5190580420249</v>
      </c>
      <c r="H13" s="1">
        <f>ROUNDUP(G13,0)</f>
        <v>1310</v>
      </c>
    </row>
    <row r="14" spans="1:8">
      <c r="A14" s="1" t="s">
        <v>60</v>
      </c>
      <c r="B14" s="1" t="s">
        <v>64</v>
      </c>
      <c r="C14" s="1">
        <v>1184153</v>
      </c>
      <c r="D14" s="3">
        <f>'0_Parametros'!B3^2*'0_Parametros'!B2*(1-'0_Parametros'!B2)/'0_Parametros'!B4^2</f>
        <v>625</v>
      </c>
      <c r="E14" s="3">
        <f>D14*'0_Parametros'!B5</f>
        <v>937.5</v>
      </c>
      <c r="F14" s="3">
        <f>E14/(1+E14/C14)</f>
        <v>936.7583636017672</v>
      </c>
      <c r="G14" s="3">
        <f>F14*'0_Parametros'!B6</f>
        <v>1311.461709042474</v>
      </c>
      <c r="H14" s="1">
        <f>ROUNDUP(G14,0)</f>
        <v>1312</v>
      </c>
    </row>
    <row r="15" spans="1:8">
      <c r="A15" s="1" t="s">
        <v>60</v>
      </c>
      <c r="B15" s="1" t="s">
        <v>65</v>
      </c>
      <c r="C15" s="1">
        <v>569685</v>
      </c>
      <c r="D15" s="3">
        <f>'0_Parametros'!B3^2*'0_Parametros'!B2*(1-'0_Parametros'!B2)/'0_Parametros'!B4^2</f>
        <v>625</v>
      </c>
      <c r="E15" s="3">
        <f>D15*'0_Parametros'!B5</f>
        <v>937.5</v>
      </c>
      <c r="F15" s="3">
        <f>E15/(1+E15/C15)</f>
        <v>935.9597413351208</v>
      </c>
      <c r="G15" s="3">
        <f>F15*'0_Parametros'!B6</f>
        <v>1310.343637869169</v>
      </c>
      <c r="H15" s="1">
        <f>ROUNDUP(G15,0)</f>
        <v>1311</v>
      </c>
    </row>
    <row r="16" spans="1:8">
      <c r="A16" s="1" t="s">
        <v>60</v>
      </c>
      <c r="B16" s="1" t="s">
        <v>66</v>
      </c>
      <c r="C16" s="1">
        <v>1076349</v>
      </c>
      <c r="D16" s="3">
        <f>'0_Parametros'!B3^2*'0_Parametros'!B2*(1-'0_Parametros'!B2)/'0_Parametros'!B4^2</f>
        <v>625</v>
      </c>
      <c r="E16" s="3">
        <f>D16*'0_Parametros'!B5</f>
        <v>937.5</v>
      </c>
      <c r="F16" s="3">
        <f>E16/(1+E16/C16)</f>
        <v>936.6841480887396</v>
      </c>
      <c r="G16" s="3">
        <f>F16*'0_Parametros'!B6</f>
        <v>1311.3578073242354</v>
      </c>
      <c r="H16" s="1">
        <f>ROUNDUP(G16,0)</f>
        <v>1312</v>
      </c>
    </row>
    <row r="17" spans="1:8">
      <c r="A17" s="1" t="s">
        <v>60</v>
      </c>
      <c r="B17" s="1" t="s">
        <v>67</v>
      </c>
      <c r="C17" s="1">
        <v>1300917</v>
      </c>
      <c r="D17" s="3">
        <f>'0_Parametros'!B3^2*'0_Parametros'!B2*(1-'0_Parametros'!B2)/'0_Parametros'!B4^2</f>
        <v>625</v>
      </c>
      <c r="E17" s="3">
        <f>D17*'0_Parametros'!B5</f>
        <v>937.5</v>
      </c>
      <c r="F17" s="3">
        <f>E17/(1+E17/C17)</f>
        <v>936.8248813519482</v>
      </c>
      <c r="G17" s="3">
        <f>F17*'0_Parametros'!B6</f>
        <v>1311.5548338927274</v>
      </c>
      <c r="H17" s="1">
        <f>ROUNDUP(G17,0)</f>
        <v>1312</v>
      </c>
    </row>
    <row r="18" spans="1:8">
      <c r="A18" s="1" t="s">
        <v>68</v>
      </c>
      <c r="B18" s="1" t="s">
        <v>69</v>
      </c>
      <c r="C18" s="1">
        <v>1171268</v>
      </c>
      <c r="D18" s="3">
        <f>'0_Parametros'!B3^2*'0_Parametros'!B2*(1-'0_Parametros'!B2)/'0_Parametros'!B4^2</f>
        <v>625</v>
      </c>
      <c r="E18" s="3">
        <f>D18*'0_Parametros'!B5</f>
        <v>937.5</v>
      </c>
      <c r="F18" s="3">
        <f>E18/(1+E18/C18)</f>
        <v>936.7502114603625</v>
      </c>
      <c r="G18" s="3">
        <f>F18*'0_Parametros'!B6</f>
        <v>1311.4502960445075</v>
      </c>
      <c r="H18" s="1">
        <f>ROUNDUP(G18,0)</f>
        <v>1312</v>
      </c>
    </row>
    <row r="19" spans="1:8">
      <c r="A19" s="1" t="s">
        <v>68</v>
      </c>
      <c r="B19" s="1" t="s">
        <v>70</v>
      </c>
      <c r="C19" s="1">
        <v>2765132</v>
      </c>
      <c r="D19" s="3">
        <f>'0_Parametros'!B3^2*'0_Parametros'!B2*(1-'0_Parametros'!B2)/'0_Parametros'!B4^2</f>
        <v>625</v>
      </c>
      <c r="E19" s="3">
        <f>D19*'0_Parametros'!B5</f>
        <v>937.5</v>
      </c>
      <c r="F19" s="3">
        <f>E19/(1+E19/C19)</f>
        <v>937.1822544588993</v>
      </c>
      <c r="G19" s="3">
        <f>F19*'0_Parametros'!B6</f>
        <v>1312.055156242459</v>
      </c>
      <c r="H19" s="1">
        <f>ROUNDUP(G19,0)</f>
        <v>1313</v>
      </c>
    </row>
    <row r="20" spans="1:8">
      <c r="A20" s="1" t="s">
        <v>68</v>
      </c>
      <c r="B20" s="1" t="s">
        <v>71</v>
      </c>
      <c r="C20" s="1">
        <v>1080475</v>
      </c>
      <c r="D20" s="3">
        <f>'0_Parametros'!B3^2*'0_Parametros'!B2*(1-'0_Parametros'!B2)/'0_Parametros'!B4^2</f>
        <v>625</v>
      </c>
      <c r="E20" s="3">
        <f>D20*'0_Parametros'!B5</f>
        <v>937.5</v>
      </c>
      <c r="F20" s="3">
        <f>E20/(1+E20/C20)</f>
        <v>936.6872608740883</v>
      </c>
      <c r="G20" s="3">
        <f>F20*'0_Parametros'!B6</f>
        <v>1311.3621652237237</v>
      </c>
      <c r="H20" s="1">
        <f>ROUNDUP(G20,0)</f>
        <v>1312</v>
      </c>
    </row>
    <row r="21" spans="1:8">
      <c r="A21" s="1" t="s">
        <v>68</v>
      </c>
      <c r="B21" s="1" t="s">
        <v>72</v>
      </c>
      <c r="C21" s="1">
        <v>1746638</v>
      </c>
      <c r="D21" s="3">
        <f>'0_Parametros'!B3^2*'0_Parametros'!B2*(1-'0_Parametros'!B2)/'0_Parametros'!B4^2</f>
        <v>625</v>
      </c>
      <c r="E21" s="3">
        <f>D21*'0_Parametros'!B5</f>
        <v>937.5</v>
      </c>
      <c r="F21" s="3">
        <f>E21/(1+E21/C21)</f>
        <v>936.9970710850547</v>
      </c>
      <c r="G21" s="3">
        <f>F21*'0_Parametros'!B6</f>
        <v>1311.7958995190766</v>
      </c>
      <c r="H21" s="1">
        <f>ROUNDUP(G21,0)</f>
        <v>1312</v>
      </c>
    </row>
    <row r="22" spans="1:8">
      <c r="A22" s="1" t="s">
        <v>68</v>
      </c>
      <c r="B22" s="1" t="s">
        <v>73</v>
      </c>
      <c r="C22" s="1">
        <v>2270133</v>
      </c>
      <c r="D22" s="3">
        <f>'0_Parametros'!B3^2*'0_Parametros'!B2*(1-'0_Parametros'!B2)/'0_Parametros'!B4^2</f>
        <v>625</v>
      </c>
      <c r="E22" s="3">
        <f>D22*'0_Parametros'!B5</f>
        <v>937.5</v>
      </c>
      <c r="F22" s="3">
        <f>E22/(1+E22/C22)</f>
        <v>937.1129991341088</v>
      </c>
      <c r="G22" s="3">
        <f>F22*'0_Parametros'!B6</f>
        <v>1311.9581987877523</v>
      </c>
      <c r="H22" s="1">
        <f>ROUNDUP(G22,0)</f>
        <v>1312</v>
      </c>
    </row>
    <row r="23" spans="1:8">
      <c r="A23" s="1" t="s">
        <v>74</v>
      </c>
      <c r="B23" s="1" t="s">
        <v>75</v>
      </c>
      <c r="C23" s="1">
        <v>76629</v>
      </c>
      <c r="D23" s="3">
        <f>'0_Parametros'!B3^2*'0_Parametros'!B2*(1-'0_Parametros'!B2)/'0_Parametros'!B4^2</f>
        <v>625</v>
      </c>
      <c r="E23" s="3">
        <f>D23*'0_Parametros'!B5</f>
        <v>937.5</v>
      </c>
      <c r="F23" s="3">
        <f>E23/(1+E23/C23)</f>
        <v>926.168996925219</v>
      </c>
      <c r="G23" s="3">
        <f>F23*'0_Parametros'!B6</f>
        <v>1296.6365956953064</v>
      </c>
      <c r="H23" s="1">
        <f>ROUNDUP(G23,0)</f>
        <v>1297</v>
      </c>
    </row>
    <row r="24" spans="1:8">
      <c r="A24" s="1" t="s">
        <v>74</v>
      </c>
      <c r="B24" s="1" t="s">
        <v>76</v>
      </c>
      <c r="C24" s="1">
        <v>319492</v>
      </c>
      <c r="D24" s="3">
        <f>'0_Parametros'!B3^2*'0_Parametros'!B2*(1-'0_Parametros'!B2)/'0_Parametros'!B4^2</f>
        <v>625</v>
      </c>
      <c r="E24" s="3">
        <f>D24*'0_Parametros'!B5</f>
        <v>937.5</v>
      </c>
      <c r="F24" s="3">
        <f>E24/(1+E24/C24)</f>
        <v>934.7570994555745</v>
      </c>
      <c r="G24" s="3">
        <f>F24*'0_Parametros'!B6</f>
        <v>1308.659939237804</v>
      </c>
      <c r="H24" s="1">
        <f>ROUNDUP(G24,0)</f>
        <v>1309</v>
      </c>
    </row>
    <row r="25" spans="1:8">
      <c r="A25" s="1" t="s">
        <v>74</v>
      </c>
      <c r="B25" s="1" t="s">
        <v>77</v>
      </c>
      <c r="C25" s="1">
        <v>434332</v>
      </c>
      <c r="D25" s="3">
        <f>'0_Parametros'!B3^2*'0_Parametros'!B2*(1-'0_Parametros'!B2)/'0_Parametros'!B4^2</f>
        <v>625</v>
      </c>
      <c r="E25" s="3">
        <f>D25*'0_Parametros'!B5</f>
        <v>937.5</v>
      </c>
      <c r="F25" s="3">
        <f>E25/(1+E25/C25)</f>
        <v>935.4807768520423</v>
      </c>
      <c r="G25" s="3">
        <f>F25*'0_Parametros'!B6</f>
        <v>1309.673087592859</v>
      </c>
      <c r="H25" s="1">
        <f>ROUNDUP(G25,0)</f>
        <v>1310</v>
      </c>
    </row>
    <row r="26" spans="1:8">
      <c r="A26" s="1" t="s">
        <v>74</v>
      </c>
      <c r="B26" s="1" t="s">
        <v>78</v>
      </c>
      <c r="C26" s="1">
        <v>54596</v>
      </c>
      <c r="D26" s="3">
        <f>'0_Parametros'!B3^2*'0_Parametros'!B2*(1-'0_Parametros'!B2)/'0_Parametros'!B4^2</f>
        <v>625</v>
      </c>
      <c r="E26" s="3">
        <f>D26*'0_Parametros'!B5</f>
        <v>937.5</v>
      </c>
      <c r="F26" s="3">
        <f>E26/(1+E26/C26)</f>
        <v>921.6734043415237</v>
      </c>
      <c r="G26" s="3">
        <f>F26*'0_Parametros'!B6</f>
        <v>1290.342766078133</v>
      </c>
      <c r="H26" s="1">
        <f>ROUNDUP(G26,0)</f>
        <v>1291</v>
      </c>
    </row>
    <row r="27" spans="1:8">
      <c r="A27" s="1" t="s">
        <v>74</v>
      </c>
      <c r="B27" s="1" t="s">
        <v>79</v>
      </c>
      <c r="C27" s="1">
        <v>85937</v>
      </c>
      <c r="D27" s="3">
        <f>'0_Parametros'!B3^2*'0_Parametros'!B2*(1-'0_Parametros'!B2)/'0_Parametros'!B4^2</f>
        <v>625</v>
      </c>
      <c r="E27" s="3">
        <f>D27*'0_Parametros'!B5</f>
        <v>937.5</v>
      </c>
      <c r="F27" s="3">
        <f>E27/(1+E27/C27)</f>
        <v>927.3830352980448</v>
      </c>
      <c r="G27" s="3">
        <f>F27*'0_Parametros'!B6</f>
        <v>1298.3362494172627</v>
      </c>
      <c r="H27" s="1">
        <f>ROUNDUP(G27,0)</f>
        <v>1299</v>
      </c>
    </row>
    <row r="28" spans="1:8">
      <c r="A28" s="1" t="s">
        <v>74</v>
      </c>
      <c r="B28" s="1" t="s">
        <v>80</v>
      </c>
      <c r="C28" s="1">
        <v>332640</v>
      </c>
      <c r="D28" s="3">
        <f>'0_Parametros'!B3^2*'0_Parametros'!B2*(1-'0_Parametros'!B2)/'0_Parametros'!B4^2</f>
        <v>625</v>
      </c>
      <c r="E28" s="3">
        <f>D28*'0_Parametros'!B5</f>
        <v>937.5</v>
      </c>
      <c r="F28" s="3">
        <f>E28/(1+E28/C28)</f>
        <v>934.865211232772</v>
      </c>
      <c r="G28" s="3">
        <f>F28*'0_Parametros'!B6</f>
        <v>1308.8112957258807</v>
      </c>
      <c r="H28" s="1">
        <f>ROUNDUP(G28,0)</f>
        <v>1309</v>
      </c>
    </row>
    <row r="29" spans="1:8">
      <c r="A29" s="1" t="s">
        <v>74</v>
      </c>
      <c r="B29" s="1" t="s">
        <v>81</v>
      </c>
      <c r="C29" s="1">
        <v>34307</v>
      </c>
      <c r="D29" s="3">
        <f>'0_Parametros'!B3^2*'0_Parametros'!B2*(1-'0_Parametros'!B2)/'0_Parametros'!B4^2</f>
        <v>625</v>
      </c>
      <c r="E29" s="3">
        <f>D29*'0_Parametros'!B5</f>
        <v>937.5</v>
      </c>
      <c r="F29" s="3">
        <f>E29/(1+E29/C29)</f>
        <v>912.5625984196115</v>
      </c>
      <c r="G29" s="3">
        <f>F29*'0_Parametros'!B6</f>
        <v>1277.587637787456</v>
      </c>
      <c r="H29" s="1">
        <f>ROUNDUP(G29,0)</f>
        <v>1278</v>
      </c>
    </row>
    <row r="30" spans="1:8">
      <c r="A30" s="1" t="s">
        <v>74</v>
      </c>
      <c r="B30" s="1" t="s">
        <v>82</v>
      </c>
      <c r="C30" s="1">
        <v>90089</v>
      </c>
      <c r="D30" s="3">
        <f>'0_Parametros'!B3^2*'0_Parametros'!B2*(1-'0_Parametros'!B2)/'0_Parametros'!B4^2</f>
        <v>625</v>
      </c>
      <c r="E30" s="3">
        <f>D30*'0_Parametros'!B5</f>
        <v>937.5</v>
      </c>
      <c r="F30" s="3">
        <f>E30/(1+E30/C30)</f>
        <v>927.8445013265367</v>
      </c>
      <c r="G30" s="3">
        <f>F30*'0_Parametros'!B6</f>
        <v>1298.9823018571512</v>
      </c>
      <c r="H30" s="1">
        <f>ROUNDUP(G30,0)</f>
        <v>1299</v>
      </c>
    </row>
    <row r="31" spans="1:8">
      <c r="A31" s="1" t="s">
        <v>83</v>
      </c>
      <c r="B31" s="1" t="s">
        <v>84</v>
      </c>
      <c r="C31" s="1">
        <v>1329172</v>
      </c>
      <c r="D31" s="3">
        <f>'0_Parametros'!B3^2*'0_Parametros'!B2*(1-'0_Parametros'!B2)/'0_Parametros'!B4^2</f>
        <v>625</v>
      </c>
      <c r="E31" s="3">
        <f>D31*'0_Parametros'!B5</f>
        <v>937.5</v>
      </c>
      <c r="F31" s="3">
        <f>E31/(1+E31/C31)</f>
        <v>936.8392226354296</v>
      </c>
      <c r="G31" s="3">
        <f>F31*'0_Parametros'!B6</f>
        <v>1311.5749116896013</v>
      </c>
      <c r="H31" s="1">
        <f>ROUNDUP(G31,0)</f>
        <v>1312</v>
      </c>
    </row>
    <row r="32" spans="1:8">
      <c r="A32" s="1" t="s">
        <v>83</v>
      </c>
      <c r="B32" s="1" t="s">
        <v>85</v>
      </c>
      <c r="C32" s="1">
        <v>441422</v>
      </c>
      <c r="D32" s="3">
        <f>'0_Parametros'!B3^2*'0_Parametros'!B2*(1-'0_Parametros'!B2)/'0_Parametros'!B4^2</f>
        <v>625</v>
      </c>
      <c r="E32" s="3">
        <f>D32*'0_Parametros'!B5</f>
        <v>937.5</v>
      </c>
      <c r="F32" s="3">
        <f>E32/(1+E32/C32)</f>
        <v>935.5131403304326</v>
      </c>
      <c r="G32" s="3">
        <f>F32*'0_Parametros'!B6</f>
        <v>1309.7183964626056</v>
      </c>
      <c r="H32" s="1">
        <f>ROUNDUP(G32,0)</f>
        <v>1310</v>
      </c>
    </row>
    <row r="33" spans="1:8">
      <c r="A33" s="1" t="s">
        <v>83</v>
      </c>
      <c r="B33" s="1" t="s">
        <v>86</v>
      </c>
      <c r="C33" s="1">
        <v>1447016</v>
      </c>
      <c r="D33" s="3">
        <f>'0_Parametros'!B3^2*'0_Parametros'!B2*(1-'0_Parametros'!B2)/'0_Parametros'!B4^2</f>
        <v>625</v>
      </c>
      <c r="E33" s="3">
        <f>D33*'0_Parametros'!B5</f>
        <v>937.5</v>
      </c>
      <c r="F33" s="3">
        <f>E33/(1+E33/C33)</f>
        <v>936.8930010528653</v>
      </c>
      <c r="G33" s="3">
        <f>F33*'0_Parametros'!B6</f>
        <v>1311.6502014740113</v>
      </c>
      <c r="H33" s="1">
        <f>ROUNDUP(G33,0)</f>
        <v>1312</v>
      </c>
    </row>
    <row r="34" spans="1:8">
      <c r="A34" s="1" t="s">
        <v>83</v>
      </c>
      <c r="B34" s="1" t="s">
        <v>87</v>
      </c>
      <c r="C34" s="1">
        <v>4628732</v>
      </c>
      <c r="D34" s="3">
        <f>'0_Parametros'!B3^2*'0_Parametros'!B2*(1-'0_Parametros'!B2)/'0_Parametros'!B4^2</f>
        <v>625</v>
      </c>
      <c r="E34" s="3">
        <f>D34*'0_Parametros'!B5</f>
        <v>937.5</v>
      </c>
      <c r="F34" s="3">
        <f>E34/(1+E34/C34)</f>
        <v>937.3101578849202</v>
      </c>
      <c r="G34" s="3">
        <f>F34*'0_Parametros'!B6</f>
        <v>1312.234221038888</v>
      </c>
      <c r="H34" s="1">
        <f>ROUNDUP(G34,0)</f>
        <v>1313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20.7109375" style="1" customWidth="1"/>
  </cols>
  <sheetData>
    <row r="1" spans="1:15">
      <c r="A1" s="2" t="s">
        <v>12</v>
      </c>
      <c r="B1" s="2" t="s">
        <v>13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>
        <v>229519</v>
      </c>
      <c r="H2" s="1">
        <f>'1_Departamento_n'!C2</f>
        <v>7780253</v>
      </c>
      <c r="I2" s="1">
        <f>'1_Departamento_n'!H2</f>
        <v>1313</v>
      </c>
      <c r="J2" s="1">
        <f>'0_Parametros'!B7</f>
        <v>10</v>
      </c>
      <c r="K2" s="3">
        <f>(I2-SUM($J$2:$J$57))*G2/H2</f>
        <v>22.213648707824795</v>
      </c>
      <c r="L2" s="1">
        <f>INT(K2)</f>
        <v>22</v>
      </c>
      <c r="M2" s="3">
        <f>K2-L2</f>
        <v>0.21364870782479528</v>
      </c>
      <c r="N2" s="1">
        <f>COUNTIF($M$2:$M$57,"&gt;"&amp;M2)+COUNTIF($M$2:M2,M2)</f>
        <v>50</v>
      </c>
      <c r="O2" s="1">
        <f>J2+L2+IF(N2&lt;=I2-SUM($J$2:$J$57)-SUM($L$2:$L$57),1,0)</f>
        <v>32</v>
      </c>
    </row>
    <row r="3" spans="1:1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42</v>
      </c>
      <c r="G3" s="1">
        <v>4241</v>
      </c>
      <c r="H3" s="1">
        <f>'1_Departamento_n'!C2</f>
        <v>7780253</v>
      </c>
      <c r="I3" s="1">
        <f>'1_Departamento_n'!H2</f>
        <v>1313</v>
      </c>
      <c r="J3" s="1">
        <f>'0_Parametros'!B7</f>
        <v>10</v>
      </c>
      <c r="K3" s="3">
        <f>(I3-SUM($J$2:$J$57))*G3/H3</f>
        <v>0.41045876014571764</v>
      </c>
      <c r="L3" s="1">
        <f>INT(K3)</f>
        <v>0</v>
      </c>
      <c r="M3" s="3">
        <f>K3-L3</f>
        <v>0.41045876014571764</v>
      </c>
      <c r="N3" s="1">
        <f>COUNTIF($M$2:$M$57,"&gt;"&amp;M3)+COUNTIF($M$2:M3,M3)</f>
        <v>28</v>
      </c>
      <c r="O3" s="1">
        <f>J3+L3+IF(N3&lt;=I3-SUM($J$2:$J$57)-SUM($L$2:$L$57),1,0)</f>
        <v>10</v>
      </c>
    </row>
    <row r="4" spans="1:15">
      <c r="A4" s="1" t="s">
        <v>36</v>
      </c>
      <c r="B4" s="1" t="s">
        <v>37</v>
      </c>
      <c r="C4" s="1" t="s">
        <v>38</v>
      </c>
      <c r="D4" s="1" t="s">
        <v>39</v>
      </c>
      <c r="E4" s="1" t="s">
        <v>43</v>
      </c>
      <c r="F4" s="1" t="s">
        <v>41</v>
      </c>
      <c r="G4" s="1">
        <v>354667</v>
      </c>
      <c r="H4" s="1">
        <f>'1_Departamento_n'!C2</f>
        <v>7780253</v>
      </c>
      <c r="I4" s="1">
        <f>'1_Departamento_n'!H2</f>
        <v>1313</v>
      </c>
      <c r="J4" s="1">
        <f>'0_Parametros'!B7</f>
        <v>10</v>
      </c>
      <c r="K4" s="3">
        <f>(I4-SUM($J$2:$J$57))*G4/H4</f>
        <v>34.32590829629834</v>
      </c>
      <c r="L4" s="1">
        <f>INT(K4)</f>
        <v>34</v>
      </c>
      <c r="M4" s="3">
        <f>K4-L4</f>
        <v>0.32590829629833706</v>
      </c>
      <c r="N4" s="1">
        <f>COUNTIF($M$2:$M$57,"&gt;"&amp;M4)+COUNTIF($M$2:M4,M4)</f>
        <v>39</v>
      </c>
      <c r="O4" s="1">
        <f>J4+L4+IF(N4&lt;=I4-SUM($J$2:$J$57)-SUM($L$2:$L$57),1,0)</f>
        <v>44</v>
      </c>
    </row>
    <row r="5" spans="1:15">
      <c r="A5" s="1" t="s">
        <v>36</v>
      </c>
      <c r="B5" s="1" t="s">
        <v>37</v>
      </c>
      <c r="C5" s="1" t="s">
        <v>38</v>
      </c>
      <c r="D5" s="1" t="s">
        <v>39</v>
      </c>
      <c r="E5" s="1" t="s">
        <v>43</v>
      </c>
      <c r="F5" s="1" t="s">
        <v>42</v>
      </c>
      <c r="G5" s="1">
        <v>3820</v>
      </c>
      <c r="H5" s="1">
        <f>'1_Departamento_n'!C2</f>
        <v>7780253</v>
      </c>
      <c r="I5" s="1">
        <f>'1_Departamento_n'!H2</f>
        <v>1313</v>
      </c>
      <c r="J5" s="1">
        <f>'0_Parametros'!B7</f>
        <v>10</v>
      </c>
      <c r="K5" s="3">
        <f>(I5-SUM($J$2:$J$57))*G5/H5</f>
        <v>0.36971291293483644</v>
      </c>
      <c r="L5" s="1">
        <f>INT(K5)</f>
        <v>0</v>
      </c>
      <c r="M5" s="3">
        <f>K5-L5</f>
        <v>0.36971291293483644</v>
      </c>
      <c r="N5" s="1">
        <f>COUNTIF($M$2:$M$57,"&gt;"&amp;M5)+COUNTIF($M$2:M5,M5)</f>
        <v>31</v>
      </c>
      <c r="O5" s="1">
        <f>J5+L5+IF(N5&lt;=I5-SUM($J$2:$J$57)-SUM($L$2:$L$57),1,0)</f>
        <v>10</v>
      </c>
    </row>
    <row r="6" spans="1:15">
      <c r="A6" s="1" t="s">
        <v>36</v>
      </c>
      <c r="B6" s="1" t="s">
        <v>37</v>
      </c>
      <c r="C6" s="1" t="s">
        <v>38</v>
      </c>
      <c r="D6" s="1" t="s">
        <v>39</v>
      </c>
      <c r="E6" s="1" t="s">
        <v>44</v>
      </c>
      <c r="F6" s="1" t="s">
        <v>41</v>
      </c>
      <c r="G6" s="1">
        <v>477032</v>
      </c>
      <c r="H6" s="1">
        <f>'1_Departamento_n'!C2</f>
        <v>7780253</v>
      </c>
      <c r="I6" s="1">
        <f>'1_Departamento_n'!H2</f>
        <v>1313</v>
      </c>
      <c r="J6" s="1">
        <f>'0_Parametros'!B7</f>
        <v>10</v>
      </c>
      <c r="K6" s="3">
        <f>(I6-SUM($J$2:$J$57))*G6/H6</f>
        <v>46.168819445845784</v>
      </c>
      <c r="L6" s="1">
        <f>INT(K6)</f>
        <v>46</v>
      </c>
      <c r="M6" s="3">
        <f>K6-L6</f>
        <v>0.16881944584578434</v>
      </c>
      <c r="N6" s="1">
        <f>COUNTIF($M$2:$M$57,"&gt;"&amp;M6)+COUNTIF($M$2:M6,M6)</f>
        <v>52</v>
      </c>
      <c r="O6" s="1">
        <f>J6+L6+IF(N6&lt;=I6-SUM($J$2:$J$57)-SUM($L$2:$L$57),1,0)</f>
        <v>56</v>
      </c>
    </row>
    <row r="7" spans="1:15">
      <c r="A7" s="1" t="s">
        <v>36</v>
      </c>
      <c r="B7" s="1" t="s">
        <v>37</v>
      </c>
      <c r="C7" s="1" t="s">
        <v>38</v>
      </c>
      <c r="D7" s="1" t="s">
        <v>39</v>
      </c>
      <c r="E7" s="1" t="s">
        <v>44</v>
      </c>
      <c r="F7" s="1" t="s">
        <v>42</v>
      </c>
      <c r="G7" s="1">
        <v>9514</v>
      </c>
      <c r="H7" s="1">
        <f>'1_Departamento_n'!C2</f>
        <v>7780253</v>
      </c>
      <c r="I7" s="1">
        <f>'1_Departamento_n'!H2</f>
        <v>1313</v>
      </c>
      <c r="J7" s="1">
        <f>'0_Parametros'!B7</f>
        <v>10</v>
      </c>
      <c r="K7" s="3">
        <f>(I7-SUM($J$2:$J$57))*G7/H7</f>
        <v>0.920798076874878</v>
      </c>
      <c r="L7" s="1">
        <f>INT(K7)</f>
        <v>0</v>
      </c>
      <c r="M7" s="3">
        <f>K7-L7</f>
        <v>0.920798076874878</v>
      </c>
      <c r="N7" s="1">
        <f>COUNTIF($M$2:$M$57,"&gt;"&amp;M7)+COUNTIF($M$2:M7,M7)</f>
        <v>4</v>
      </c>
      <c r="O7" s="1">
        <f>J7+L7+IF(N7&lt;=I7-SUM($J$2:$J$57)-SUM($L$2:$L$57),1,0)</f>
        <v>11</v>
      </c>
    </row>
    <row r="8" spans="1:15">
      <c r="A8" s="1" t="s">
        <v>36</v>
      </c>
      <c r="B8" s="1" t="s">
        <v>37</v>
      </c>
      <c r="C8" s="1" t="s">
        <v>38</v>
      </c>
      <c r="D8" s="1" t="s">
        <v>39</v>
      </c>
      <c r="E8" s="1" t="s">
        <v>45</v>
      </c>
      <c r="F8" s="1" t="s">
        <v>41</v>
      </c>
      <c r="G8" s="1">
        <v>545362</v>
      </c>
      <c r="H8" s="1">
        <f>'1_Departamento_n'!C2</f>
        <v>7780253</v>
      </c>
      <c r="I8" s="1">
        <f>'1_Departamento_n'!H2</f>
        <v>1313</v>
      </c>
      <c r="J8" s="1">
        <f>'0_Parametros'!B7</f>
        <v>10</v>
      </c>
      <c r="K8" s="3">
        <f>(I8-SUM($J$2:$J$57))*G8/H8</f>
        <v>52.782034980096405</v>
      </c>
      <c r="L8" s="1">
        <f>INT(K8)</f>
        <v>52</v>
      </c>
      <c r="M8" s="3">
        <f>K8-L8</f>
        <v>0.7820349800964053</v>
      </c>
      <c r="N8" s="1">
        <f>COUNTIF($M$2:$M$57,"&gt;"&amp;M8)+COUNTIF($M$2:M8,M8)</f>
        <v>10</v>
      </c>
      <c r="O8" s="1">
        <f>J8+L8+IF(N8&lt;=I8-SUM($J$2:$J$57)-SUM($L$2:$L$57),1,0)</f>
        <v>63</v>
      </c>
    </row>
    <row r="9" spans="1:15">
      <c r="A9" s="1" t="s">
        <v>36</v>
      </c>
      <c r="B9" s="1" t="s">
        <v>37</v>
      </c>
      <c r="C9" s="1" t="s">
        <v>38</v>
      </c>
      <c r="D9" s="1" t="s">
        <v>39</v>
      </c>
      <c r="E9" s="1" t="s">
        <v>45</v>
      </c>
      <c r="F9" s="1" t="s">
        <v>42</v>
      </c>
      <c r="G9" s="1">
        <v>6293</v>
      </c>
      <c r="H9" s="1">
        <f>'1_Departamento_n'!C2</f>
        <v>7780253</v>
      </c>
      <c r="I9" s="1">
        <f>'1_Departamento_n'!H2</f>
        <v>1313</v>
      </c>
      <c r="J9" s="1">
        <f>'0_Parametros'!B7</f>
        <v>10</v>
      </c>
      <c r="K9" s="3">
        <f>(I9-SUM($J$2:$J$57))*G9/H9</f>
        <v>0.6090584714918653</v>
      </c>
      <c r="L9" s="1">
        <f>INT(K9)</f>
        <v>0</v>
      </c>
      <c r="M9" s="3">
        <f>K9-L9</f>
        <v>0.6090584714918653</v>
      </c>
      <c r="N9" s="1">
        <f>COUNTIF($M$2:$M$57,"&gt;"&amp;M9)+COUNTIF($M$2:M9,M9)</f>
        <v>15</v>
      </c>
      <c r="O9" s="1">
        <f>J9+L9+IF(N9&lt;=I9-SUM($J$2:$J$57)-SUM($L$2:$L$57),1,0)</f>
        <v>11</v>
      </c>
    </row>
    <row r="10" spans="1:1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46</v>
      </c>
      <c r="F10" s="1" t="s">
        <v>41</v>
      </c>
      <c r="G10" s="1">
        <v>467347</v>
      </c>
      <c r="H10" s="1">
        <f>'1_Departamento_n'!C2</f>
        <v>7780253</v>
      </c>
      <c r="I10" s="1">
        <f>'1_Departamento_n'!H2</f>
        <v>1313</v>
      </c>
      <c r="J10" s="1">
        <f>'0_Parametros'!B7</f>
        <v>10</v>
      </c>
      <c r="K10" s="3">
        <f>(I10-SUM($J$2:$J$57))*G10/H10</f>
        <v>45.231471393025394</v>
      </c>
      <c r="L10" s="1">
        <f>INT(K10)</f>
        <v>45</v>
      </c>
      <c r="M10" s="3">
        <f>K10-L10</f>
        <v>0.23147139302539443</v>
      </c>
      <c r="N10" s="1">
        <f>COUNTIF($M$2:$M$57,"&gt;"&amp;M10)+COUNTIF($M$2:M10,M10)</f>
        <v>49</v>
      </c>
      <c r="O10" s="1">
        <f>J10+L10+IF(N10&lt;=I10-SUM($J$2:$J$57)-SUM($L$2:$L$57),1,0)</f>
        <v>55</v>
      </c>
    </row>
    <row r="11" spans="1:15">
      <c r="A11" s="1" t="s">
        <v>36</v>
      </c>
      <c r="B11" s="1" t="s">
        <v>37</v>
      </c>
      <c r="C11" s="1" t="s">
        <v>38</v>
      </c>
      <c r="D11" s="1" t="s">
        <v>39</v>
      </c>
      <c r="E11" s="1" t="s">
        <v>46</v>
      </c>
      <c r="F11" s="1" t="s">
        <v>42</v>
      </c>
      <c r="G11" s="1">
        <v>3806</v>
      </c>
      <c r="H11" s="1">
        <f>'1_Departamento_n'!C2</f>
        <v>7780253</v>
      </c>
      <c r="I11" s="1">
        <f>'1_Departamento_n'!H2</f>
        <v>1313</v>
      </c>
      <c r="J11" s="1">
        <f>'0_Parametros'!B7</f>
        <v>10</v>
      </c>
      <c r="K11" s="3">
        <f>(I11-SUM($J$2:$J$57))*G11/H11</f>
        <v>0.36835794414397577</v>
      </c>
      <c r="L11" s="1">
        <f>INT(K11)</f>
        <v>0</v>
      </c>
      <c r="M11" s="3">
        <f>K11-L11</f>
        <v>0.36835794414397577</v>
      </c>
      <c r="N11" s="1">
        <f>COUNTIF($M$2:$M$57,"&gt;"&amp;M11)+COUNTIF($M$2:M11,M11)</f>
        <v>32</v>
      </c>
      <c r="O11" s="1">
        <f>J11+L11+IF(N11&lt;=I11-SUM($J$2:$J$57)-SUM($L$2:$L$57),1,0)</f>
        <v>10</v>
      </c>
    </row>
    <row r="12" spans="1:15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47</v>
      </c>
      <c r="F12" s="1" t="s">
        <v>41</v>
      </c>
      <c r="G12" s="1">
        <v>383142</v>
      </c>
      <c r="H12" s="1">
        <f>'1_Departamento_n'!C2</f>
        <v>7780253</v>
      </c>
      <c r="I12" s="1">
        <f>'1_Departamento_n'!H2</f>
        <v>1313</v>
      </c>
      <c r="J12" s="1">
        <f>'0_Parametros'!B7</f>
        <v>10</v>
      </c>
      <c r="K12" s="3">
        <f>(I12-SUM($J$2:$J$57))*G12/H12</f>
        <v>37.08181803342385</v>
      </c>
      <c r="L12" s="1">
        <f>INT(K12)</f>
        <v>37</v>
      </c>
      <c r="M12" s="3">
        <f>K12-L12</f>
        <v>0.08181803342385052</v>
      </c>
      <c r="N12" s="1">
        <f>COUNTIF($M$2:$M$57,"&gt;"&amp;M12)+COUNTIF($M$2:M12,M12)</f>
        <v>55</v>
      </c>
      <c r="O12" s="1">
        <f>J12+L12+IF(N12&lt;=I12-SUM($J$2:$J$57)-SUM($L$2:$L$57),1,0)</f>
        <v>47</v>
      </c>
    </row>
    <row r="13" spans="1:15">
      <c r="A13" s="1" t="s">
        <v>36</v>
      </c>
      <c r="B13" s="1" t="s">
        <v>37</v>
      </c>
      <c r="C13" s="1" t="s">
        <v>38</v>
      </c>
      <c r="D13" s="1" t="s">
        <v>39</v>
      </c>
      <c r="E13" s="1" t="s">
        <v>47</v>
      </c>
      <c r="F13" s="1" t="s">
        <v>42</v>
      </c>
      <c r="G13" s="1">
        <v>2579</v>
      </c>
      <c r="H13" s="1">
        <f>'1_Departamento_n'!C2</f>
        <v>7780253</v>
      </c>
      <c r="I13" s="1">
        <f>'1_Departamento_n'!H2</f>
        <v>1313</v>
      </c>
      <c r="J13" s="1">
        <f>'0_Parametros'!B7</f>
        <v>10</v>
      </c>
      <c r="K13" s="3">
        <f>(I13-SUM($J$2:$J$57))*G13/H13</f>
        <v>0.24960460797354533</v>
      </c>
      <c r="L13" s="1">
        <f>INT(K13)</f>
        <v>0</v>
      </c>
      <c r="M13" s="3">
        <f>K13-L13</f>
        <v>0.24960460797354533</v>
      </c>
      <c r="N13" s="1">
        <f>COUNTIF($M$2:$M$57,"&gt;"&amp;M13)+COUNTIF($M$2:M13,M13)</f>
        <v>46</v>
      </c>
      <c r="O13" s="1">
        <f>J13+L13+IF(N13&lt;=I13-SUM($J$2:$J$57)-SUM($L$2:$L$57),1,0)</f>
        <v>10</v>
      </c>
    </row>
    <row r="14" spans="1:15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48</v>
      </c>
      <c r="F14" s="1" t="s">
        <v>41</v>
      </c>
      <c r="G14" s="1">
        <v>638441</v>
      </c>
      <c r="H14" s="1">
        <f>'1_Departamento_n'!C2</f>
        <v>7780253</v>
      </c>
      <c r="I14" s="1">
        <f>'1_Departamento_n'!H2</f>
        <v>1313</v>
      </c>
      <c r="J14" s="1">
        <f>'0_Parametros'!B7</f>
        <v>10</v>
      </c>
      <c r="K14" s="3">
        <f>(I14-SUM($J$2:$J$57))*G14/H14</f>
        <v>61.79054498613348</v>
      </c>
      <c r="L14" s="1">
        <f>INT(K14)</f>
        <v>61</v>
      </c>
      <c r="M14" s="3">
        <f>K14-L14</f>
        <v>0.790544986133483</v>
      </c>
      <c r="N14" s="1">
        <f>COUNTIF($M$2:$M$57,"&gt;"&amp;M14)+COUNTIF($M$2:M14,M14)</f>
        <v>9</v>
      </c>
      <c r="O14" s="1">
        <f>J14+L14+IF(N14&lt;=I14-SUM($J$2:$J$57)-SUM($L$2:$L$57),1,0)</f>
        <v>72</v>
      </c>
    </row>
    <row r="15" spans="1:15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48</v>
      </c>
      <c r="F15" s="1" t="s">
        <v>42</v>
      </c>
      <c r="G15" s="1">
        <v>3360</v>
      </c>
      <c r="H15" s="1">
        <f>'1_Departamento_n'!C2</f>
        <v>7780253</v>
      </c>
      <c r="I15" s="1">
        <f>'1_Departamento_n'!H2</f>
        <v>1313</v>
      </c>
      <c r="J15" s="1">
        <f>'0_Parametros'!B7</f>
        <v>10</v>
      </c>
      <c r="K15" s="3">
        <f>(I15-SUM($J$2:$J$57))*G15/H15</f>
        <v>0.32519250980655773</v>
      </c>
      <c r="L15" s="1">
        <f>INT(K15)</f>
        <v>0</v>
      </c>
      <c r="M15" s="3">
        <f>K15-L15</f>
        <v>0.32519250980655773</v>
      </c>
      <c r="N15" s="1">
        <f>COUNTIF($M$2:$M$57,"&gt;"&amp;M15)+COUNTIF($M$2:M15,M15)</f>
        <v>40</v>
      </c>
      <c r="O15" s="1">
        <f>J15+L15+IF(N15&lt;=I15-SUM($J$2:$J$57)-SUM($L$2:$L$57),1,0)</f>
        <v>10</v>
      </c>
    </row>
    <row r="16" spans="1:15">
      <c r="A16" s="1" t="s">
        <v>36</v>
      </c>
      <c r="B16" s="1" t="s">
        <v>37</v>
      </c>
      <c r="C16" s="1" t="s">
        <v>38</v>
      </c>
      <c r="D16" s="1" t="s">
        <v>49</v>
      </c>
      <c r="E16" s="1" t="s">
        <v>40</v>
      </c>
      <c r="F16" s="1" t="s">
        <v>41</v>
      </c>
      <c r="G16" s="1">
        <v>239827</v>
      </c>
      <c r="H16" s="1">
        <f>'1_Departamento_n'!C2</f>
        <v>7780253</v>
      </c>
      <c r="I16" s="1">
        <f>'1_Departamento_n'!H2</f>
        <v>1313</v>
      </c>
      <c r="J16" s="1">
        <f>'0_Parametros'!B7</f>
        <v>10</v>
      </c>
      <c r="K16" s="3">
        <f>(I16-SUM($J$2:$J$57))*G16/H16</f>
        <v>23.211292871838488</v>
      </c>
      <c r="L16" s="1">
        <f>INT(K16)</f>
        <v>23</v>
      </c>
      <c r="M16" s="3">
        <f>K16-L16</f>
        <v>0.21129287183848788</v>
      </c>
      <c r="N16" s="1">
        <f>COUNTIF($M$2:$M$57,"&gt;"&amp;M16)+COUNTIF($M$2:M16,M16)</f>
        <v>51</v>
      </c>
      <c r="O16" s="1">
        <f>J16+L16+IF(N16&lt;=I16-SUM($J$2:$J$57)-SUM($L$2:$L$57),1,0)</f>
        <v>33</v>
      </c>
    </row>
    <row r="17" spans="1:15">
      <c r="A17" s="1" t="s">
        <v>36</v>
      </c>
      <c r="B17" s="1" t="s">
        <v>37</v>
      </c>
      <c r="C17" s="1" t="s">
        <v>38</v>
      </c>
      <c r="D17" s="1" t="s">
        <v>49</v>
      </c>
      <c r="E17" s="1" t="s">
        <v>40</v>
      </c>
      <c r="F17" s="1" t="s">
        <v>42</v>
      </c>
      <c r="G17" s="1">
        <v>4438</v>
      </c>
      <c r="H17" s="1">
        <f>'1_Departamento_n'!C2</f>
        <v>7780253</v>
      </c>
      <c r="I17" s="1">
        <f>'1_Departamento_n'!H2</f>
        <v>1313</v>
      </c>
      <c r="J17" s="1">
        <f>'0_Parametros'!B7</f>
        <v>10</v>
      </c>
      <c r="K17" s="3">
        <f>(I17-SUM($J$2:$J$57))*G17/H17</f>
        <v>0.4295251067028283</v>
      </c>
      <c r="L17" s="1">
        <f>INT(K17)</f>
        <v>0</v>
      </c>
      <c r="M17" s="3">
        <f>K17-L17</f>
        <v>0.4295251067028283</v>
      </c>
      <c r="N17" s="1">
        <f>COUNTIF($M$2:$M$57,"&gt;"&amp;M17)+COUNTIF($M$2:M17,M17)</f>
        <v>26</v>
      </c>
      <c r="O17" s="1">
        <f>J17+L17+IF(N17&lt;=I17-SUM($J$2:$J$57)-SUM($L$2:$L$57),1,0)</f>
        <v>11</v>
      </c>
    </row>
    <row r="18" spans="1:15">
      <c r="A18" s="1" t="s">
        <v>36</v>
      </c>
      <c r="B18" s="1" t="s">
        <v>37</v>
      </c>
      <c r="C18" s="1" t="s">
        <v>38</v>
      </c>
      <c r="D18" s="1" t="s">
        <v>49</v>
      </c>
      <c r="E18" s="1" t="s">
        <v>43</v>
      </c>
      <c r="F18" s="1" t="s">
        <v>41</v>
      </c>
      <c r="G18" s="1">
        <v>365883</v>
      </c>
      <c r="H18" s="1">
        <f>'1_Departamento_n'!C2</f>
        <v>7780253</v>
      </c>
      <c r="I18" s="1">
        <f>'1_Departamento_n'!H2</f>
        <v>1313</v>
      </c>
      <c r="J18" s="1">
        <f>'0_Parametros'!B7</f>
        <v>10</v>
      </c>
      <c r="K18" s="3">
        <f>(I18-SUM($J$2:$J$57))*G18/H18</f>
        <v>35.41143186474784</v>
      </c>
      <c r="L18" s="1">
        <f>INT(K18)</f>
        <v>35</v>
      </c>
      <c r="M18" s="3">
        <f>K18-L18</f>
        <v>0.4114318647478399</v>
      </c>
      <c r="N18" s="1">
        <f>COUNTIF($M$2:$M$57,"&gt;"&amp;M18)+COUNTIF($M$2:M18,M18)</f>
        <v>27</v>
      </c>
      <c r="O18" s="1">
        <f>J18+L18+IF(N18&lt;=I18-SUM($J$2:$J$57)-SUM($L$2:$L$57),1,0)</f>
        <v>45</v>
      </c>
    </row>
    <row r="19" spans="1:15">
      <c r="A19" s="1" t="s">
        <v>36</v>
      </c>
      <c r="B19" s="1" t="s">
        <v>37</v>
      </c>
      <c r="C19" s="1" t="s">
        <v>38</v>
      </c>
      <c r="D19" s="1" t="s">
        <v>49</v>
      </c>
      <c r="E19" s="1" t="s">
        <v>43</v>
      </c>
      <c r="F19" s="1" t="s">
        <v>42</v>
      </c>
      <c r="G19" s="1">
        <v>3793</v>
      </c>
      <c r="H19" s="1">
        <f>'1_Departamento_n'!C2</f>
        <v>7780253</v>
      </c>
      <c r="I19" s="1">
        <f>'1_Departamento_n'!H2</f>
        <v>1313</v>
      </c>
      <c r="J19" s="1">
        <f>'0_Parametros'!B7</f>
        <v>10</v>
      </c>
      <c r="K19" s="3">
        <f>(I19-SUM($J$2:$J$57))*G19/H19</f>
        <v>0.3670997588381766</v>
      </c>
      <c r="L19" s="1">
        <f>INT(K19)</f>
        <v>0</v>
      </c>
      <c r="M19" s="3">
        <f>K19-L19</f>
        <v>0.3670997588381766</v>
      </c>
      <c r="N19" s="1">
        <f>COUNTIF($M$2:$M$57,"&gt;"&amp;M19)+COUNTIF($M$2:M19,M19)</f>
        <v>33</v>
      </c>
      <c r="O19" s="1">
        <f>J19+L19+IF(N19&lt;=I19-SUM($J$2:$J$57)-SUM($L$2:$L$57),1,0)</f>
        <v>10</v>
      </c>
    </row>
    <row r="20" spans="1:15">
      <c r="A20" s="1" t="s">
        <v>36</v>
      </c>
      <c r="B20" s="1" t="s">
        <v>37</v>
      </c>
      <c r="C20" s="1" t="s">
        <v>38</v>
      </c>
      <c r="D20" s="1" t="s">
        <v>49</v>
      </c>
      <c r="E20" s="1" t="s">
        <v>44</v>
      </c>
      <c r="F20" s="1" t="s">
        <v>41</v>
      </c>
      <c r="G20" s="1">
        <v>469397</v>
      </c>
      <c r="H20" s="1">
        <f>'1_Departamento_n'!C2</f>
        <v>7780253</v>
      </c>
      <c r="I20" s="1">
        <f>'1_Departamento_n'!H2</f>
        <v>1313</v>
      </c>
      <c r="J20" s="1">
        <f>'0_Parametros'!B7</f>
        <v>10</v>
      </c>
      <c r="K20" s="3">
        <f>(I20-SUM($J$2:$J$57))*G20/H20</f>
        <v>45.42987753740142</v>
      </c>
      <c r="L20" s="1">
        <f>INT(K20)</f>
        <v>45</v>
      </c>
      <c r="M20" s="3">
        <f>K20-L20</f>
        <v>0.429877537401417</v>
      </c>
      <c r="N20" s="1">
        <f>COUNTIF($M$2:$M$57,"&gt;"&amp;M20)+COUNTIF($M$2:M20,M20)</f>
        <v>25</v>
      </c>
      <c r="O20" s="1">
        <f>J20+L20+IF(N20&lt;=I20-SUM($J$2:$J$57)-SUM($L$2:$L$57),1,0)</f>
        <v>56</v>
      </c>
    </row>
    <row r="21" spans="1:15">
      <c r="A21" s="1" t="s">
        <v>36</v>
      </c>
      <c r="B21" s="1" t="s">
        <v>37</v>
      </c>
      <c r="C21" s="1" t="s">
        <v>38</v>
      </c>
      <c r="D21" s="1" t="s">
        <v>49</v>
      </c>
      <c r="E21" s="1" t="s">
        <v>44</v>
      </c>
      <c r="F21" s="1" t="s">
        <v>42</v>
      </c>
      <c r="G21" s="1">
        <v>11469</v>
      </c>
      <c r="H21" s="1">
        <f>'1_Departamento_n'!C2</f>
        <v>7780253</v>
      </c>
      <c r="I21" s="1">
        <f>'1_Departamento_n'!H2</f>
        <v>1313</v>
      </c>
      <c r="J21" s="1">
        <f>'0_Parametros'!B7</f>
        <v>10</v>
      </c>
      <c r="K21" s="3">
        <f>(I21-SUM($J$2:$J$57))*G21/H21</f>
        <v>1.1100097901700625</v>
      </c>
      <c r="L21" s="1">
        <f>INT(K21)</f>
        <v>1</v>
      </c>
      <c r="M21" s="3">
        <f>K21-L21</f>
        <v>0.11000979017006252</v>
      </c>
      <c r="N21" s="1">
        <f>COUNTIF($M$2:$M$57,"&gt;"&amp;M21)+COUNTIF($M$2:M21,M21)</f>
        <v>54</v>
      </c>
      <c r="O21" s="1">
        <f>J21+L21+IF(N21&lt;=I21-SUM($J$2:$J$57)-SUM($L$2:$L$57),1,0)</f>
        <v>11</v>
      </c>
    </row>
    <row r="22" spans="1:15">
      <c r="A22" s="1" t="s">
        <v>36</v>
      </c>
      <c r="B22" s="1" t="s">
        <v>37</v>
      </c>
      <c r="C22" s="1" t="s">
        <v>38</v>
      </c>
      <c r="D22" s="1" t="s">
        <v>49</v>
      </c>
      <c r="E22" s="1" t="s">
        <v>45</v>
      </c>
      <c r="F22" s="1" t="s">
        <v>41</v>
      </c>
      <c r="G22" s="1">
        <v>516934</v>
      </c>
      <c r="H22" s="1">
        <f>'1_Departamento_n'!C2</f>
        <v>7780253</v>
      </c>
      <c r="I22" s="1">
        <f>'1_Departamento_n'!H2</f>
        <v>1313</v>
      </c>
      <c r="J22" s="1">
        <f>'0_Parametros'!B7</f>
        <v>10</v>
      </c>
      <c r="K22" s="3">
        <f>(I22-SUM($J$2:$J$57))*G22/H22</f>
        <v>50.03067406676878</v>
      </c>
      <c r="L22" s="1">
        <f>INT(K22)</f>
        <v>50</v>
      </c>
      <c r="M22" s="3">
        <f>K22-L22</f>
        <v>0.030674066768781927</v>
      </c>
      <c r="N22" s="1">
        <f>COUNTIF($M$2:$M$57,"&gt;"&amp;M22)+COUNTIF($M$2:M22,M22)</f>
        <v>56</v>
      </c>
      <c r="O22" s="1">
        <f>J22+L22+IF(N22&lt;=I22-SUM($J$2:$J$57)-SUM($L$2:$L$57),1,0)</f>
        <v>60</v>
      </c>
    </row>
    <row r="23" spans="1:15">
      <c r="A23" s="1" t="s">
        <v>36</v>
      </c>
      <c r="B23" s="1" t="s">
        <v>37</v>
      </c>
      <c r="C23" s="1" t="s">
        <v>38</v>
      </c>
      <c r="D23" s="1" t="s">
        <v>49</v>
      </c>
      <c r="E23" s="1" t="s">
        <v>45</v>
      </c>
      <c r="F23" s="1" t="s">
        <v>42</v>
      </c>
      <c r="G23" s="1">
        <v>7545</v>
      </c>
      <c r="H23" s="1">
        <f>'1_Departamento_n'!C2</f>
        <v>7780253</v>
      </c>
      <c r="I23" s="1">
        <f>'1_Departamento_n'!H2</f>
        <v>1313</v>
      </c>
      <c r="J23" s="1">
        <f>'0_Parametros'!B7</f>
        <v>10</v>
      </c>
      <c r="K23" s="3">
        <f>(I23-SUM($J$2:$J$57))*G23/H23</f>
        <v>0.7302313947888327</v>
      </c>
      <c r="L23" s="1">
        <f>INT(K23)</f>
        <v>0</v>
      </c>
      <c r="M23" s="3">
        <f>K23-L23</f>
        <v>0.7302313947888327</v>
      </c>
      <c r="N23" s="1">
        <f>COUNTIF($M$2:$M$57,"&gt;"&amp;M23)+COUNTIF($M$2:M23,M23)</f>
        <v>11</v>
      </c>
      <c r="O23" s="1">
        <f>J23+L23+IF(N23&lt;=I23-SUM($J$2:$J$57)-SUM($L$2:$L$57),1,0)</f>
        <v>11</v>
      </c>
    </row>
    <row r="24" spans="1:15">
      <c r="A24" s="1" t="s">
        <v>36</v>
      </c>
      <c r="B24" s="1" t="s">
        <v>37</v>
      </c>
      <c r="C24" s="1" t="s">
        <v>38</v>
      </c>
      <c r="D24" s="1" t="s">
        <v>49</v>
      </c>
      <c r="E24" s="1" t="s">
        <v>46</v>
      </c>
      <c r="F24" s="1" t="s">
        <v>41</v>
      </c>
      <c r="G24" s="1">
        <v>419345</v>
      </c>
      <c r="H24" s="1">
        <f>'1_Departamento_n'!C2</f>
        <v>7780253</v>
      </c>
      <c r="I24" s="1">
        <f>'1_Departamento_n'!H2</f>
        <v>1313</v>
      </c>
      <c r="J24" s="1">
        <f>'0_Parametros'!B7</f>
        <v>10</v>
      </c>
      <c r="K24" s="3">
        <f>(I24-SUM($J$2:$J$57))*G24/H24</f>
        <v>40.58567054310445</v>
      </c>
      <c r="L24" s="1">
        <f>INT(K24)</f>
        <v>40</v>
      </c>
      <c r="M24" s="3">
        <f>K24-L24</f>
        <v>0.5856705431044489</v>
      </c>
      <c r="N24" s="1">
        <f>COUNTIF($M$2:$M$57,"&gt;"&amp;M24)+COUNTIF($M$2:M24,M24)</f>
        <v>16</v>
      </c>
      <c r="O24" s="1">
        <f>J24+L24+IF(N24&lt;=I24-SUM($J$2:$J$57)-SUM($L$2:$L$57),1,0)</f>
        <v>51</v>
      </c>
    </row>
    <row r="25" spans="1:15">
      <c r="A25" s="1" t="s">
        <v>36</v>
      </c>
      <c r="B25" s="1" t="s">
        <v>37</v>
      </c>
      <c r="C25" s="1" t="s">
        <v>38</v>
      </c>
      <c r="D25" s="1" t="s">
        <v>49</v>
      </c>
      <c r="E25" s="1" t="s">
        <v>46</v>
      </c>
      <c r="F25" s="1" t="s">
        <v>42</v>
      </c>
      <c r="G25" s="1">
        <v>4195</v>
      </c>
      <c r="H25" s="1">
        <f>'1_Departamento_n'!C2</f>
        <v>7780253</v>
      </c>
      <c r="I25" s="1">
        <f>'1_Departamento_n'!H2</f>
        <v>1313</v>
      </c>
      <c r="J25" s="1">
        <f>'0_Parametros'!B7</f>
        <v>10</v>
      </c>
      <c r="K25" s="3">
        <f>(I25-SUM($J$2:$J$57))*G25/H25</f>
        <v>0.4060067198328898</v>
      </c>
      <c r="L25" s="1">
        <f>INT(K25)</f>
        <v>0</v>
      </c>
      <c r="M25" s="3">
        <f>K25-L25</f>
        <v>0.4060067198328898</v>
      </c>
      <c r="N25" s="1">
        <f>COUNTIF($M$2:$M$57,"&gt;"&amp;M25)+COUNTIF($M$2:M25,M25)</f>
        <v>29</v>
      </c>
      <c r="O25" s="1">
        <f>J25+L25+IF(N25&lt;=I25-SUM($J$2:$J$57)-SUM($L$2:$L$57),1,0)</f>
        <v>10</v>
      </c>
    </row>
    <row r="26" spans="1:15">
      <c r="A26" s="1" t="s">
        <v>36</v>
      </c>
      <c r="B26" s="1" t="s">
        <v>37</v>
      </c>
      <c r="C26" s="1" t="s">
        <v>38</v>
      </c>
      <c r="D26" s="1" t="s">
        <v>49</v>
      </c>
      <c r="E26" s="1" t="s">
        <v>47</v>
      </c>
      <c r="F26" s="1" t="s">
        <v>41</v>
      </c>
      <c r="G26" s="1">
        <v>323716</v>
      </c>
      <c r="H26" s="1">
        <f>'1_Departamento_n'!C2</f>
        <v>7780253</v>
      </c>
      <c r="I26" s="1">
        <f>'1_Departamento_n'!H2</f>
        <v>1313</v>
      </c>
      <c r="J26" s="1">
        <f>'0_Parametros'!B7</f>
        <v>10</v>
      </c>
      <c r="K26" s="3">
        <f>(I26-SUM($J$2:$J$57))*G26/H26</f>
        <v>31.330362650160605</v>
      </c>
      <c r="L26" s="1">
        <f>INT(K26)</f>
        <v>31</v>
      </c>
      <c r="M26" s="3">
        <f>K26-L26</f>
        <v>0.3303626501606054</v>
      </c>
      <c r="N26" s="1">
        <f>COUNTIF($M$2:$M$57,"&gt;"&amp;M26)+COUNTIF($M$2:M26,M26)</f>
        <v>38</v>
      </c>
      <c r="O26" s="1">
        <f>J26+L26+IF(N26&lt;=I26-SUM($J$2:$J$57)-SUM($L$2:$L$57),1,0)</f>
        <v>41</v>
      </c>
    </row>
    <row r="27" spans="1:15">
      <c r="A27" s="1" t="s">
        <v>36</v>
      </c>
      <c r="B27" s="1" t="s">
        <v>37</v>
      </c>
      <c r="C27" s="1" t="s">
        <v>38</v>
      </c>
      <c r="D27" s="1" t="s">
        <v>49</v>
      </c>
      <c r="E27" s="1" t="s">
        <v>47</v>
      </c>
      <c r="F27" s="1" t="s">
        <v>42</v>
      </c>
      <c r="G27" s="1">
        <v>2623</v>
      </c>
      <c r="H27" s="1">
        <f>'1_Departamento_n'!C2</f>
        <v>7780253</v>
      </c>
      <c r="I27" s="1">
        <f>'1_Departamento_n'!H2</f>
        <v>1313</v>
      </c>
      <c r="J27" s="1">
        <f>'0_Parametros'!B7</f>
        <v>10</v>
      </c>
      <c r="K27" s="3">
        <f>(I27-SUM($J$2:$J$57))*G27/H27</f>
        <v>0.25386308131625024</v>
      </c>
      <c r="L27" s="1">
        <f>INT(K27)</f>
        <v>0</v>
      </c>
      <c r="M27" s="3">
        <f>K27-L27</f>
        <v>0.25386308131625024</v>
      </c>
      <c r="N27" s="1">
        <f>COUNTIF($M$2:$M$57,"&gt;"&amp;M27)+COUNTIF($M$2:M27,M27)</f>
        <v>45</v>
      </c>
      <c r="O27" s="1">
        <f>J27+L27+IF(N27&lt;=I27-SUM($J$2:$J$57)-SUM($L$2:$L$57),1,0)</f>
        <v>10</v>
      </c>
    </row>
    <row r="28" spans="1:15">
      <c r="A28" s="1" t="s">
        <v>36</v>
      </c>
      <c r="B28" s="1" t="s">
        <v>37</v>
      </c>
      <c r="C28" s="1" t="s">
        <v>38</v>
      </c>
      <c r="D28" s="1" t="s">
        <v>49</v>
      </c>
      <c r="E28" s="1" t="s">
        <v>48</v>
      </c>
      <c r="F28" s="1" t="s">
        <v>41</v>
      </c>
      <c r="G28" s="1">
        <v>468713</v>
      </c>
      <c r="H28" s="1">
        <f>'1_Departamento_n'!C2</f>
        <v>7780253</v>
      </c>
      <c r="I28" s="1">
        <f>'1_Departamento_n'!H2</f>
        <v>1313</v>
      </c>
      <c r="J28" s="1">
        <f>'0_Parametros'!B7</f>
        <v>10</v>
      </c>
      <c r="K28" s="3">
        <f>(I28-SUM($J$2:$J$57))*G28/H28</f>
        <v>45.36367763361937</v>
      </c>
      <c r="L28" s="1">
        <f>INT(K28)</f>
        <v>45</v>
      </c>
      <c r="M28" s="3">
        <f>K28-L28</f>
        <v>0.36367763361936767</v>
      </c>
      <c r="N28" s="1">
        <f>COUNTIF($M$2:$M$57,"&gt;"&amp;M28)+COUNTIF($M$2:M28,M28)</f>
        <v>34</v>
      </c>
      <c r="O28" s="1">
        <f>J28+L28+IF(N28&lt;=I28-SUM($J$2:$J$57)-SUM($L$2:$L$57),1,0)</f>
        <v>55</v>
      </c>
    </row>
    <row r="29" spans="1:15">
      <c r="A29" s="1" t="s">
        <v>36</v>
      </c>
      <c r="B29" s="1" t="s">
        <v>37</v>
      </c>
      <c r="C29" s="1" t="s">
        <v>38</v>
      </c>
      <c r="D29" s="1" t="s">
        <v>49</v>
      </c>
      <c r="E29" s="1" t="s">
        <v>48</v>
      </c>
      <c r="F29" s="1" t="s">
        <v>42</v>
      </c>
      <c r="G29" s="1">
        <v>2974</v>
      </c>
      <c r="H29" s="1">
        <f>'1_Departamento_n'!C2</f>
        <v>7780253</v>
      </c>
      <c r="I29" s="1">
        <f>'1_Departamento_n'!H2</f>
        <v>1313</v>
      </c>
      <c r="J29" s="1">
        <f>'0_Parametros'!B7</f>
        <v>10</v>
      </c>
      <c r="K29" s="3">
        <f>(I29-SUM($J$2:$J$57))*G29/H29</f>
        <v>0.28783408457282816</v>
      </c>
      <c r="L29" s="1">
        <f>INT(K29)</f>
        <v>0</v>
      </c>
      <c r="M29" s="3">
        <f>K29-L29</f>
        <v>0.28783408457282816</v>
      </c>
      <c r="N29" s="1">
        <f>COUNTIF($M$2:$M$57,"&gt;"&amp;M29)+COUNTIF($M$2:M29,M29)</f>
        <v>42</v>
      </c>
      <c r="O29" s="1">
        <f>J29+L29+IF(N29&lt;=I29-SUM($J$2:$J$57)-SUM($L$2:$L$57),1,0)</f>
        <v>10</v>
      </c>
    </row>
    <row r="30" spans="1:15">
      <c r="A30" s="1" t="s">
        <v>36</v>
      </c>
      <c r="B30" s="1" t="s">
        <v>37</v>
      </c>
      <c r="C30" s="1" t="s">
        <v>50</v>
      </c>
      <c r="D30" s="1" t="s">
        <v>39</v>
      </c>
      <c r="E30" s="1" t="s">
        <v>40</v>
      </c>
      <c r="F30" s="1" t="s">
        <v>41</v>
      </c>
      <c r="G30" s="1">
        <v>101851</v>
      </c>
      <c r="H30" s="1">
        <f>'1_Departamento_n'!C2</f>
        <v>7780253</v>
      </c>
      <c r="I30" s="1">
        <f>'1_Departamento_n'!H2</f>
        <v>1313</v>
      </c>
      <c r="J30" s="1">
        <f>'0_Parametros'!B7</f>
        <v>10</v>
      </c>
      <c r="K30" s="3">
        <f>(I30-SUM($J$2:$J$57))*G30/H30</f>
        <v>9.857494736996342</v>
      </c>
      <c r="L30" s="1">
        <f>INT(K30)</f>
        <v>9</v>
      </c>
      <c r="M30" s="3">
        <f>K30-L30</f>
        <v>0.8574947369963422</v>
      </c>
      <c r="N30" s="1">
        <f>COUNTIF($M$2:$M$57,"&gt;"&amp;M30)+COUNTIF($M$2:M30,M30)</f>
        <v>6</v>
      </c>
      <c r="O30" s="1">
        <f>J30+L30+IF(N30&lt;=I30-SUM($J$2:$J$57)-SUM($L$2:$L$57),1,0)</f>
        <v>20</v>
      </c>
    </row>
    <row r="31" spans="1:15">
      <c r="A31" s="1" t="s">
        <v>36</v>
      </c>
      <c r="B31" s="1" t="s">
        <v>37</v>
      </c>
      <c r="C31" s="1" t="s">
        <v>50</v>
      </c>
      <c r="D31" s="1" t="s">
        <v>39</v>
      </c>
      <c r="E31" s="1" t="s">
        <v>40</v>
      </c>
      <c r="F31" s="1" t="s">
        <v>42</v>
      </c>
      <c r="G31" s="1">
        <v>4862</v>
      </c>
      <c r="H31" s="1">
        <f>'1_Departamento_n'!C2</f>
        <v>7780253</v>
      </c>
      <c r="I31" s="1">
        <f>'1_Departamento_n'!H2</f>
        <v>1313</v>
      </c>
      <c r="J31" s="1">
        <f>'0_Parametros'!B7</f>
        <v>10</v>
      </c>
      <c r="K31" s="3">
        <f>(I31-SUM($J$2:$J$57))*G31/H31</f>
        <v>0.47056130436889393</v>
      </c>
      <c r="L31" s="1">
        <f>INT(K31)</f>
        <v>0</v>
      </c>
      <c r="M31" s="3">
        <f>K31-L31</f>
        <v>0.47056130436889393</v>
      </c>
      <c r="N31" s="1">
        <f>COUNTIF($M$2:$M$57,"&gt;"&amp;M31)+COUNTIF($M$2:M31,M31)</f>
        <v>22</v>
      </c>
      <c r="O31" s="1">
        <f>J31+L31+IF(N31&lt;=I31-SUM($J$2:$J$57)-SUM($L$2:$L$57),1,0)</f>
        <v>11</v>
      </c>
    </row>
    <row r="32" spans="1:15">
      <c r="A32" s="1" t="s">
        <v>36</v>
      </c>
      <c r="B32" s="1" t="s">
        <v>37</v>
      </c>
      <c r="C32" s="1" t="s">
        <v>50</v>
      </c>
      <c r="D32" s="1" t="s">
        <v>39</v>
      </c>
      <c r="E32" s="1" t="s">
        <v>43</v>
      </c>
      <c r="F32" s="1" t="s">
        <v>41</v>
      </c>
      <c r="G32" s="1">
        <v>129928</v>
      </c>
      <c r="H32" s="1">
        <f>'1_Departamento_n'!C2</f>
        <v>7780253</v>
      </c>
      <c r="I32" s="1">
        <f>'1_Departamento_n'!H2</f>
        <v>1313</v>
      </c>
      <c r="J32" s="1">
        <f>'0_Parametros'!B7</f>
        <v>10</v>
      </c>
      <c r="K32" s="3">
        <f>(I32-SUM($J$2:$J$57))*G32/H32</f>
        <v>12.574884647067389</v>
      </c>
      <c r="L32" s="1">
        <f>INT(K32)</f>
        <v>12</v>
      </c>
      <c r="M32" s="3">
        <f>K32-L32</f>
        <v>0.574884647067389</v>
      </c>
      <c r="N32" s="1">
        <f>COUNTIF($M$2:$M$57,"&gt;"&amp;M32)+COUNTIF($M$2:M32,M32)</f>
        <v>17</v>
      </c>
      <c r="O32" s="1">
        <f>J32+L32+IF(N32&lt;=I32-SUM($J$2:$J$57)-SUM($L$2:$L$57),1,0)</f>
        <v>23</v>
      </c>
    </row>
    <row r="33" spans="1:15">
      <c r="A33" s="1" t="s">
        <v>36</v>
      </c>
      <c r="B33" s="1" t="s">
        <v>37</v>
      </c>
      <c r="C33" s="1" t="s">
        <v>50</v>
      </c>
      <c r="D33" s="1" t="s">
        <v>39</v>
      </c>
      <c r="E33" s="1" t="s">
        <v>43</v>
      </c>
      <c r="F33" s="1" t="s">
        <v>42</v>
      </c>
      <c r="G33" s="1">
        <v>5045</v>
      </c>
      <c r="H33" s="1">
        <f>'1_Departamento_n'!C2</f>
        <v>7780253</v>
      </c>
      <c r="I33" s="1">
        <f>'1_Departamento_n'!H2</f>
        <v>1313</v>
      </c>
      <c r="J33" s="1">
        <f>'0_Parametros'!B7</f>
        <v>10</v>
      </c>
      <c r="K33" s="3">
        <f>(I33-SUM($J$2:$J$57))*G33/H33</f>
        <v>0.4882726821351439</v>
      </c>
      <c r="L33" s="1">
        <f>INT(K33)</f>
        <v>0</v>
      </c>
      <c r="M33" s="3">
        <f>K33-L33</f>
        <v>0.4882726821351439</v>
      </c>
      <c r="N33" s="1">
        <f>COUNTIF($M$2:$M$57,"&gt;"&amp;M33)+COUNTIF($M$2:M33,M33)</f>
        <v>21</v>
      </c>
      <c r="O33" s="1">
        <f>J33+L33+IF(N33&lt;=I33-SUM($J$2:$J$57)-SUM($L$2:$L$57),1,0)</f>
        <v>11</v>
      </c>
    </row>
    <row r="34" spans="1:15">
      <c r="A34" s="1" t="s">
        <v>36</v>
      </c>
      <c r="B34" s="1" t="s">
        <v>37</v>
      </c>
      <c r="C34" s="1" t="s">
        <v>50</v>
      </c>
      <c r="D34" s="1" t="s">
        <v>39</v>
      </c>
      <c r="E34" s="1" t="s">
        <v>44</v>
      </c>
      <c r="F34" s="1" t="s">
        <v>41</v>
      </c>
      <c r="G34" s="1">
        <v>147558</v>
      </c>
      <c r="H34" s="1">
        <f>'1_Departamento_n'!C2</f>
        <v>7780253</v>
      </c>
      <c r="I34" s="1">
        <f>'1_Departamento_n'!H2</f>
        <v>1313</v>
      </c>
      <c r="J34" s="1">
        <f>'0_Parametros'!B7</f>
        <v>10</v>
      </c>
      <c r="K34" s="3">
        <f>(I34-SUM($J$2:$J$57))*G34/H34</f>
        <v>14.281177488701204</v>
      </c>
      <c r="L34" s="1">
        <f>INT(K34)</f>
        <v>14</v>
      </c>
      <c r="M34" s="3">
        <f>K34-L34</f>
        <v>0.2811774887012035</v>
      </c>
      <c r="N34" s="1">
        <f>COUNTIF($M$2:$M$57,"&gt;"&amp;M34)+COUNTIF($M$2:M34,M34)</f>
        <v>43</v>
      </c>
      <c r="O34" s="1">
        <f>J34+L34+IF(N34&lt;=I34-SUM($J$2:$J$57)-SUM($L$2:$L$57),1,0)</f>
        <v>24</v>
      </c>
    </row>
    <row r="35" spans="1:15">
      <c r="A35" s="1" t="s">
        <v>36</v>
      </c>
      <c r="B35" s="1" t="s">
        <v>37</v>
      </c>
      <c r="C35" s="1" t="s">
        <v>50</v>
      </c>
      <c r="D35" s="1" t="s">
        <v>39</v>
      </c>
      <c r="E35" s="1" t="s">
        <v>44</v>
      </c>
      <c r="F35" s="1" t="s">
        <v>42</v>
      </c>
      <c r="G35" s="1">
        <v>8419</v>
      </c>
      <c r="H35" s="1">
        <f>'1_Departamento_n'!C2</f>
        <v>7780253</v>
      </c>
      <c r="I35" s="1">
        <f>'1_Departamento_n'!H2</f>
        <v>1313</v>
      </c>
      <c r="J35" s="1">
        <f>'0_Parametros'!B7</f>
        <v>10</v>
      </c>
      <c r="K35" s="3">
        <f>(I35-SUM($J$2:$J$57))*G35/H35</f>
        <v>0.8148201607325622</v>
      </c>
      <c r="L35" s="1">
        <f>INT(K35)</f>
        <v>0</v>
      </c>
      <c r="M35" s="3">
        <f>K35-L35</f>
        <v>0.8148201607325622</v>
      </c>
      <c r="N35" s="1">
        <f>COUNTIF($M$2:$M$57,"&gt;"&amp;M35)+COUNTIF($M$2:M35,M35)</f>
        <v>8</v>
      </c>
      <c r="O35" s="1">
        <f>J35+L35+IF(N35&lt;=I35-SUM($J$2:$J$57)-SUM($L$2:$L$57),1,0)</f>
        <v>11</v>
      </c>
    </row>
    <row r="36" spans="1:15">
      <c r="A36" s="1" t="s">
        <v>36</v>
      </c>
      <c r="B36" s="1" t="s">
        <v>37</v>
      </c>
      <c r="C36" s="1" t="s">
        <v>50</v>
      </c>
      <c r="D36" s="1" t="s">
        <v>39</v>
      </c>
      <c r="E36" s="1" t="s">
        <v>45</v>
      </c>
      <c r="F36" s="1" t="s">
        <v>41</v>
      </c>
      <c r="G36" s="1">
        <v>132456</v>
      </c>
      <c r="H36" s="1">
        <f>'1_Departamento_n'!C2</f>
        <v>7780253</v>
      </c>
      <c r="I36" s="1">
        <f>'1_Departamento_n'!H2</f>
        <v>1313</v>
      </c>
      <c r="J36" s="1">
        <f>'0_Parametros'!B7</f>
        <v>10</v>
      </c>
      <c r="K36" s="3">
        <f>(I36-SUM($J$2:$J$57))*G36/H36</f>
        <v>12.8195532973028</v>
      </c>
      <c r="L36" s="1">
        <f>INT(K36)</f>
        <v>12</v>
      </c>
      <c r="M36" s="3">
        <f>K36-L36</f>
        <v>0.8195532973028001</v>
      </c>
      <c r="N36" s="1">
        <f>COUNTIF($M$2:$M$57,"&gt;"&amp;M36)+COUNTIF($M$2:M36,M36)</f>
        <v>7</v>
      </c>
      <c r="O36" s="1">
        <f>J36+L36+IF(N36&lt;=I36-SUM($J$2:$J$57)-SUM($L$2:$L$57),1,0)</f>
        <v>23</v>
      </c>
    </row>
    <row r="37" spans="1:15">
      <c r="A37" s="1" t="s">
        <v>36</v>
      </c>
      <c r="B37" s="1" t="s">
        <v>37</v>
      </c>
      <c r="C37" s="1" t="s">
        <v>50</v>
      </c>
      <c r="D37" s="1" t="s">
        <v>39</v>
      </c>
      <c r="E37" s="1" t="s">
        <v>45</v>
      </c>
      <c r="F37" s="1" t="s">
        <v>42</v>
      </c>
      <c r="G37" s="1">
        <v>5368</v>
      </c>
      <c r="H37" s="1">
        <f>'1_Departamento_n'!C2</f>
        <v>7780253</v>
      </c>
      <c r="I37" s="1">
        <f>'1_Departamento_n'!H2</f>
        <v>1313</v>
      </c>
      <c r="J37" s="1">
        <f>'0_Parametros'!B7</f>
        <v>10</v>
      </c>
      <c r="K37" s="3">
        <f>(I37-SUM($J$2:$J$57))*G37/H37</f>
        <v>0.5195337478100005</v>
      </c>
      <c r="L37" s="1">
        <f>INT(K37)</f>
        <v>0</v>
      </c>
      <c r="M37" s="3">
        <f>K37-L37</f>
        <v>0.5195337478100005</v>
      </c>
      <c r="N37" s="1">
        <f>COUNTIF($M$2:$M$57,"&gt;"&amp;M37)+COUNTIF($M$2:M37,M37)</f>
        <v>19</v>
      </c>
      <c r="O37" s="1">
        <f>J37+L37+IF(N37&lt;=I37-SUM($J$2:$J$57)-SUM($L$2:$L$57),1,0)</f>
        <v>11</v>
      </c>
    </row>
    <row r="38" spans="1:15">
      <c r="A38" s="1" t="s">
        <v>36</v>
      </c>
      <c r="B38" s="1" t="s">
        <v>37</v>
      </c>
      <c r="C38" s="1" t="s">
        <v>50</v>
      </c>
      <c r="D38" s="1" t="s">
        <v>39</v>
      </c>
      <c r="E38" s="1" t="s">
        <v>46</v>
      </c>
      <c r="F38" s="1" t="s">
        <v>41</v>
      </c>
      <c r="G38" s="1">
        <v>115123</v>
      </c>
      <c r="H38" s="1">
        <f>'1_Departamento_n'!C2</f>
        <v>7780253</v>
      </c>
      <c r="I38" s="1">
        <f>'1_Departamento_n'!H2</f>
        <v>1313</v>
      </c>
      <c r="J38" s="1">
        <f>'0_Parametros'!B7</f>
        <v>10</v>
      </c>
      <c r="K38" s="3">
        <f>(I38-SUM($J$2:$J$57))*G38/H38</f>
        <v>11.142005150732246</v>
      </c>
      <c r="L38" s="1">
        <f>INT(K38)</f>
        <v>11</v>
      </c>
      <c r="M38" s="3">
        <f>K38-L38</f>
        <v>0.1420051507322455</v>
      </c>
      <c r="N38" s="1">
        <f>COUNTIF($M$2:$M$57,"&gt;"&amp;M38)+COUNTIF($M$2:M38,M38)</f>
        <v>53</v>
      </c>
      <c r="O38" s="1">
        <f>J38+L38+IF(N38&lt;=I38-SUM($J$2:$J$57)-SUM($L$2:$L$57),1,0)</f>
        <v>21</v>
      </c>
    </row>
    <row r="39" spans="1:15">
      <c r="A39" s="1" t="s">
        <v>36</v>
      </c>
      <c r="B39" s="1" t="s">
        <v>37</v>
      </c>
      <c r="C39" s="1" t="s">
        <v>50</v>
      </c>
      <c r="D39" s="1" t="s">
        <v>39</v>
      </c>
      <c r="E39" s="1" t="s">
        <v>46</v>
      </c>
      <c r="F39" s="1" t="s">
        <v>42</v>
      </c>
      <c r="G39" s="1">
        <v>3302</v>
      </c>
      <c r="H39" s="1">
        <f>'1_Departamento_n'!C2</f>
        <v>7780253</v>
      </c>
      <c r="I39" s="1">
        <f>'1_Departamento_n'!H2</f>
        <v>1313</v>
      </c>
      <c r="J39" s="1">
        <f>'0_Parametros'!B7</f>
        <v>10</v>
      </c>
      <c r="K39" s="3">
        <f>(I39-SUM($J$2:$J$57))*G39/H39</f>
        <v>0.3195790676729921</v>
      </c>
      <c r="L39" s="1">
        <f>INT(K39)</f>
        <v>0</v>
      </c>
      <c r="M39" s="3">
        <f>K39-L39</f>
        <v>0.3195790676729921</v>
      </c>
      <c r="N39" s="1">
        <f>COUNTIF($M$2:$M$57,"&gt;"&amp;M39)+COUNTIF($M$2:M39,M39)</f>
        <v>41</v>
      </c>
      <c r="O39" s="1">
        <f>J39+L39+IF(N39&lt;=I39-SUM($J$2:$J$57)-SUM($L$2:$L$57),1,0)</f>
        <v>10</v>
      </c>
    </row>
    <row r="40" spans="1:15">
      <c r="A40" s="1" t="s">
        <v>36</v>
      </c>
      <c r="B40" s="1" t="s">
        <v>37</v>
      </c>
      <c r="C40" s="1" t="s">
        <v>50</v>
      </c>
      <c r="D40" s="1" t="s">
        <v>39</v>
      </c>
      <c r="E40" s="1" t="s">
        <v>47</v>
      </c>
      <c r="F40" s="1" t="s">
        <v>41</v>
      </c>
      <c r="G40" s="1">
        <v>105828</v>
      </c>
      <c r="H40" s="1">
        <f>'1_Departamento_n'!C2</f>
        <v>7780253</v>
      </c>
      <c r="I40" s="1">
        <f>'1_Departamento_n'!H2</f>
        <v>1313</v>
      </c>
      <c r="J40" s="1">
        <f>'0_Parametros'!B7</f>
        <v>10</v>
      </c>
      <c r="K40" s="3">
        <f>(I40-SUM($J$2:$J$57))*G40/H40</f>
        <v>10.24240265708583</v>
      </c>
      <c r="L40" s="1">
        <f>INT(K40)</f>
        <v>10</v>
      </c>
      <c r="M40" s="3">
        <f>K40-L40</f>
        <v>0.24240265708582953</v>
      </c>
      <c r="N40" s="1">
        <f>COUNTIF($M$2:$M$57,"&gt;"&amp;M40)+COUNTIF($M$2:M40,M40)</f>
        <v>48</v>
      </c>
      <c r="O40" s="1">
        <f>J40+L40+IF(N40&lt;=I40-SUM($J$2:$J$57)-SUM($L$2:$L$57),1,0)</f>
        <v>20</v>
      </c>
    </row>
    <row r="41" spans="1:15">
      <c r="A41" s="1" t="s">
        <v>36</v>
      </c>
      <c r="B41" s="1" t="s">
        <v>37</v>
      </c>
      <c r="C41" s="1" t="s">
        <v>50</v>
      </c>
      <c r="D41" s="1" t="s">
        <v>39</v>
      </c>
      <c r="E41" s="1" t="s">
        <v>47</v>
      </c>
      <c r="F41" s="1" t="s">
        <v>42</v>
      </c>
      <c r="G41" s="1">
        <v>2534</v>
      </c>
      <c r="H41" s="1">
        <f>'1_Departamento_n'!C2</f>
        <v>7780253</v>
      </c>
      <c r="I41" s="1">
        <f>'1_Departamento_n'!H2</f>
        <v>1313</v>
      </c>
      <c r="J41" s="1">
        <f>'0_Parametros'!B7</f>
        <v>10</v>
      </c>
      <c r="K41" s="3">
        <f>(I41-SUM($J$2:$J$57))*G41/H41</f>
        <v>0.24524935114577895</v>
      </c>
      <c r="L41" s="1">
        <f>INT(K41)</f>
        <v>0</v>
      </c>
      <c r="M41" s="3">
        <f>K41-L41</f>
        <v>0.24524935114577895</v>
      </c>
      <c r="N41" s="1">
        <f>COUNTIF($M$2:$M$57,"&gt;"&amp;M41)+COUNTIF($M$2:M41,M41)</f>
        <v>47</v>
      </c>
      <c r="O41" s="1">
        <f>J41+L41+IF(N41&lt;=I41-SUM($J$2:$J$57)-SUM($L$2:$L$57),1,0)</f>
        <v>10</v>
      </c>
    </row>
    <row r="42" spans="1:15">
      <c r="A42" s="1" t="s">
        <v>36</v>
      </c>
      <c r="B42" s="1" t="s">
        <v>37</v>
      </c>
      <c r="C42" s="1" t="s">
        <v>50</v>
      </c>
      <c r="D42" s="1" t="s">
        <v>39</v>
      </c>
      <c r="E42" s="1" t="s">
        <v>48</v>
      </c>
      <c r="F42" s="1" t="s">
        <v>41</v>
      </c>
      <c r="G42" s="1">
        <v>161741</v>
      </c>
      <c r="H42" s="1">
        <f>'1_Departamento_n'!C2</f>
        <v>7780253</v>
      </c>
      <c r="I42" s="1">
        <f>'1_Departamento_n'!H2</f>
        <v>1313</v>
      </c>
      <c r="J42" s="1">
        <f>'0_Parametros'!B7</f>
        <v>10</v>
      </c>
      <c r="K42" s="3">
        <f>(I42-SUM($J$2:$J$57))*G42/H42</f>
        <v>15.65385765732811</v>
      </c>
      <c r="L42" s="1">
        <f>INT(K42)</f>
        <v>15</v>
      </c>
      <c r="M42" s="3">
        <f>K42-L42</f>
        <v>0.6538576573281105</v>
      </c>
      <c r="N42" s="1">
        <f>COUNTIF($M$2:$M$57,"&gt;"&amp;M42)+COUNTIF($M$2:M42,M42)</f>
        <v>13</v>
      </c>
      <c r="O42" s="1">
        <f>J42+L42+IF(N42&lt;=I42-SUM($J$2:$J$57)-SUM($L$2:$L$57),1,0)</f>
        <v>26</v>
      </c>
    </row>
    <row r="43" spans="1:15">
      <c r="A43" s="1" t="s">
        <v>36</v>
      </c>
      <c r="B43" s="1" t="s">
        <v>37</v>
      </c>
      <c r="C43" s="1" t="s">
        <v>50</v>
      </c>
      <c r="D43" s="1" t="s">
        <v>39</v>
      </c>
      <c r="E43" s="1" t="s">
        <v>48</v>
      </c>
      <c r="F43" s="1" t="s">
        <v>42</v>
      </c>
      <c r="G43" s="1">
        <v>3461</v>
      </c>
      <c r="H43" s="1">
        <f>'1_Departamento_n'!C2</f>
        <v>7780253</v>
      </c>
      <c r="I43" s="1">
        <f>'1_Departamento_n'!H2</f>
        <v>1313</v>
      </c>
      <c r="J43" s="1">
        <f>'0_Parametros'!B7</f>
        <v>10</v>
      </c>
      <c r="K43" s="3">
        <f>(I43-SUM($J$2:$J$57))*G43/H43</f>
        <v>0.3349676417977667</v>
      </c>
      <c r="L43" s="1">
        <f>INT(K43)</f>
        <v>0</v>
      </c>
      <c r="M43" s="3">
        <f>K43-L43</f>
        <v>0.3349676417977667</v>
      </c>
      <c r="N43" s="1">
        <f>COUNTIF($M$2:$M$57,"&gt;"&amp;M43)+COUNTIF($M$2:M43,M43)</f>
        <v>36</v>
      </c>
      <c r="O43" s="1">
        <f>J43+L43+IF(N43&lt;=I43-SUM($J$2:$J$57)-SUM($L$2:$L$57),1,0)</f>
        <v>10</v>
      </c>
    </row>
    <row r="44" spans="1:15">
      <c r="A44" s="1" t="s">
        <v>36</v>
      </c>
      <c r="B44" s="1" t="s">
        <v>37</v>
      </c>
      <c r="C44" s="1" t="s">
        <v>50</v>
      </c>
      <c r="D44" s="1" t="s">
        <v>49</v>
      </c>
      <c r="E44" s="1" t="s">
        <v>40</v>
      </c>
      <c r="F44" s="1" t="s">
        <v>41</v>
      </c>
      <c r="G44" s="1">
        <v>106841</v>
      </c>
      <c r="H44" s="1">
        <f>'1_Departamento_n'!C2</f>
        <v>7780253</v>
      </c>
      <c r="I44" s="1">
        <f>'1_Departamento_n'!H2</f>
        <v>1313</v>
      </c>
      <c r="J44" s="1">
        <f>'0_Parametros'!B7</f>
        <v>10</v>
      </c>
      <c r="K44" s="3">
        <f>(I44-SUM($J$2:$J$57))*G44/H44</f>
        <v>10.340444327453104</v>
      </c>
      <c r="L44" s="1">
        <f>INT(K44)</f>
        <v>10</v>
      </c>
      <c r="M44" s="3">
        <f>K44-L44</f>
        <v>0.3404443274531044</v>
      </c>
      <c r="N44" s="1">
        <f>COUNTIF($M$2:$M$57,"&gt;"&amp;M44)+COUNTIF($M$2:M44,M44)</f>
        <v>35</v>
      </c>
      <c r="O44" s="1">
        <f>J44+L44+IF(N44&lt;=I44-SUM($J$2:$J$57)-SUM($L$2:$L$57),1,0)</f>
        <v>20</v>
      </c>
    </row>
    <row r="45" spans="1:15">
      <c r="A45" s="1" t="s">
        <v>36</v>
      </c>
      <c r="B45" s="1" t="s">
        <v>37</v>
      </c>
      <c r="C45" s="1" t="s">
        <v>50</v>
      </c>
      <c r="D45" s="1" t="s">
        <v>49</v>
      </c>
      <c r="E45" s="1" t="s">
        <v>40</v>
      </c>
      <c r="F45" s="1" t="s">
        <v>42</v>
      </c>
      <c r="G45" s="1">
        <v>5108</v>
      </c>
      <c r="H45" s="1">
        <f>'1_Departamento_n'!C2</f>
        <v>7780253</v>
      </c>
      <c r="I45" s="1">
        <f>'1_Departamento_n'!H2</f>
        <v>1313</v>
      </c>
      <c r="J45" s="1">
        <f>'0_Parametros'!B7</f>
        <v>10</v>
      </c>
      <c r="K45" s="3">
        <f>(I45-SUM($J$2:$J$57))*G45/H45</f>
        <v>0.4943700416940169</v>
      </c>
      <c r="L45" s="1">
        <f>INT(K45)</f>
        <v>0</v>
      </c>
      <c r="M45" s="3">
        <f>K45-L45</f>
        <v>0.4943700416940169</v>
      </c>
      <c r="N45" s="1">
        <f>COUNTIF($M$2:$M$57,"&gt;"&amp;M45)+COUNTIF($M$2:M45,M45)</f>
        <v>20</v>
      </c>
      <c r="O45" s="1">
        <f>J45+L45+IF(N45&lt;=I45-SUM($J$2:$J$57)-SUM($L$2:$L$57),1,0)</f>
        <v>11</v>
      </c>
    </row>
    <row r="46" spans="1:15">
      <c r="A46" s="1" t="s">
        <v>36</v>
      </c>
      <c r="B46" s="1" t="s">
        <v>37</v>
      </c>
      <c r="C46" s="1" t="s">
        <v>50</v>
      </c>
      <c r="D46" s="1" t="s">
        <v>49</v>
      </c>
      <c r="E46" s="1" t="s">
        <v>43</v>
      </c>
      <c r="F46" s="1" t="s">
        <v>41</v>
      </c>
      <c r="G46" s="1">
        <v>134282</v>
      </c>
      <c r="H46" s="1">
        <f>'1_Departamento_n'!C2</f>
        <v>7780253</v>
      </c>
      <c r="I46" s="1">
        <f>'1_Departamento_n'!H2</f>
        <v>1313</v>
      </c>
      <c r="J46" s="1">
        <f>'0_Parametros'!B7</f>
        <v>10</v>
      </c>
      <c r="K46" s="3">
        <f>(I46-SUM($J$2:$J$57))*G46/H46</f>
        <v>12.996279941025055</v>
      </c>
      <c r="L46" s="1">
        <f>INT(K46)</f>
        <v>12</v>
      </c>
      <c r="M46" s="3">
        <f>K46-L46</f>
        <v>0.9962799410250547</v>
      </c>
      <c r="N46" s="1">
        <f>COUNTIF($M$2:$M$57,"&gt;"&amp;M46)+COUNTIF($M$2:M46,M46)</f>
        <v>1</v>
      </c>
      <c r="O46" s="1">
        <f>J46+L46+IF(N46&lt;=I46-SUM($J$2:$J$57)-SUM($L$2:$L$57),1,0)</f>
        <v>23</v>
      </c>
    </row>
    <row r="47" spans="1:15">
      <c r="A47" s="1" t="s">
        <v>36</v>
      </c>
      <c r="B47" s="1" t="s">
        <v>37</v>
      </c>
      <c r="C47" s="1" t="s">
        <v>50</v>
      </c>
      <c r="D47" s="1" t="s">
        <v>49</v>
      </c>
      <c r="E47" s="1" t="s">
        <v>43</v>
      </c>
      <c r="F47" s="1" t="s">
        <v>42</v>
      </c>
      <c r="G47" s="1">
        <v>4575</v>
      </c>
      <c r="H47" s="1">
        <f>'1_Departamento_n'!C2</f>
        <v>7780253</v>
      </c>
      <c r="I47" s="1">
        <f>'1_Departamento_n'!H2</f>
        <v>1313</v>
      </c>
      <c r="J47" s="1">
        <f>'0_Parametros'!B7</f>
        <v>10</v>
      </c>
      <c r="K47" s="3">
        <f>(I47-SUM($J$2:$J$57))*G47/H47</f>
        <v>0.44278444415625046</v>
      </c>
      <c r="L47" s="1">
        <f>INT(K47)</f>
        <v>0</v>
      </c>
      <c r="M47" s="3">
        <f>K47-L47</f>
        <v>0.44278444415625046</v>
      </c>
      <c r="N47" s="1">
        <f>COUNTIF($M$2:$M$57,"&gt;"&amp;M47)+COUNTIF($M$2:M47,M47)</f>
        <v>24</v>
      </c>
      <c r="O47" s="1">
        <f>J47+L47+IF(N47&lt;=I47-SUM($J$2:$J$57)-SUM($L$2:$L$57),1,0)</f>
        <v>11</v>
      </c>
    </row>
    <row r="48" spans="1:15">
      <c r="A48" s="1" t="s">
        <v>36</v>
      </c>
      <c r="B48" s="1" t="s">
        <v>37</v>
      </c>
      <c r="C48" s="1" t="s">
        <v>50</v>
      </c>
      <c r="D48" s="1" t="s">
        <v>49</v>
      </c>
      <c r="E48" s="1" t="s">
        <v>44</v>
      </c>
      <c r="F48" s="1" t="s">
        <v>41</v>
      </c>
      <c r="G48" s="1">
        <v>151395</v>
      </c>
      <c r="H48" s="1">
        <f>'1_Departamento_n'!C2</f>
        <v>7780253</v>
      </c>
      <c r="I48" s="1">
        <f>'1_Departamento_n'!H2</f>
        <v>1313</v>
      </c>
      <c r="J48" s="1">
        <f>'0_Parametros'!B7</f>
        <v>10</v>
      </c>
      <c r="K48" s="3">
        <f>(I48-SUM($J$2:$J$57))*G48/H48</f>
        <v>14.652535720882085</v>
      </c>
      <c r="L48" s="1">
        <f>INT(K48)</f>
        <v>14</v>
      </c>
      <c r="M48" s="3">
        <f>K48-L48</f>
        <v>0.652535720882085</v>
      </c>
      <c r="N48" s="1">
        <f>COUNTIF($M$2:$M$57,"&gt;"&amp;M48)+COUNTIF($M$2:M48,M48)</f>
        <v>14</v>
      </c>
      <c r="O48" s="1">
        <f>J48+L48+IF(N48&lt;=I48-SUM($J$2:$J$57)-SUM($L$2:$L$57),1,0)</f>
        <v>25</v>
      </c>
    </row>
    <row r="49" spans="1:15">
      <c r="A49" s="1" t="s">
        <v>36</v>
      </c>
      <c r="B49" s="1" t="s">
        <v>37</v>
      </c>
      <c r="C49" s="1" t="s">
        <v>50</v>
      </c>
      <c r="D49" s="1" t="s">
        <v>49</v>
      </c>
      <c r="E49" s="1" t="s">
        <v>44</v>
      </c>
      <c r="F49" s="1" t="s">
        <v>42</v>
      </c>
      <c r="G49" s="1">
        <v>9809</v>
      </c>
      <c r="H49" s="1">
        <f>'1_Departamento_n'!C2</f>
        <v>7780253</v>
      </c>
      <c r="I49" s="1">
        <f>'1_Departamento_n'!H2</f>
        <v>1313</v>
      </c>
      <c r="J49" s="1">
        <f>'0_Parametros'!B7</f>
        <v>10</v>
      </c>
      <c r="K49" s="3">
        <f>(I49-SUM($J$2:$J$57))*G49/H49</f>
        <v>0.9493492049680132</v>
      </c>
      <c r="L49" s="1">
        <f>INT(K49)</f>
        <v>0</v>
      </c>
      <c r="M49" s="3">
        <f>K49-L49</f>
        <v>0.9493492049680132</v>
      </c>
      <c r="N49" s="1">
        <f>COUNTIF($M$2:$M$57,"&gt;"&amp;M49)+COUNTIF($M$2:M49,M49)</f>
        <v>3</v>
      </c>
      <c r="O49" s="1">
        <f>J49+L49+IF(N49&lt;=I49-SUM($J$2:$J$57)-SUM($L$2:$L$57),1,0)</f>
        <v>11</v>
      </c>
    </row>
    <row r="50" spans="1:15">
      <c r="A50" s="1" t="s">
        <v>36</v>
      </c>
      <c r="B50" s="1" t="s">
        <v>37</v>
      </c>
      <c r="C50" s="1" t="s">
        <v>50</v>
      </c>
      <c r="D50" s="1" t="s">
        <v>49</v>
      </c>
      <c r="E50" s="1" t="s">
        <v>45</v>
      </c>
      <c r="F50" s="1" t="s">
        <v>41</v>
      </c>
      <c r="G50" s="1">
        <v>134227</v>
      </c>
      <c r="H50" s="1">
        <f>'1_Departamento_n'!C2</f>
        <v>7780253</v>
      </c>
      <c r="I50" s="1">
        <f>'1_Departamento_n'!H2</f>
        <v>1313</v>
      </c>
      <c r="J50" s="1">
        <f>'0_Parametros'!B7</f>
        <v>10</v>
      </c>
      <c r="K50" s="3">
        <f>(I50-SUM($J$2:$J$57))*G50/H50</f>
        <v>12.990956849346674</v>
      </c>
      <c r="L50" s="1">
        <f>INT(K50)</f>
        <v>12</v>
      </c>
      <c r="M50" s="3">
        <f>K50-L50</f>
        <v>0.9909568493466736</v>
      </c>
      <c r="N50" s="1">
        <f>COUNTIF($M$2:$M$57,"&gt;"&amp;M50)+COUNTIF($M$2:M50,M50)</f>
        <v>2</v>
      </c>
      <c r="O50" s="1">
        <f>J50+L50+IF(N50&lt;=I50-SUM($J$2:$J$57)-SUM($L$2:$L$57),1,0)</f>
        <v>23</v>
      </c>
    </row>
    <row r="51" spans="1:15">
      <c r="A51" s="1" t="s">
        <v>36</v>
      </c>
      <c r="B51" s="1" t="s">
        <v>37</v>
      </c>
      <c r="C51" s="1" t="s">
        <v>50</v>
      </c>
      <c r="D51" s="1" t="s">
        <v>49</v>
      </c>
      <c r="E51" s="1" t="s">
        <v>45</v>
      </c>
      <c r="F51" s="1" t="s">
        <v>42</v>
      </c>
      <c r="G51" s="1">
        <v>7250</v>
      </c>
      <c r="H51" s="1">
        <f>'1_Departamento_n'!C2</f>
        <v>7780253</v>
      </c>
      <c r="I51" s="1">
        <f>'1_Departamento_n'!H2</f>
        <v>1313</v>
      </c>
      <c r="J51" s="1">
        <f>'0_Parametros'!B7</f>
        <v>10</v>
      </c>
      <c r="K51" s="3">
        <f>(I51-SUM($J$2:$J$57))*G51/H51</f>
        <v>0.7016802666956974</v>
      </c>
      <c r="L51" s="1">
        <f>INT(K51)</f>
        <v>0</v>
      </c>
      <c r="M51" s="3">
        <f>K51-L51</f>
        <v>0.7016802666956974</v>
      </c>
      <c r="N51" s="1">
        <f>COUNTIF($M$2:$M$57,"&gt;"&amp;M51)+COUNTIF($M$2:M51,M51)</f>
        <v>12</v>
      </c>
      <c r="O51" s="1">
        <f>J51+L51+IF(N51&lt;=I51-SUM($J$2:$J$57)-SUM($L$2:$L$57),1,0)</f>
        <v>11</v>
      </c>
    </row>
    <row r="52" spans="1:15">
      <c r="A52" s="1" t="s">
        <v>36</v>
      </c>
      <c r="B52" s="1" t="s">
        <v>37</v>
      </c>
      <c r="C52" s="1" t="s">
        <v>50</v>
      </c>
      <c r="D52" s="1" t="s">
        <v>49</v>
      </c>
      <c r="E52" s="1" t="s">
        <v>46</v>
      </c>
      <c r="F52" s="1" t="s">
        <v>41</v>
      </c>
      <c r="G52" s="1">
        <v>102340</v>
      </c>
      <c r="H52" s="1">
        <f>'1_Departamento_n'!C2</f>
        <v>7780253</v>
      </c>
      <c r="I52" s="1">
        <f>'1_Departamento_n'!H2</f>
        <v>1313</v>
      </c>
      <c r="J52" s="1">
        <f>'0_Parametros'!B7</f>
        <v>10</v>
      </c>
      <c r="K52" s="3">
        <f>(I52-SUM($J$2:$J$57))*G52/H52</f>
        <v>9.904821861191403</v>
      </c>
      <c r="L52" s="1">
        <f>INT(K52)</f>
        <v>9</v>
      </c>
      <c r="M52" s="3">
        <f>K52-L52</f>
        <v>0.9048218611914027</v>
      </c>
      <c r="N52" s="1">
        <f>COUNTIF($M$2:$M$57,"&gt;"&amp;M52)+COUNTIF($M$2:M52,M52)</f>
        <v>5</v>
      </c>
      <c r="O52" s="1">
        <f>J52+L52+IF(N52&lt;=I52-SUM($J$2:$J$57)-SUM($L$2:$L$57),1,0)</f>
        <v>20</v>
      </c>
    </row>
    <row r="53" spans="1:15">
      <c r="A53" s="1" t="s">
        <v>36</v>
      </c>
      <c r="B53" s="1" t="s">
        <v>37</v>
      </c>
      <c r="C53" s="1" t="s">
        <v>50</v>
      </c>
      <c r="D53" s="1" t="s">
        <v>49</v>
      </c>
      <c r="E53" s="1" t="s">
        <v>46</v>
      </c>
      <c r="F53" s="1" t="s">
        <v>42</v>
      </c>
      <c r="G53" s="1">
        <v>3823</v>
      </c>
      <c r="H53" s="1">
        <f>'1_Departamento_n'!C2</f>
        <v>7780253</v>
      </c>
      <c r="I53" s="1">
        <f>'1_Departamento_n'!H2</f>
        <v>1313</v>
      </c>
      <c r="J53" s="1">
        <f>'0_Parametros'!B7</f>
        <v>10</v>
      </c>
      <c r="K53" s="3">
        <f>(I53-SUM($J$2:$J$57))*G53/H53</f>
        <v>0.3700032633900209</v>
      </c>
      <c r="L53" s="1">
        <f>INT(K53)</f>
        <v>0</v>
      </c>
      <c r="M53" s="3">
        <f>K53-L53</f>
        <v>0.3700032633900209</v>
      </c>
      <c r="N53" s="1">
        <f>COUNTIF($M$2:$M$57,"&gt;"&amp;M53)+COUNTIF($M$2:M53,M53)</f>
        <v>30</v>
      </c>
      <c r="O53" s="1">
        <f>J53+L53+IF(N53&lt;=I53-SUM($J$2:$J$57)-SUM($L$2:$L$57),1,0)</f>
        <v>10</v>
      </c>
    </row>
    <row r="54" spans="1:15">
      <c r="A54" s="1" t="s">
        <v>36</v>
      </c>
      <c r="B54" s="1" t="s">
        <v>37</v>
      </c>
      <c r="C54" s="1" t="s">
        <v>50</v>
      </c>
      <c r="D54" s="1" t="s">
        <v>49</v>
      </c>
      <c r="E54" s="1" t="s">
        <v>47</v>
      </c>
      <c r="F54" s="1" t="s">
        <v>41</v>
      </c>
      <c r="G54" s="1">
        <v>88335</v>
      </c>
      <c r="H54" s="1">
        <f>'1_Departamento_n'!C2</f>
        <v>7780253</v>
      </c>
      <c r="I54" s="1">
        <f>'1_Departamento_n'!H2</f>
        <v>1313</v>
      </c>
      <c r="J54" s="1">
        <f>'0_Parametros'!B7</f>
        <v>10</v>
      </c>
      <c r="K54" s="3">
        <f>(I54-SUM($J$2:$J$57))*G54/H54</f>
        <v>8.549369152905438</v>
      </c>
      <c r="L54" s="1">
        <f>INT(K54)</f>
        <v>8</v>
      </c>
      <c r="M54" s="3">
        <f>K54-L54</f>
        <v>0.5493691529054381</v>
      </c>
      <c r="N54" s="1">
        <f>COUNTIF($M$2:$M$57,"&gt;"&amp;M54)+COUNTIF($M$2:M54,M54)</f>
        <v>18</v>
      </c>
      <c r="O54" s="1">
        <f>J54+L54+IF(N54&lt;=I54-SUM($J$2:$J$57)-SUM($L$2:$L$57),1,0)</f>
        <v>19</v>
      </c>
    </row>
    <row r="55" spans="1:15">
      <c r="A55" s="1" t="s">
        <v>36</v>
      </c>
      <c r="B55" s="1" t="s">
        <v>37</v>
      </c>
      <c r="C55" s="1" t="s">
        <v>50</v>
      </c>
      <c r="D55" s="1" t="s">
        <v>49</v>
      </c>
      <c r="E55" s="1" t="s">
        <v>47</v>
      </c>
      <c r="F55" s="1" t="s">
        <v>42</v>
      </c>
      <c r="G55" s="1">
        <v>2777</v>
      </c>
      <c r="H55" s="1">
        <f>'1_Departamento_n'!C2</f>
        <v>7780253</v>
      </c>
      <c r="I55" s="1">
        <f>'1_Departamento_n'!H2</f>
        <v>1313</v>
      </c>
      <c r="J55" s="1">
        <f>'0_Parametros'!B7</f>
        <v>10</v>
      </c>
      <c r="K55" s="3">
        <f>(I55-SUM($J$2:$J$57))*G55/H55</f>
        <v>0.26876773801571746</v>
      </c>
      <c r="L55" s="1">
        <f>INT(K55)</f>
        <v>0</v>
      </c>
      <c r="M55" s="3">
        <f>K55-L55</f>
        <v>0.26876773801571746</v>
      </c>
      <c r="N55" s="1">
        <f>COUNTIF($M$2:$M$57,"&gt;"&amp;M55)+COUNTIF($M$2:M55,M55)</f>
        <v>44</v>
      </c>
      <c r="O55" s="1">
        <f>J55+L55+IF(N55&lt;=I55-SUM($J$2:$J$57)-SUM($L$2:$L$57),1,0)</f>
        <v>10</v>
      </c>
    </row>
    <row r="56" spans="1:15">
      <c r="A56" s="1" t="s">
        <v>36</v>
      </c>
      <c r="B56" s="1" t="s">
        <v>37</v>
      </c>
      <c r="C56" s="1" t="s">
        <v>50</v>
      </c>
      <c r="D56" s="1" t="s">
        <v>49</v>
      </c>
      <c r="E56" s="1" t="s">
        <v>48</v>
      </c>
      <c r="F56" s="1" t="s">
        <v>41</v>
      </c>
      <c r="G56" s="1">
        <v>128592</v>
      </c>
      <c r="H56" s="1">
        <f>'1_Departamento_n'!C2</f>
        <v>7780253</v>
      </c>
      <c r="I56" s="1">
        <f>'1_Departamento_n'!H2</f>
        <v>1313</v>
      </c>
      <c r="J56" s="1">
        <f>'0_Parametros'!B7</f>
        <v>10</v>
      </c>
      <c r="K56" s="3">
        <f>(I56-SUM($J$2:$J$57))*G56/H56</f>
        <v>12.445581911025258</v>
      </c>
      <c r="L56" s="1">
        <f>INT(K56)</f>
        <v>12</v>
      </c>
      <c r="M56" s="3">
        <f>K56-L56</f>
        <v>0.4455819110252577</v>
      </c>
      <c r="N56" s="1">
        <f>COUNTIF($M$2:$M$57,"&gt;"&amp;M56)+COUNTIF($M$2:M56,M56)</f>
        <v>23</v>
      </c>
      <c r="O56" s="1">
        <f>J56+L56+IF(N56&lt;=I56-SUM($J$2:$J$57)-SUM($L$2:$L$57),1,0)</f>
        <v>23</v>
      </c>
    </row>
    <row r="57" spans="1:15">
      <c r="A57" s="1" t="s">
        <v>36</v>
      </c>
      <c r="B57" s="1" t="s">
        <v>37</v>
      </c>
      <c r="C57" s="1" t="s">
        <v>50</v>
      </c>
      <c r="D57" s="1" t="s">
        <v>49</v>
      </c>
      <c r="E57" s="1" t="s">
        <v>48</v>
      </c>
      <c r="F57" s="1" t="s">
        <v>42</v>
      </c>
      <c r="G57" s="1">
        <v>3448</v>
      </c>
      <c r="H57" s="1">
        <f>'1_Departamento_n'!C2</f>
        <v>7780253</v>
      </c>
      <c r="I57" s="1">
        <f>'1_Departamento_n'!H2</f>
        <v>1313</v>
      </c>
      <c r="J57" s="1">
        <f>'0_Parametros'!B7</f>
        <v>10</v>
      </c>
      <c r="K57" s="3">
        <f>(I57-SUM($J$2:$J$57))*G57/H57</f>
        <v>0.33370945649196754</v>
      </c>
      <c r="L57" s="1">
        <f>INT(K57)</f>
        <v>0</v>
      </c>
      <c r="M57" s="3">
        <f>K57-L57</f>
        <v>0.33370945649196754</v>
      </c>
      <c r="N57" s="1">
        <f>COUNTIF($M$2:$M$57,"&gt;"&amp;M57)+COUNTIF($M$2:M57,M57)</f>
        <v>37</v>
      </c>
      <c r="O57" s="1">
        <f>J57+L57+IF(N57&lt;=I57-SUM($J$2:$J$57)-SUM($L$2:$L$57),1,0)</f>
        <v>10</v>
      </c>
    </row>
    <row r="58" spans="1:15">
      <c r="A58" s="1" t="s">
        <v>51</v>
      </c>
      <c r="B58" s="1" t="s">
        <v>52</v>
      </c>
      <c r="C58" s="1" t="s">
        <v>38</v>
      </c>
      <c r="D58" s="1" t="s">
        <v>39</v>
      </c>
      <c r="E58" s="1" t="s">
        <v>40</v>
      </c>
      <c r="F58" s="1" t="s">
        <v>41</v>
      </c>
      <c r="G58" s="1">
        <v>60718</v>
      </c>
      <c r="H58" s="1">
        <f>'1_Departamento_n'!C3</f>
        <v>2806306</v>
      </c>
      <c r="I58" s="1">
        <f>'1_Departamento_n'!H3</f>
        <v>1313</v>
      </c>
      <c r="J58" s="1">
        <f>'0_Parametros'!B7</f>
        <v>10</v>
      </c>
      <c r="K58" s="3">
        <f>(I58-SUM($J$58:$J$113))*G58/H58</f>
        <v>16.292112834452123</v>
      </c>
      <c r="L58" s="1">
        <f>INT(K58)</f>
        <v>16</v>
      </c>
      <c r="M58" s="3">
        <f>K58-L58</f>
        <v>0.2921128344521229</v>
      </c>
      <c r="N58" s="1">
        <f>COUNTIF($M$58:$M$113,"&gt;"&amp;M58)+COUNTIF($M$58:M58,M58)</f>
        <v>39</v>
      </c>
      <c r="O58" s="1">
        <f>J58+L58+IF(N58&lt;=I58-SUM($J$58:$J$113)-SUM($L$58:$L$113),1,0)</f>
        <v>26</v>
      </c>
    </row>
    <row r="59" spans="1:15">
      <c r="A59" s="1" t="s">
        <v>51</v>
      </c>
      <c r="B59" s="1" t="s">
        <v>52</v>
      </c>
      <c r="C59" s="1" t="s">
        <v>38</v>
      </c>
      <c r="D59" s="1" t="s">
        <v>39</v>
      </c>
      <c r="E59" s="1" t="s">
        <v>40</v>
      </c>
      <c r="F59" s="1" t="s">
        <v>42</v>
      </c>
      <c r="G59" s="1">
        <v>2582</v>
      </c>
      <c r="H59" s="1">
        <f>'1_Departamento_n'!C3</f>
        <v>2806306</v>
      </c>
      <c r="I59" s="1">
        <f>'1_Departamento_n'!H3</f>
        <v>1313</v>
      </c>
      <c r="J59" s="1">
        <f>'0_Parametros'!B7</f>
        <v>10</v>
      </c>
      <c r="K59" s="3">
        <f>(I59-SUM($J$58:$J$113))*G59/H59</f>
        <v>0.6928132570004839</v>
      </c>
      <c r="L59" s="1">
        <f>INT(K59)</f>
        <v>0</v>
      </c>
      <c r="M59" s="3">
        <f>K59-L59</f>
        <v>0.6928132570004839</v>
      </c>
      <c r="N59" s="1">
        <f>COUNTIF($M$58:$M$113,"&gt;"&amp;M59)+COUNTIF($M$58:M59,M59)</f>
        <v>16</v>
      </c>
      <c r="O59" s="1">
        <f>J59+L59+IF(N59&lt;=I59-SUM($J$58:$J$113)-SUM($L$58:$L$113),1,0)</f>
        <v>11</v>
      </c>
    </row>
    <row r="60" spans="1:15">
      <c r="A60" s="1" t="s">
        <v>51</v>
      </c>
      <c r="B60" s="1" t="s">
        <v>52</v>
      </c>
      <c r="C60" s="1" t="s">
        <v>38</v>
      </c>
      <c r="D60" s="1" t="s">
        <v>39</v>
      </c>
      <c r="E60" s="1" t="s">
        <v>43</v>
      </c>
      <c r="F60" s="1" t="s">
        <v>41</v>
      </c>
      <c r="G60" s="1">
        <v>79746</v>
      </c>
      <c r="H60" s="1">
        <f>'1_Departamento_n'!C3</f>
        <v>2806306</v>
      </c>
      <c r="I60" s="1">
        <f>'1_Departamento_n'!H3</f>
        <v>1313</v>
      </c>
      <c r="J60" s="1">
        <f>'0_Parametros'!B7</f>
        <v>10</v>
      </c>
      <c r="K60" s="3">
        <f>(I60-SUM($J$58:$J$113))*G60/H60</f>
        <v>21.397786984028112</v>
      </c>
      <c r="L60" s="1">
        <f>INT(K60)</f>
        <v>21</v>
      </c>
      <c r="M60" s="3">
        <f>K60-L60</f>
        <v>0.3977869840281123</v>
      </c>
      <c r="N60" s="1">
        <f>COUNTIF($M$58:$M$113,"&gt;"&amp;M60)+COUNTIF($M$58:M60,M60)</f>
        <v>32</v>
      </c>
      <c r="O60" s="1">
        <f>J60+L60+IF(N60&lt;=I60-SUM($J$58:$J$113)-SUM($L$58:$L$113),1,0)</f>
        <v>31</v>
      </c>
    </row>
    <row r="61" spans="1:15">
      <c r="A61" s="1" t="s">
        <v>51</v>
      </c>
      <c r="B61" s="1" t="s">
        <v>52</v>
      </c>
      <c r="C61" s="1" t="s">
        <v>38</v>
      </c>
      <c r="D61" s="1" t="s">
        <v>39</v>
      </c>
      <c r="E61" s="1" t="s">
        <v>43</v>
      </c>
      <c r="F61" s="1" t="s">
        <v>42</v>
      </c>
      <c r="G61" s="1">
        <v>1610</v>
      </c>
      <c r="H61" s="1">
        <f>'1_Departamento_n'!C3</f>
        <v>2806306</v>
      </c>
      <c r="I61" s="1">
        <f>'1_Departamento_n'!H3</f>
        <v>1313</v>
      </c>
      <c r="J61" s="1">
        <f>'0_Parametros'!B7</f>
        <v>10</v>
      </c>
      <c r="K61" s="3">
        <f>(I61-SUM($J$58:$J$113))*G61/H61</f>
        <v>0.43200206962462395</v>
      </c>
      <c r="L61" s="1">
        <f>INT(K61)</f>
        <v>0</v>
      </c>
      <c r="M61" s="3">
        <f>K61-L61</f>
        <v>0.43200206962462395</v>
      </c>
      <c r="N61" s="1">
        <f>COUNTIF($M$58:$M$113,"&gt;"&amp;M61)+COUNTIF($M$58:M61,M61)</f>
        <v>30</v>
      </c>
      <c r="O61" s="1">
        <f>J61+L61+IF(N61&lt;=I61-SUM($J$58:$J$113)-SUM($L$58:$L$113),1,0)</f>
        <v>10</v>
      </c>
    </row>
    <row r="62" spans="1:15">
      <c r="A62" s="1" t="s">
        <v>51</v>
      </c>
      <c r="B62" s="1" t="s">
        <v>52</v>
      </c>
      <c r="C62" s="1" t="s">
        <v>38</v>
      </c>
      <c r="D62" s="1" t="s">
        <v>39</v>
      </c>
      <c r="E62" s="1" t="s">
        <v>44</v>
      </c>
      <c r="F62" s="1" t="s">
        <v>41</v>
      </c>
      <c r="G62" s="1">
        <v>88338</v>
      </c>
      <c r="H62" s="1">
        <f>'1_Departamento_n'!C3</f>
        <v>2806306</v>
      </c>
      <c r="I62" s="1">
        <f>'1_Departamento_n'!H3</f>
        <v>1313</v>
      </c>
      <c r="J62" s="1">
        <f>'0_Parametros'!B7</f>
        <v>10</v>
      </c>
      <c r="K62" s="3">
        <f>(I62-SUM($J$58:$J$113))*G62/H62</f>
        <v>23.703229084782627</v>
      </c>
      <c r="L62" s="1">
        <f>INT(K62)</f>
        <v>23</v>
      </c>
      <c r="M62" s="3">
        <f>K62-L62</f>
        <v>0.7032290847826275</v>
      </c>
      <c r="N62" s="1">
        <f>COUNTIF($M$58:$M$113,"&gt;"&amp;M62)+COUNTIF($M$58:M62,M62)</f>
        <v>15</v>
      </c>
      <c r="O62" s="1">
        <f>J62+L62+IF(N62&lt;=I62-SUM($J$58:$J$113)-SUM($L$58:$L$113),1,0)</f>
        <v>34</v>
      </c>
    </row>
    <row r="63" spans="1:15">
      <c r="A63" s="1" t="s">
        <v>51</v>
      </c>
      <c r="B63" s="1" t="s">
        <v>52</v>
      </c>
      <c r="C63" s="1" t="s">
        <v>38</v>
      </c>
      <c r="D63" s="1" t="s">
        <v>39</v>
      </c>
      <c r="E63" s="1" t="s">
        <v>44</v>
      </c>
      <c r="F63" s="1" t="s">
        <v>42</v>
      </c>
      <c r="G63" s="1">
        <v>3338</v>
      </c>
      <c r="H63" s="1">
        <f>'1_Departamento_n'!C3</f>
        <v>2806306</v>
      </c>
      <c r="I63" s="1">
        <f>'1_Departamento_n'!H3</f>
        <v>1313</v>
      </c>
      <c r="J63" s="1">
        <f>'0_Parametros'!B7</f>
        <v>10</v>
      </c>
      <c r="K63" s="3">
        <f>(I63-SUM($J$58:$J$113))*G63/H63</f>
        <v>0.8956664027372638</v>
      </c>
      <c r="L63" s="1">
        <f>INT(K63)</f>
        <v>0</v>
      </c>
      <c r="M63" s="3">
        <f>K63-L63</f>
        <v>0.8956664027372638</v>
      </c>
      <c r="N63" s="1">
        <f>COUNTIF($M$58:$M$113,"&gt;"&amp;M63)+COUNTIF($M$58:M63,M63)</f>
        <v>6</v>
      </c>
      <c r="O63" s="1">
        <f>J63+L63+IF(N63&lt;=I63-SUM($J$58:$J$113)-SUM($L$58:$L$113),1,0)</f>
        <v>11</v>
      </c>
    </row>
    <row r="64" spans="1:15">
      <c r="A64" s="1" t="s">
        <v>51</v>
      </c>
      <c r="B64" s="1" t="s">
        <v>52</v>
      </c>
      <c r="C64" s="1" t="s">
        <v>38</v>
      </c>
      <c r="D64" s="1" t="s">
        <v>39</v>
      </c>
      <c r="E64" s="1" t="s">
        <v>45</v>
      </c>
      <c r="F64" s="1" t="s">
        <v>41</v>
      </c>
      <c r="G64" s="1">
        <v>97250</v>
      </c>
      <c r="H64" s="1">
        <f>'1_Departamento_n'!C3</f>
        <v>2806306</v>
      </c>
      <c r="I64" s="1">
        <f>'1_Departamento_n'!H3</f>
        <v>1313</v>
      </c>
      <c r="J64" s="1">
        <f>'0_Parametros'!B7</f>
        <v>10</v>
      </c>
      <c r="K64" s="3">
        <f>(I64-SUM($J$58:$J$113))*G64/H64</f>
        <v>26.094534950928374</v>
      </c>
      <c r="L64" s="1">
        <f>INT(K64)</f>
        <v>26</v>
      </c>
      <c r="M64" s="3">
        <f>K64-L64</f>
        <v>0.09453495092837372</v>
      </c>
      <c r="N64" s="1">
        <f>COUNTIF($M$58:$M$113,"&gt;"&amp;M64)+COUNTIF($M$58:M64,M64)</f>
        <v>49</v>
      </c>
      <c r="O64" s="1">
        <f>J64+L64+IF(N64&lt;=I64-SUM($J$58:$J$113)-SUM($L$58:$L$113),1,0)</f>
        <v>36</v>
      </c>
    </row>
    <row r="65" spans="1:15">
      <c r="A65" s="1" t="s">
        <v>51</v>
      </c>
      <c r="B65" s="1" t="s">
        <v>52</v>
      </c>
      <c r="C65" s="1" t="s">
        <v>38</v>
      </c>
      <c r="D65" s="1" t="s">
        <v>39</v>
      </c>
      <c r="E65" s="1" t="s">
        <v>45</v>
      </c>
      <c r="F65" s="1" t="s">
        <v>42</v>
      </c>
      <c r="G65" s="1">
        <v>2622</v>
      </c>
      <c r="H65" s="1">
        <f>'1_Departamento_n'!C3</f>
        <v>2806306</v>
      </c>
      <c r="I65" s="1">
        <f>'1_Departamento_n'!H3</f>
        <v>1313</v>
      </c>
      <c r="J65" s="1">
        <f>'0_Parametros'!B7</f>
        <v>10</v>
      </c>
      <c r="K65" s="3">
        <f>(I65-SUM($J$58:$J$113))*G65/H65</f>
        <v>0.7035462276743876</v>
      </c>
      <c r="L65" s="1">
        <f>INT(K65)</f>
        <v>0</v>
      </c>
      <c r="M65" s="3">
        <f>K65-L65</f>
        <v>0.7035462276743876</v>
      </c>
      <c r="N65" s="1">
        <f>COUNTIF($M$58:$M$113,"&gt;"&amp;M65)+COUNTIF($M$58:M65,M65)</f>
        <v>14</v>
      </c>
      <c r="O65" s="1">
        <f>J65+L65+IF(N65&lt;=I65-SUM($J$58:$J$113)-SUM($L$58:$L$113),1,0)</f>
        <v>11</v>
      </c>
    </row>
    <row r="66" spans="1:15">
      <c r="A66" s="1" t="s">
        <v>51</v>
      </c>
      <c r="B66" s="1" t="s">
        <v>52</v>
      </c>
      <c r="C66" s="1" t="s">
        <v>38</v>
      </c>
      <c r="D66" s="1" t="s">
        <v>39</v>
      </c>
      <c r="E66" s="1" t="s">
        <v>46</v>
      </c>
      <c r="F66" s="1" t="s">
        <v>41</v>
      </c>
      <c r="G66" s="1">
        <v>84891</v>
      </c>
      <c r="H66" s="1">
        <f>'1_Departamento_n'!C3</f>
        <v>2806306</v>
      </c>
      <c r="I66" s="1">
        <f>'1_Departamento_n'!H3</f>
        <v>1313</v>
      </c>
      <c r="J66" s="1">
        <f>'0_Parametros'!B7</f>
        <v>10</v>
      </c>
      <c r="K66" s="3">
        <f>(I66-SUM($J$58:$J$113))*G66/H66</f>
        <v>22.77831533695898</v>
      </c>
      <c r="L66" s="1">
        <f>INT(K66)</f>
        <v>22</v>
      </c>
      <c r="M66" s="3">
        <f>K66-L66</f>
        <v>0.778315336958979</v>
      </c>
      <c r="N66" s="1">
        <f>COUNTIF($M$58:$M$113,"&gt;"&amp;M66)+COUNTIF($M$58:M66,M66)</f>
        <v>8</v>
      </c>
      <c r="O66" s="1">
        <f>J66+L66+IF(N66&lt;=I66-SUM($J$58:$J$113)-SUM($L$58:$L$113),1,0)</f>
        <v>33</v>
      </c>
    </row>
    <row r="67" spans="1:15">
      <c r="A67" s="1" t="s">
        <v>51</v>
      </c>
      <c r="B67" s="1" t="s">
        <v>52</v>
      </c>
      <c r="C67" s="1" t="s">
        <v>38</v>
      </c>
      <c r="D67" s="1" t="s">
        <v>39</v>
      </c>
      <c r="E67" s="1" t="s">
        <v>46</v>
      </c>
      <c r="F67" s="1" t="s">
        <v>42</v>
      </c>
      <c r="G67" s="1">
        <v>1663</v>
      </c>
      <c r="H67" s="1">
        <f>'1_Departamento_n'!C3</f>
        <v>2806306</v>
      </c>
      <c r="I67" s="1">
        <f>'1_Departamento_n'!H3</f>
        <v>1313</v>
      </c>
      <c r="J67" s="1">
        <f>'0_Parametros'!B7</f>
        <v>10</v>
      </c>
      <c r="K67" s="3">
        <f>(I67-SUM($J$58:$J$113))*G67/H67</f>
        <v>0.4462232557675464</v>
      </c>
      <c r="L67" s="1">
        <f>INT(K67)</f>
        <v>0</v>
      </c>
      <c r="M67" s="3">
        <f>K67-L67</f>
        <v>0.4462232557675464</v>
      </c>
      <c r="N67" s="1">
        <f>COUNTIF($M$58:$M$113,"&gt;"&amp;M67)+COUNTIF($M$58:M67,M67)</f>
        <v>29</v>
      </c>
      <c r="O67" s="1">
        <f>J67+L67+IF(N67&lt;=I67-SUM($J$58:$J$113)-SUM($L$58:$L$113),1,0)</f>
        <v>10</v>
      </c>
    </row>
    <row r="68" spans="1:15">
      <c r="A68" s="1" t="s">
        <v>51</v>
      </c>
      <c r="B68" s="1" t="s">
        <v>52</v>
      </c>
      <c r="C68" s="1" t="s">
        <v>38</v>
      </c>
      <c r="D68" s="1" t="s">
        <v>39</v>
      </c>
      <c r="E68" s="1" t="s">
        <v>47</v>
      </c>
      <c r="F68" s="1" t="s">
        <v>41</v>
      </c>
      <c r="G68" s="1">
        <v>60803</v>
      </c>
      <c r="H68" s="1">
        <f>'1_Departamento_n'!C3</f>
        <v>2806306</v>
      </c>
      <c r="I68" s="1">
        <f>'1_Departamento_n'!H3</f>
        <v>1313</v>
      </c>
      <c r="J68" s="1">
        <f>'0_Parametros'!B7</f>
        <v>10</v>
      </c>
      <c r="K68" s="3">
        <f>(I68-SUM($J$58:$J$113))*G68/H68</f>
        <v>16.31492039713417</v>
      </c>
      <c r="L68" s="1">
        <f>INT(K68)</f>
        <v>16</v>
      </c>
      <c r="M68" s="3">
        <f>K68-L68</f>
        <v>0.31492039713416986</v>
      </c>
      <c r="N68" s="1">
        <f>COUNTIF($M$58:$M$113,"&gt;"&amp;M68)+COUNTIF($M$58:M68,M68)</f>
        <v>37</v>
      </c>
      <c r="O68" s="1">
        <f>J68+L68+IF(N68&lt;=I68-SUM($J$58:$J$113)-SUM($L$58:$L$113),1,0)</f>
        <v>26</v>
      </c>
    </row>
    <row r="69" spans="1:15">
      <c r="A69" s="1" t="s">
        <v>51</v>
      </c>
      <c r="B69" s="1" t="s">
        <v>52</v>
      </c>
      <c r="C69" s="1" t="s">
        <v>38</v>
      </c>
      <c r="D69" s="1" t="s">
        <v>39</v>
      </c>
      <c r="E69" s="1" t="s">
        <v>47</v>
      </c>
      <c r="F69" s="1" t="s">
        <v>42</v>
      </c>
      <c r="G69" s="1">
        <v>963</v>
      </c>
      <c r="H69" s="1">
        <f>'1_Departamento_n'!C3</f>
        <v>2806306</v>
      </c>
      <c r="I69" s="1">
        <f>'1_Departamento_n'!H3</f>
        <v>1313</v>
      </c>
      <c r="J69" s="1">
        <f>'0_Parametros'!B7</f>
        <v>10</v>
      </c>
      <c r="K69" s="3">
        <f>(I69-SUM($J$58:$J$113))*G69/H69</f>
        <v>0.2583962689742316</v>
      </c>
      <c r="L69" s="1">
        <f>INT(K69)</f>
        <v>0</v>
      </c>
      <c r="M69" s="3">
        <f>K69-L69</f>
        <v>0.2583962689742316</v>
      </c>
      <c r="N69" s="1">
        <f>COUNTIF($M$58:$M$113,"&gt;"&amp;M69)+COUNTIF($M$58:M69,M69)</f>
        <v>41</v>
      </c>
      <c r="O69" s="1">
        <f>J69+L69+IF(N69&lt;=I69-SUM($J$58:$J$113)-SUM($L$58:$L$113),1,0)</f>
        <v>10</v>
      </c>
    </row>
    <row r="70" spans="1:15">
      <c r="A70" s="1" t="s">
        <v>51</v>
      </c>
      <c r="B70" s="1" t="s">
        <v>52</v>
      </c>
      <c r="C70" s="1" t="s">
        <v>38</v>
      </c>
      <c r="D70" s="1" t="s">
        <v>39</v>
      </c>
      <c r="E70" s="1" t="s">
        <v>48</v>
      </c>
      <c r="F70" s="1" t="s">
        <v>41</v>
      </c>
      <c r="G70" s="1">
        <v>109441</v>
      </c>
      <c r="H70" s="1">
        <f>'1_Departamento_n'!C3</f>
        <v>2806306</v>
      </c>
      <c r="I70" s="1">
        <f>'1_Departamento_n'!H3</f>
        <v>1313</v>
      </c>
      <c r="J70" s="1">
        <f>'0_Parametros'!B7</f>
        <v>10</v>
      </c>
      <c r="K70" s="3">
        <f>(I70-SUM($J$58:$J$113))*G70/H70</f>
        <v>29.365676088067374</v>
      </c>
      <c r="L70" s="1">
        <f>INT(K70)</f>
        <v>29</v>
      </c>
      <c r="M70" s="3">
        <f>K70-L70</f>
        <v>0.3656760880673744</v>
      </c>
      <c r="N70" s="1">
        <f>COUNTIF($M$58:$M$113,"&gt;"&amp;M70)+COUNTIF($M$58:M70,M70)</f>
        <v>34</v>
      </c>
      <c r="O70" s="1">
        <f>J70+L70+IF(N70&lt;=I70-SUM($J$58:$J$113)-SUM($L$58:$L$113),1,0)</f>
        <v>39</v>
      </c>
    </row>
    <row r="71" spans="1:15">
      <c r="A71" s="1" t="s">
        <v>51</v>
      </c>
      <c r="B71" s="1" t="s">
        <v>52</v>
      </c>
      <c r="C71" s="1" t="s">
        <v>38</v>
      </c>
      <c r="D71" s="1" t="s">
        <v>39</v>
      </c>
      <c r="E71" s="1" t="s">
        <v>48</v>
      </c>
      <c r="F71" s="1" t="s">
        <v>42</v>
      </c>
      <c r="G71" s="1">
        <v>884</v>
      </c>
      <c r="H71" s="1">
        <f>'1_Departamento_n'!C3</f>
        <v>2806306</v>
      </c>
      <c r="I71" s="1">
        <f>'1_Departamento_n'!H3</f>
        <v>1313</v>
      </c>
      <c r="J71" s="1">
        <f>'0_Parametros'!B7</f>
        <v>10</v>
      </c>
      <c r="K71" s="3">
        <f>(I71-SUM($J$58:$J$113))*G71/H71</f>
        <v>0.2371986518932718</v>
      </c>
      <c r="L71" s="1">
        <f>INT(K71)</f>
        <v>0</v>
      </c>
      <c r="M71" s="3">
        <f>K71-L71</f>
        <v>0.2371986518932718</v>
      </c>
      <c r="N71" s="1">
        <f>COUNTIF($M$58:$M$113,"&gt;"&amp;M71)+COUNTIF($M$58:M71,M71)</f>
        <v>43</v>
      </c>
      <c r="O71" s="1">
        <f>J71+L71+IF(N71&lt;=I71-SUM($J$58:$J$113)-SUM($L$58:$L$113),1,0)</f>
        <v>10</v>
      </c>
    </row>
    <row r="72" spans="1:15">
      <c r="A72" s="1" t="s">
        <v>51</v>
      </c>
      <c r="B72" s="1" t="s">
        <v>52</v>
      </c>
      <c r="C72" s="1" t="s">
        <v>38</v>
      </c>
      <c r="D72" s="1" t="s">
        <v>49</v>
      </c>
      <c r="E72" s="1" t="s">
        <v>40</v>
      </c>
      <c r="F72" s="1" t="s">
        <v>41</v>
      </c>
      <c r="G72" s="1">
        <v>63187</v>
      </c>
      <c r="H72" s="1">
        <f>'1_Departamento_n'!C3</f>
        <v>2806306</v>
      </c>
      <c r="I72" s="1">
        <f>'1_Departamento_n'!H3</f>
        <v>1313</v>
      </c>
      <c r="J72" s="1">
        <f>'0_Parametros'!B7</f>
        <v>10</v>
      </c>
      <c r="K72" s="3">
        <f>(I72-SUM($J$58:$J$113))*G72/H72</f>
        <v>16.95460544929883</v>
      </c>
      <c r="L72" s="1">
        <f>INT(K72)</f>
        <v>16</v>
      </c>
      <c r="M72" s="3">
        <f>K72-L72</f>
        <v>0.9546054492988283</v>
      </c>
      <c r="N72" s="1">
        <f>COUNTIF($M$58:$M$113,"&gt;"&amp;M72)+COUNTIF($M$58:M72,M72)</f>
        <v>2</v>
      </c>
      <c r="O72" s="1">
        <f>J72+L72+IF(N72&lt;=I72-SUM($J$58:$J$113)-SUM($L$58:$L$113),1,0)</f>
        <v>27</v>
      </c>
    </row>
    <row r="73" spans="1:15">
      <c r="A73" s="1" t="s">
        <v>51</v>
      </c>
      <c r="B73" s="1" t="s">
        <v>52</v>
      </c>
      <c r="C73" s="1" t="s">
        <v>38</v>
      </c>
      <c r="D73" s="1" t="s">
        <v>49</v>
      </c>
      <c r="E73" s="1" t="s">
        <v>40</v>
      </c>
      <c r="F73" s="1" t="s">
        <v>42</v>
      </c>
      <c r="G73" s="1">
        <v>2662</v>
      </c>
      <c r="H73" s="1">
        <f>'1_Departamento_n'!C3</f>
        <v>2806306</v>
      </c>
      <c r="I73" s="1">
        <f>'1_Departamento_n'!H3</f>
        <v>1313</v>
      </c>
      <c r="J73" s="1">
        <f>'0_Parametros'!B7</f>
        <v>10</v>
      </c>
      <c r="K73" s="3">
        <f>(I73-SUM($J$58:$J$113))*G73/H73</f>
        <v>0.7142791983482913</v>
      </c>
      <c r="L73" s="1">
        <f>INT(K73)</f>
        <v>0</v>
      </c>
      <c r="M73" s="3">
        <f>K73-L73</f>
        <v>0.7142791983482913</v>
      </c>
      <c r="N73" s="1">
        <f>COUNTIF($M$58:$M$113,"&gt;"&amp;M73)+COUNTIF($M$58:M73,M73)</f>
        <v>12</v>
      </c>
      <c r="O73" s="1">
        <f>J73+L73+IF(N73&lt;=I73-SUM($J$58:$J$113)-SUM($L$58:$L$113),1,0)</f>
        <v>11</v>
      </c>
    </row>
    <row r="74" spans="1:15">
      <c r="A74" s="1" t="s">
        <v>51</v>
      </c>
      <c r="B74" s="1" t="s">
        <v>52</v>
      </c>
      <c r="C74" s="1" t="s">
        <v>38</v>
      </c>
      <c r="D74" s="1" t="s">
        <v>49</v>
      </c>
      <c r="E74" s="1" t="s">
        <v>43</v>
      </c>
      <c r="F74" s="1" t="s">
        <v>41</v>
      </c>
      <c r="G74" s="1">
        <v>82007</v>
      </c>
      <c r="H74" s="1">
        <f>'1_Departamento_n'!C3</f>
        <v>2806306</v>
      </c>
      <c r="I74" s="1">
        <f>'1_Departamento_n'!H3</f>
        <v>1313</v>
      </c>
      <c r="J74" s="1">
        <f>'0_Parametros'!B7</f>
        <v>10</v>
      </c>
      <c r="K74" s="3">
        <f>(I74-SUM($J$58:$J$113))*G74/H74</f>
        <v>22.00446815137052</v>
      </c>
      <c r="L74" s="1">
        <f>INT(K74)</f>
        <v>22</v>
      </c>
      <c r="M74" s="3">
        <f>K74-L74</f>
        <v>0.004468151370520701</v>
      </c>
      <c r="N74" s="1">
        <f>COUNTIF($M$58:$M$113,"&gt;"&amp;M74)+COUNTIF($M$58:M74,M74)</f>
        <v>55</v>
      </c>
      <c r="O74" s="1">
        <f>J74+L74+IF(N74&lt;=I74-SUM($J$58:$J$113)-SUM($L$58:$L$113),1,0)</f>
        <v>32</v>
      </c>
    </row>
    <row r="75" spans="1:15">
      <c r="A75" s="1" t="s">
        <v>51</v>
      </c>
      <c r="B75" s="1" t="s">
        <v>52</v>
      </c>
      <c r="C75" s="1" t="s">
        <v>38</v>
      </c>
      <c r="D75" s="1" t="s">
        <v>49</v>
      </c>
      <c r="E75" s="1" t="s">
        <v>43</v>
      </c>
      <c r="F75" s="1" t="s">
        <v>42</v>
      </c>
      <c r="G75" s="1">
        <v>1683</v>
      </c>
      <c r="H75" s="1">
        <f>'1_Departamento_n'!C3</f>
        <v>2806306</v>
      </c>
      <c r="I75" s="1">
        <f>'1_Departamento_n'!H3</f>
        <v>1313</v>
      </c>
      <c r="J75" s="1">
        <f>'0_Parametros'!B7</f>
        <v>10</v>
      </c>
      <c r="K75" s="3">
        <f>(I75-SUM($J$58:$J$113))*G75/H75</f>
        <v>0.45158974110449823</v>
      </c>
      <c r="L75" s="1">
        <f>INT(K75)</f>
        <v>0</v>
      </c>
      <c r="M75" s="3">
        <f>K75-L75</f>
        <v>0.45158974110449823</v>
      </c>
      <c r="N75" s="1">
        <f>COUNTIF($M$58:$M$113,"&gt;"&amp;M75)+COUNTIF($M$58:M75,M75)</f>
        <v>27</v>
      </c>
      <c r="O75" s="1">
        <f>J75+L75+IF(N75&lt;=I75-SUM($J$58:$J$113)-SUM($L$58:$L$113),1,0)</f>
        <v>10</v>
      </c>
    </row>
    <row r="76" spans="1:15">
      <c r="A76" s="1" t="s">
        <v>51</v>
      </c>
      <c r="B76" s="1" t="s">
        <v>52</v>
      </c>
      <c r="C76" s="1" t="s">
        <v>38</v>
      </c>
      <c r="D76" s="1" t="s">
        <v>49</v>
      </c>
      <c r="E76" s="1" t="s">
        <v>44</v>
      </c>
      <c r="F76" s="1" t="s">
        <v>41</v>
      </c>
      <c r="G76" s="1">
        <v>97044</v>
      </c>
      <c r="H76" s="1">
        <f>'1_Departamento_n'!C3</f>
        <v>2806306</v>
      </c>
      <c r="I76" s="1">
        <f>'1_Departamento_n'!H3</f>
        <v>1313</v>
      </c>
      <c r="J76" s="1">
        <f>'0_Parametros'!B7</f>
        <v>10</v>
      </c>
      <c r="K76" s="3">
        <f>(I76-SUM($J$58:$J$113))*G76/H76</f>
        <v>26.03926015195777</v>
      </c>
      <c r="L76" s="1">
        <f>INT(K76)</f>
        <v>26</v>
      </c>
      <c r="M76" s="3">
        <f>K76-L76</f>
        <v>0.03926015195776955</v>
      </c>
      <c r="N76" s="1">
        <f>COUNTIF($M$58:$M$113,"&gt;"&amp;M76)+COUNTIF($M$58:M76,M76)</f>
        <v>52</v>
      </c>
      <c r="O76" s="1">
        <f>J76+L76+IF(N76&lt;=I76-SUM($J$58:$J$113)-SUM($L$58:$L$113),1,0)</f>
        <v>36</v>
      </c>
    </row>
    <row r="77" spans="1:15">
      <c r="A77" s="1" t="s">
        <v>51</v>
      </c>
      <c r="B77" s="1" t="s">
        <v>52</v>
      </c>
      <c r="C77" s="1" t="s">
        <v>38</v>
      </c>
      <c r="D77" s="1" t="s">
        <v>49</v>
      </c>
      <c r="E77" s="1" t="s">
        <v>44</v>
      </c>
      <c r="F77" s="1" t="s">
        <v>42</v>
      </c>
      <c r="G77" s="1">
        <v>5020</v>
      </c>
      <c r="H77" s="1">
        <f>'1_Departamento_n'!C3</f>
        <v>2806306</v>
      </c>
      <c r="I77" s="1">
        <f>'1_Departamento_n'!H3</f>
        <v>1313</v>
      </c>
      <c r="J77" s="1">
        <f>'0_Parametros'!B7</f>
        <v>10</v>
      </c>
      <c r="K77" s="3">
        <f>(I77-SUM($J$58:$J$113))*G77/H77</f>
        <v>1.3469878195749145</v>
      </c>
      <c r="L77" s="1">
        <f>INT(K77)</f>
        <v>1</v>
      </c>
      <c r="M77" s="3">
        <f>K77-L77</f>
        <v>0.34698781957491454</v>
      </c>
      <c r="N77" s="1">
        <f>COUNTIF($M$58:$M$113,"&gt;"&amp;M77)+COUNTIF($M$58:M77,M77)</f>
        <v>36</v>
      </c>
      <c r="O77" s="1">
        <f>J77+L77+IF(N77&lt;=I77-SUM($J$58:$J$113)-SUM($L$58:$L$113),1,0)</f>
        <v>11</v>
      </c>
    </row>
    <row r="78" spans="1:15">
      <c r="A78" s="1" t="s">
        <v>51</v>
      </c>
      <c r="B78" s="1" t="s">
        <v>52</v>
      </c>
      <c r="C78" s="1" t="s">
        <v>38</v>
      </c>
      <c r="D78" s="1" t="s">
        <v>49</v>
      </c>
      <c r="E78" s="1" t="s">
        <v>45</v>
      </c>
      <c r="F78" s="1" t="s">
        <v>41</v>
      </c>
      <c r="G78" s="1">
        <v>101573</v>
      </c>
      <c r="H78" s="1">
        <f>'1_Departamento_n'!C3</f>
        <v>2806306</v>
      </c>
      <c r="I78" s="1">
        <f>'1_Departamento_n'!H3</f>
        <v>1313</v>
      </c>
      <c r="J78" s="1">
        <f>'0_Parametros'!B7</f>
        <v>10</v>
      </c>
      <c r="K78" s="3">
        <f>(I78-SUM($J$58:$J$113))*G78/H78</f>
        <v>27.254500756510517</v>
      </c>
      <c r="L78" s="1">
        <f>INT(K78)</f>
        <v>27</v>
      </c>
      <c r="M78" s="3">
        <f>K78-L78</f>
        <v>0.2545007565105166</v>
      </c>
      <c r="N78" s="1">
        <f>COUNTIF($M$58:$M$113,"&gt;"&amp;M78)+COUNTIF($M$58:M78,M78)</f>
        <v>42</v>
      </c>
      <c r="O78" s="1">
        <f>J78+L78+IF(N78&lt;=I78-SUM($J$58:$J$113)-SUM($L$58:$L$113),1,0)</f>
        <v>37</v>
      </c>
    </row>
    <row r="79" spans="1:15">
      <c r="A79" s="1" t="s">
        <v>51</v>
      </c>
      <c r="B79" s="1" t="s">
        <v>52</v>
      </c>
      <c r="C79" s="1" t="s">
        <v>38</v>
      </c>
      <c r="D79" s="1" t="s">
        <v>49</v>
      </c>
      <c r="E79" s="1" t="s">
        <v>45</v>
      </c>
      <c r="F79" s="1" t="s">
        <v>42</v>
      </c>
      <c r="G79" s="1">
        <v>3919</v>
      </c>
      <c r="H79" s="1">
        <f>'1_Departamento_n'!C3</f>
        <v>2806306</v>
      </c>
      <c r="I79" s="1">
        <f>'1_Departamento_n'!H3</f>
        <v>1313</v>
      </c>
      <c r="J79" s="1">
        <f>'0_Parametros'!B7</f>
        <v>10</v>
      </c>
      <c r="K79" s="3">
        <f>(I79-SUM($J$58:$J$113))*G79/H79</f>
        <v>1.051562801775715</v>
      </c>
      <c r="L79" s="1">
        <f>INT(K79)</f>
        <v>1</v>
      </c>
      <c r="M79" s="3">
        <f>K79-L79</f>
        <v>0.05156280177571504</v>
      </c>
      <c r="N79" s="1">
        <f>COUNTIF($M$58:$M$113,"&gt;"&amp;M79)+COUNTIF($M$58:M79,M79)</f>
        <v>51</v>
      </c>
      <c r="O79" s="1">
        <f>J79+L79+IF(N79&lt;=I79-SUM($J$58:$J$113)-SUM($L$58:$L$113),1,0)</f>
        <v>11</v>
      </c>
    </row>
    <row r="80" spans="1:15">
      <c r="A80" s="1" t="s">
        <v>51</v>
      </c>
      <c r="B80" s="1" t="s">
        <v>52</v>
      </c>
      <c r="C80" s="1" t="s">
        <v>38</v>
      </c>
      <c r="D80" s="1" t="s">
        <v>49</v>
      </c>
      <c r="E80" s="1" t="s">
        <v>46</v>
      </c>
      <c r="F80" s="1" t="s">
        <v>41</v>
      </c>
      <c r="G80" s="1">
        <v>88068</v>
      </c>
      <c r="H80" s="1">
        <f>'1_Departamento_n'!C3</f>
        <v>2806306</v>
      </c>
      <c r="I80" s="1">
        <f>'1_Departamento_n'!H3</f>
        <v>1313</v>
      </c>
      <c r="J80" s="1">
        <f>'0_Parametros'!B7</f>
        <v>10</v>
      </c>
      <c r="K80" s="3">
        <f>(I80-SUM($J$58:$J$113))*G80/H80</f>
        <v>23.630781532733778</v>
      </c>
      <c r="L80" s="1">
        <f>INT(K80)</f>
        <v>23</v>
      </c>
      <c r="M80" s="3">
        <f>K80-L80</f>
        <v>0.6307815327337778</v>
      </c>
      <c r="N80" s="1">
        <f>COUNTIF($M$58:$M$113,"&gt;"&amp;M80)+COUNTIF($M$58:M80,M80)</f>
        <v>17</v>
      </c>
      <c r="O80" s="1">
        <f>J80+L80+IF(N80&lt;=I80-SUM($J$58:$J$113)-SUM($L$58:$L$113),1,0)</f>
        <v>34</v>
      </c>
    </row>
    <row r="81" spans="1:15">
      <c r="A81" s="1" t="s">
        <v>51</v>
      </c>
      <c r="B81" s="1" t="s">
        <v>52</v>
      </c>
      <c r="C81" s="1" t="s">
        <v>38</v>
      </c>
      <c r="D81" s="1" t="s">
        <v>49</v>
      </c>
      <c r="E81" s="1" t="s">
        <v>46</v>
      </c>
      <c r="F81" s="1" t="s">
        <v>42</v>
      </c>
      <c r="G81" s="1">
        <v>2210</v>
      </c>
      <c r="H81" s="1">
        <f>'1_Departamento_n'!C3</f>
        <v>2806306</v>
      </c>
      <c r="I81" s="1">
        <f>'1_Departamento_n'!H3</f>
        <v>1313</v>
      </c>
      <c r="J81" s="1">
        <f>'0_Parametros'!B7</f>
        <v>10</v>
      </c>
      <c r="K81" s="3">
        <f>(I81-SUM($J$58:$J$113))*G81/H81</f>
        <v>0.5929966297331795</v>
      </c>
      <c r="L81" s="1">
        <f>INT(K81)</f>
        <v>0</v>
      </c>
      <c r="M81" s="3">
        <f>K81-L81</f>
        <v>0.5929966297331795</v>
      </c>
      <c r="N81" s="1">
        <f>COUNTIF($M$58:$M$113,"&gt;"&amp;M81)+COUNTIF($M$58:M81,M81)</f>
        <v>21</v>
      </c>
      <c r="O81" s="1">
        <f>J81+L81+IF(N81&lt;=I81-SUM($J$58:$J$113)-SUM($L$58:$L$113),1,0)</f>
        <v>11</v>
      </c>
    </row>
    <row r="82" spans="1:15">
      <c r="A82" s="1" t="s">
        <v>51</v>
      </c>
      <c r="B82" s="1" t="s">
        <v>52</v>
      </c>
      <c r="C82" s="1" t="s">
        <v>38</v>
      </c>
      <c r="D82" s="1" t="s">
        <v>49</v>
      </c>
      <c r="E82" s="1" t="s">
        <v>47</v>
      </c>
      <c r="F82" s="1" t="s">
        <v>41</v>
      </c>
      <c r="G82" s="1">
        <v>59601</v>
      </c>
      <c r="H82" s="1">
        <f>'1_Departamento_n'!C3</f>
        <v>2806306</v>
      </c>
      <c r="I82" s="1">
        <f>'1_Departamento_n'!H3</f>
        <v>1313</v>
      </c>
      <c r="J82" s="1">
        <f>'0_Parametros'!B7</f>
        <v>10</v>
      </c>
      <c r="K82" s="3">
        <f>(I82-SUM($J$58:$J$113))*G82/H82</f>
        <v>15.992394628383362</v>
      </c>
      <c r="L82" s="1">
        <f>INT(K82)</f>
        <v>15</v>
      </c>
      <c r="M82" s="3">
        <f>K82-L82</f>
        <v>0.9923946283833622</v>
      </c>
      <c r="N82" s="1">
        <f>COUNTIF($M$58:$M$113,"&gt;"&amp;M82)+COUNTIF($M$58:M82,M82)</f>
        <v>1</v>
      </c>
      <c r="O82" s="1">
        <f>J82+L82+IF(N82&lt;=I82-SUM($J$58:$J$113)-SUM($L$58:$L$113),1,0)</f>
        <v>26</v>
      </c>
    </row>
    <row r="83" spans="1:15">
      <c r="A83" s="1" t="s">
        <v>51</v>
      </c>
      <c r="B83" s="1" t="s">
        <v>52</v>
      </c>
      <c r="C83" s="1" t="s">
        <v>38</v>
      </c>
      <c r="D83" s="1" t="s">
        <v>49</v>
      </c>
      <c r="E83" s="1" t="s">
        <v>47</v>
      </c>
      <c r="F83" s="1" t="s">
        <v>42</v>
      </c>
      <c r="G83" s="1">
        <v>1411</v>
      </c>
      <c r="H83" s="1">
        <f>'1_Departamento_n'!C3</f>
        <v>2806306</v>
      </c>
      <c r="I83" s="1">
        <f>'1_Departamento_n'!H3</f>
        <v>1313</v>
      </c>
      <c r="J83" s="1">
        <f>'0_Parametros'!B7</f>
        <v>10</v>
      </c>
      <c r="K83" s="3">
        <f>(I83-SUM($J$58:$J$113))*G83/H83</f>
        <v>0.37860554052195305</v>
      </c>
      <c r="L83" s="1">
        <f>INT(K83)</f>
        <v>0</v>
      </c>
      <c r="M83" s="3">
        <f>K83-L83</f>
        <v>0.37860554052195305</v>
      </c>
      <c r="N83" s="1">
        <f>COUNTIF($M$58:$M$113,"&gt;"&amp;M83)+COUNTIF($M$58:M83,M83)</f>
        <v>33</v>
      </c>
      <c r="O83" s="1">
        <f>J83+L83+IF(N83&lt;=I83-SUM($J$58:$J$113)-SUM($L$58:$L$113),1,0)</f>
        <v>10</v>
      </c>
    </row>
    <row r="84" spans="1:15">
      <c r="A84" s="1" t="s">
        <v>51</v>
      </c>
      <c r="B84" s="1" t="s">
        <v>52</v>
      </c>
      <c r="C84" s="1" t="s">
        <v>38</v>
      </c>
      <c r="D84" s="1" t="s">
        <v>49</v>
      </c>
      <c r="E84" s="1" t="s">
        <v>48</v>
      </c>
      <c r="F84" s="1" t="s">
        <v>41</v>
      </c>
      <c r="G84" s="1">
        <v>86399</v>
      </c>
      <c r="H84" s="1">
        <f>'1_Departamento_n'!C3</f>
        <v>2806306</v>
      </c>
      <c r="I84" s="1">
        <f>'1_Departamento_n'!H3</f>
        <v>1313</v>
      </c>
      <c r="J84" s="1">
        <f>'0_Parametros'!B7</f>
        <v>10</v>
      </c>
      <c r="K84" s="3">
        <f>(I84-SUM($J$58:$J$113))*G84/H84</f>
        <v>23.182948331365147</v>
      </c>
      <c r="L84" s="1">
        <f>INT(K84)</f>
        <v>23</v>
      </c>
      <c r="M84" s="3">
        <f>K84-L84</f>
        <v>0.18294833136514654</v>
      </c>
      <c r="N84" s="1">
        <f>COUNTIF($M$58:$M$113,"&gt;"&amp;M84)+COUNTIF($M$58:M84,M84)</f>
        <v>46</v>
      </c>
      <c r="O84" s="1">
        <f>J84+L84+IF(N84&lt;=I84-SUM($J$58:$J$113)-SUM($L$58:$L$113),1,0)</f>
        <v>33</v>
      </c>
    </row>
    <row r="85" spans="1:15">
      <c r="A85" s="1" t="s">
        <v>51</v>
      </c>
      <c r="B85" s="1" t="s">
        <v>52</v>
      </c>
      <c r="C85" s="1" t="s">
        <v>38</v>
      </c>
      <c r="D85" s="1" t="s">
        <v>49</v>
      </c>
      <c r="E85" s="1" t="s">
        <v>48</v>
      </c>
      <c r="F85" s="1" t="s">
        <v>42</v>
      </c>
      <c r="G85" s="1">
        <v>1059</v>
      </c>
      <c r="H85" s="1">
        <f>'1_Departamento_n'!C3</f>
        <v>2806306</v>
      </c>
      <c r="I85" s="1">
        <f>'1_Departamento_n'!H3</f>
        <v>1313</v>
      </c>
      <c r="J85" s="1">
        <f>'0_Parametros'!B7</f>
        <v>10</v>
      </c>
      <c r="K85" s="3">
        <f>(I85-SUM($J$58:$J$113))*G85/H85</f>
        <v>0.2841553985916005</v>
      </c>
      <c r="L85" s="1">
        <f>INT(K85)</f>
        <v>0</v>
      </c>
      <c r="M85" s="3">
        <f>K85-L85</f>
        <v>0.2841553985916005</v>
      </c>
      <c r="N85" s="1">
        <f>COUNTIF($M$58:$M$113,"&gt;"&amp;M85)+COUNTIF($M$58:M85,M85)</f>
        <v>40</v>
      </c>
      <c r="O85" s="1">
        <f>J85+L85+IF(N85&lt;=I85-SUM($J$58:$J$113)-SUM($L$58:$L$113),1,0)</f>
        <v>10</v>
      </c>
    </row>
    <row r="86" spans="1:15">
      <c r="A86" s="1" t="s">
        <v>51</v>
      </c>
      <c r="B86" s="1" t="s">
        <v>52</v>
      </c>
      <c r="C86" s="1" t="s">
        <v>50</v>
      </c>
      <c r="D86" s="1" t="s">
        <v>39</v>
      </c>
      <c r="E86" s="1" t="s">
        <v>40</v>
      </c>
      <c r="F86" s="1" t="s">
        <v>41</v>
      </c>
      <c r="G86" s="1">
        <v>87943</v>
      </c>
      <c r="H86" s="1">
        <f>'1_Departamento_n'!C3</f>
        <v>2806306</v>
      </c>
      <c r="I86" s="1">
        <f>'1_Departamento_n'!H3</f>
        <v>1313</v>
      </c>
      <c r="J86" s="1">
        <f>'0_Parametros'!B7</f>
        <v>10</v>
      </c>
      <c r="K86" s="3">
        <f>(I86-SUM($J$58:$J$113))*G86/H86</f>
        <v>23.59724099937783</v>
      </c>
      <c r="L86" s="1">
        <f>INT(K86)</f>
        <v>23</v>
      </c>
      <c r="M86" s="3">
        <f>K86-L86</f>
        <v>0.5972409993778314</v>
      </c>
      <c r="N86" s="1">
        <f>COUNTIF($M$58:$M$113,"&gt;"&amp;M86)+COUNTIF($M$58:M86,M86)</f>
        <v>20</v>
      </c>
      <c r="O86" s="1">
        <f>J86+L86+IF(N86&lt;=I86-SUM($J$58:$J$113)-SUM($L$58:$L$113),1,0)</f>
        <v>34</v>
      </c>
    </row>
    <row r="87" spans="1:15">
      <c r="A87" s="1" t="s">
        <v>51</v>
      </c>
      <c r="B87" s="1" t="s">
        <v>52</v>
      </c>
      <c r="C87" s="1" t="s">
        <v>50</v>
      </c>
      <c r="D87" s="1" t="s">
        <v>39</v>
      </c>
      <c r="E87" s="1" t="s">
        <v>40</v>
      </c>
      <c r="F87" s="1" t="s">
        <v>42</v>
      </c>
      <c r="G87" s="1">
        <v>17751</v>
      </c>
      <c r="H87" s="1">
        <f>'1_Departamento_n'!C3</f>
        <v>2806306</v>
      </c>
      <c r="I87" s="1">
        <f>'1_Departamento_n'!H3</f>
        <v>1313</v>
      </c>
      <c r="J87" s="1">
        <f>'0_Parametros'!B7</f>
        <v>10</v>
      </c>
      <c r="K87" s="3">
        <f>(I87-SUM($J$58:$J$113))*G87/H87</f>
        <v>4.763024060811615</v>
      </c>
      <c r="L87" s="1">
        <f>INT(K87)</f>
        <v>4</v>
      </c>
      <c r="M87" s="3">
        <f>K87-L87</f>
        <v>0.763024060811615</v>
      </c>
      <c r="N87" s="1">
        <f>COUNTIF($M$58:$M$113,"&gt;"&amp;M87)+COUNTIF($M$58:M87,M87)</f>
        <v>9</v>
      </c>
      <c r="O87" s="1">
        <f>J87+L87+IF(N87&lt;=I87-SUM($J$58:$J$113)-SUM($L$58:$L$113),1,0)</f>
        <v>15</v>
      </c>
    </row>
    <row r="88" spans="1:15">
      <c r="A88" s="1" t="s">
        <v>51</v>
      </c>
      <c r="B88" s="1" t="s">
        <v>52</v>
      </c>
      <c r="C88" s="1" t="s">
        <v>50</v>
      </c>
      <c r="D88" s="1" t="s">
        <v>39</v>
      </c>
      <c r="E88" s="1" t="s">
        <v>43</v>
      </c>
      <c r="F88" s="1" t="s">
        <v>41</v>
      </c>
      <c r="G88" s="1">
        <v>124316</v>
      </c>
      <c r="H88" s="1">
        <f>'1_Departamento_n'!C3</f>
        <v>2806306</v>
      </c>
      <c r="I88" s="1">
        <f>'1_Departamento_n'!H3</f>
        <v>1313</v>
      </c>
      <c r="J88" s="1">
        <f>'0_Parametros'!B7</f>
        <v>10</v>
      </c>
      <c r="K88" s="3">
        <f>(I88-SUM($J$58:$J$113))*G88/H88</f>
        <v>33.35699955742531</v>
      </c>
      <c r="L88" s="1">
        <f>INT(K88)</f>
        <v>33</v>
      </c>
      <c r="M88" s="3">
        <f>K88-L88</f>
        <v>0.3569995574253113</v>
      </c>
      <c r="N88" s="1">
        <f>COUNTIF($M$58:$M$113,"&gt;"&amp;M88)+COUNTIF($M$58:M88,M88)</f>
        <v>35</v>
      </c>
      <c r="O88" s="1">
        <f>J88+L88+IF(N88&lt;=I88-SUM($J$58:$J$113)-SUM($L$58:$L$113),1,0)</f>
        <v>43</v>
      </c>
    </row>
    <row r="89" spans="1:15">
      <c r="A89" s="1" t="s">
        <v>51</v>
      </c>
      <c r="B89" s="1" t="s">
        <v>52</v>
      </c>
      <c r="C89" s="1" t="s">
        <v>50</v>
      </c>
      <c r="D89" s="1" t="s">
        <v>39</v>
      </c>
      <c r="E89" s="1" t="s">
        <v>43</v>
      </c>
      <c r="F89" s="1" t="s">
        <v>42</v>
      </c>
      <c r="G89" s="1">
        <v>14592</v>
      </c>
      <c r="H89" s="1">
        <f>'1_Departamento_n'!C3</f>
        <v>2806306</v>
      </c>
      <c r="I89" s="1">
        <f>'1_Departamento_n'!H3</f>
        <v>1313</v>
      </c>
      <c r="J89" s="1">
        <f>'0_Parametros'!B7</f>
        <v>10</v>
      </c>
      <c r="K89" s="3">
        <f>(I89-SUM($J$58:$J$113))*G89/H89</f>
        <v>3.91538770184007</v>
      </c>
      <c r="L89" s="1">
        <f>INT(K89)</f>
        <v>3</v>
      </c>
      <c r="M89" s="3">
        <f>K89-L89</f>
        <v>0.91538770184007</v>
      </c>
      <c r="N89" s="1">
        <f>COUNTIF($M$58:$M$113,"&gt;"&amp;M89)+COUNTIF($M$58:M89,M89)</f>
        <v>5</v>
      </c>
      <c r="O89" s="1">
        <f>J89+L89+IF(N89&lt;=I89-SUM($J$58:$J$113)-SUM($L$58:$L$113),1,0)</f>
        <v>14</v>
      </c>
    </row>
    <row r="90" spans="1:15">
      <c r="A90" s="1" t="s">
        <v>51</v>
      </c>
      <c r="B90" s="1" t="s">
        <v>52</v>
      </c>
      <c r="C90" s="1" t="s">
        <v>50</v>
      </c>
      <c r="D90" s="1" t="s">
        <v>39</v>
      </c>
      <c r="E90" s="1" t="s">
        <v>44</v>
      </c>
      <c r="F90" s="1" t="s">
        <v>41</v>
      </c>
      <c r="G90" s="1">
        <v>117794</v>
      </c>
      <c r="H90" s="1">
        <f>'1_Departamento_n'!C3</f>
        <v>2806306</v>
      </c>
      <c r="I90" s="1">
        <f>'1_Departamento_n'!H3</f>
        <v>1313</v>
      </c>
      <c r="J90" s="1">
        <f>'0_Parametros'!B7</f>
        <v>10</v>
      </c>
      <c r="K90" s="3">
        <f>(I90-SUM($J$58:$J$113))*G90/H90</f>
        <v>31.606988689045313</v>
      </c>
      <c r="L90" s="1">
        <f>INT(K90)</f>
        <v>31</v>
      </c>
      <c r="M90" s="3">
        <f>K90-L90</f>
        <v>0.6069886890453127</v>
      </c>
      <c r="N90" s="1">
        <f>COUNTIF($M$58:$M$113,"&gt;"&amp;M90)+COUNTIF($M$58:M90,M90)</f>
        <v>19</v>
      </c>
      <c r="O90" s="1">
        <f>J90+L90+IF(N90&lt;=I90-SUM($J$58:$J$113)-SUM($L$58:$L$113),1,0)</f>
        <v>42</v>
      </c>
    </row>
    <row r="91" spans="1:15">
      <c r="A91" s="1" t="s">
        <v>51</v>
      </c>
      <c r="B91" s="1" t="s">
        <v>52</v>
      </c>
      <c r="C91" s="1" t="s">
        <v>50</v>
      </c>
      <c r="D91" s="1" t="s">
        <v>39</v>
      </c>
      <c r="E91" s="1" t="s">
        <v>44</v>
      </c>
      <c r="F91" s="1" t="s">
        <v>42</v>
      </c>
      <c r="G91" s="1">
        <v>17683</v>
      </c>
      <c r="H91" s="1">
        <f>'1_Departamento_n'!C3</f>
        <v>2806306</v>
      </c>
      <c r="I91" s="1">
        <f>'1_Departamento_n'!H3</f>
        <v>1313</v>
      </c>
      <c r="J91" s="1">
        <f>'0_Parametros'!B7</f>
        <v>10</v>
      </c>
      <c r="K91" s="3">
        <f>(I91-SUM($J$58:$J$113))*G91/H91</f>
        <v>4.7447780106659785</v>
      </c>
      <c r="L91" s="1">
        <f>INT(K91)</f>
        <v>4</v>
      </c>
      <c r="M91" s="3">
        <f>K91-L91</f>
        <v>0.7447780106659785</v>
      </c>
      <c r="N91" s="1">
        <f>COUNTIF($M$58:$M$113,"&gt;"&amp;M91)+COUNTIF($M$58:M91,M91)</f>
        <v>11</v>
      </c>
      <c r="O91" s="1">
        <f>J91+L91+IF(N91&lt;=I91-SUM($J$58:$J$113)-SUM($L$58:$L$113),1,0)</f>
        <v>15</v>
      </c>
    </row>
    <row r="92" spans="1:15">
      <c r="A92" s="1" t="s">
        <v>51</v>
      </c>
      <c r="B92" s="1" t="s">
        <v>52</v>
      </c>
      <c r="C92" s="1" t="s">
        <v>50</v>
      </c>
      <c r="D92" s="1" t="s">
        <v>39</v>
      </c>
      <c r="E92" s="1" t="s">
        <v>45</v>
      </c>
      <c r="F92" s="1" t="s">
        <v>41</v>
      </c>
      <c r="G92" s="1">
        <v>102947</v>
      </c>
      <c r="H92" s="1">
        <f>'1_Departamento_n'!C3</f>
        <v>2806306</v>
      </c>
      <c r="I92" s="1">
        <f>'1_Departamento_n'!H3</f>
        <v>1313</v>
      </c>
      <c r="J92" s="1">
        <f>'0_Parametros'!B7</f>
        <v>10</v>
      </c>
      <c r="K92" s="3">
        <f>(I92-SUM($J$58:$J$113))*G92/H92</f>
        <v>27.623178299159107</v>
      </c>
      <c r="L92" s="1">
        <f>INT(K92)</f>
        <v>27</v>
      </c>
      <c r="M92" s="3">
        <f>K92-L92</f>
        <v>0.6231782991591075</v>
      </c>
      <c r="N92" s="1">
        <f>COUNTIF($M$58:$M$113,"&gt;"&amp;M92)+COUNTIF($M$58:M92,M92)</f>
        <v>18</v>
      </c>
      <c r="O92" s="1">
        <f>J92+L92+IF(N92&lt;=I92-SUM($J$58:$J$113)-SUM($L$58:$L$113),1,0)</f>
        <v>38</v>
      </c>
    </row>
    <row r="93" spans="1:15">
      <c r="A93" s="1" t="s">
        <v>51</v>
      </c>
      <c r="B93" s="1" t="s">
        <v>52</v>
      </c>
      <c r="C93" s="1" t="s">
        <v>50</v>
      </c>
      <c r="D93" s="1" t="s">
        <v>39</v>
      </c>
      <c r="E93" s="1" t="s">
        <v>45</v>
      </c>
      <c r="F93" s="1" t="s">
        <v>42</v>
      </c>
      <c r="G93" s="1">
        <v>14679</v>
      </c>
      <c r="H93" s="1">
        <f>'1_Departamento_n'!C3</f>
        <v>2806306</v>
      </c>
      <c r="I93" s="1">
        <f>'1_Departamento_n'!H3</f>
        <v>1313</v>
      </c>
      <c r="J93" s="1">
        <f>'0_Parametros'!B7</f>
        <v>10</v>
      </c>
      <c r="K93" s="3">
        <f>(I93-SUM($J$58:$J$113))*G93/H93</f>
        <v>3.9387319130558107</v>
      </c>
      <c r="L93" s="1">
        <f>INT(K93)</f>
        <v>3</v>
      </c>
      <c r="M93" s="3">
        <f>K93-L93</f>
        <v>0.9387319130558107</v>
      </c>
      <c r="N93" s="1">
        <f>COUNTIF($M$58:$M$113,"&gt;"&amp;M93)+COUNTIF($M$58:M93,M93)</f>
        <v>4</v>
      </c>
      <c r="O93" s="1">
        <f>J93+L93+IF(N93&lt;=I93-SUM($J$58:$J$113)-SUM($L$58:$L$113),1,0)</f>
        <v>14</v>
      </c>
    </row>
    <row r="94" spans="1:15">
      <c r="A94" s="1" t="s">
        <v>51</v>
      </c>
      <c r="B94" s="1" t="s">
        <v>52</v>
      </c>
      <c r="C94" s="1" t="s">
        <v>50</v>
      </c>
      <c r="D94" s="1" t="s">
        <v>39</v>
      </c>
      <c r="E94" s="1" t="s">
        <v>46</v>
      </c>
      <c r="F94" s="1" t="s">
        <v>41</v>
      </c>
      <c r="G94" s="1">
        <v>98437</v>
      </c>
      <c r="H94" s="1">
        <f>'1_Departamento_n'!C3</f>
        <v>2806306</v>
      </c>
      <c r="I94" s="1">
        <f>'1_Departamento_n'!H3</f>
        <v>1313</v>
      </c>
      <c r="J94" s="1">
        <f>'0_Parametros'!B7</f>
        <v>10</v>
      </c>
      <c r="K94" s="3">
        <f>(I94-SUM($J$58:$J$113))*G94/H94</f>
        <v>26.413035855676466</v>
      </c>
      <c r="L94" s="1">
        <f>INT(K94)</f>
        <v>26</v>
      </c>
      <c r="M94" s="3">
        <f>K94-L94</f>
        <v>0.4130358556764655</v>
      </c>
      <c r="N94" s="1">
        <f>COUNTIF($M$58:$M$113,"&gt;"&amp;M94)+COUNTIF($M$58:M94,M94)</f>
        <v>31</v>
      </c>
      <c r="O94" s="1">
        <f>J94+L94+IF(N94&lt;=I94-SUM($J$58:$J$113)-SUM($L$58:$L$113),1,0)</f>
        <v>36</v>
      </c>
    </row>
    <row r="95" spans="1:15">
      <c r="A95" s="1" t="s">
        <v>51</v>
      </c>
      <c r="B95" s="1" t="s">
        <v>52</v>
      </c>
      <c r="C95" s="1" t="s">
        <v>50</v>
      </c>
      <c r="D95" s="1" t="s">
        <v>39</v>
      </c>
      <c r="E95" s="1" t="s">
        <v>46</v>
      </c>
      <c r="F95" s="1" t="s">
        <v>42</v>
      </c>
      <c r="G95" s="1">
        <v>11561</v>
      </c>
      <c r="H95" s="1">
        <f>'1_Departamento_n'!C3</f>
        <v>2806306</v>
      </c>
      <c r="I95" s="1">
        <f>'1_Departamento_n'!H3</f>
        <v>1313</v>
      </c>
      <c r="J95" s="1">
        <f>'0_Parametros'!B7</f>
        <v>10</v>
      </c>
      <c r="K95" s="3">
        <f>(I95-SUM($J$58:$J$113))*G95/H95</f>
        <v>3.1020968490250174</v>
      </c>
      <c r="L95" s="1">
        <f>INT(K95)</f>
        <v>3</v>
      </c>
      <c r="M95" s="3">
        <f>K95-L95</f>
        <v>0.10209684902501737</v>
      </c>
      <c r="N95" s="1">
        <f>COUNTIF($M$58:$M$113,"&gt;"&amp;M95)+COUNTIF($M$58:M95,M95)</f>
        <v>48</v>
      </c>
      <c r="O95" s="1">
        <f>J95+L95+IF(N95&lt;=I95-SUM($J$58:$J$113)-SUM($L$58:$L$113),1,0)</f>
        <v>13</v>
      </c>
    </row>
    <row r="96" spans="1:15">
      <c r="A96" s="1" t="s">
        <v>51</v>
      </c>
      <c r="B96" s="1" t="s">
        <v>52</v>
      </c>
      <c r="C96" s="1" t="s">
        <v>50</v>
      </c>
      <c r="D96" s="1" t="s">
        <v>39</v>
      </c>
      <c r="E96" s="1" t="s">
        <v>47</v>
      </c>
      <c r="F96" s="1" t="s">
        <v>41</v>
      </c>
      <c r="G96" s="1">
        <v>89446</v>
      </c>
      <c r="H96" s="1">
        <f>'1_Departamento_n'!C3</f>
        <v>2806306</v>
      </c>
      <c r="I96" s="1">
        <f>'1_Departamento_n'!H3</f>
        <v>1313</v>
      </c>
      <c r="J96" s="1">
        <f>'0_Parametros'!B7</f>
        <v>10</v>
      </c>
      <c r="K96" s="3">
        <f>(I96-SUM($J$58:$J$113))*G96/H96</f>
        <v>24.00053237244976</v>
      </c>
      <c r="L96" s="1">
        <f>INT(K96)</f>
        <v>24</v>
      </c>
      <c r="M96" s="3">
        <f>K96-L96</f>
        <v>0.0005323724497614535</v>
      </c>
      <c r="N96" s="1">
        <f>COUNTIF($M$58:$M$113,"&gt;"&amp;M96)+COUNTIF($M$58:M96,M96)</f>
        <v>56</v>
      </c>
      <c r="O96" s="1">
        <f>J96+L96+IF(N96&lt;=I96-SUM($J$58:$J$113)-SUM($L$58:$L$113),1,0)</f>
        <v>34</v>
      </c>
    </row>
    <row r="97" spans="1:15">
      <c r="A97" s="1" t="s">
        <v>51</v>
      </c>
      <c r="B97" s="1" t="s">
        <v>52</v>
      </c>
      <c r="C97" s="1" t="s">
        <v>50</v>
      </c>
      <c r="D97" s="1" t="s">
        <v>39</v>
      </c>
      <c r="E97" s="1" t="s">
        <v>47</v>
      </c>
      <c r="F97" s="1" t="s">
        <v>42</v>
      </c>
      <c r="G97" s="1">
        <v>9427</v>
      </c>
      <c r="H97" s="1">
        <f>'1_Departamento_n'!C3</f>
        <v>2806306</v>
      </c>
      <c r="I97" s="1">
        <f>'1_Departamento_n'!H3</f>
        <v>1313</v>
      </c>
      <c r="J97" s="1">
        <f>'0_Parametros'!B7</f>
        <v>10</v>
      </c>
      <c r="K97" s="3">
        <f>(I97-SUM($J$58:$J$113))*G97/H97</f>
        <v>2.529492863572255</v>
      </c>
      <c r="L97" s="1">
        <f>INT(K97)</f>
        <v>2</v>
      </c>
      <c r="M97" s="3">
        <f>K97-L97</f>
        <v>0.5294928635722549</v>
      </c>
      <c r="N97" s="1">
        <f>COUNTIF($M$58:$M$113,"&gt;"&amp;M97)+COUNTIF($M$58:M97,M97)</f>
        <v>24</v>
      </c>
      <c r="O97" s="1">
        <f>J97+L97+IF(N97&lt;=I97-SUM($J$58:$J$113)-SUM($L$58:$L$113),1,0)</f>
        <v>13</v>
      </c>
    </row>
    <row r="98" spans="1:15">
      <c r="A98" s="1" t="s">
        <v>51</v>
      </c>
      <c r="B98" s="1" t="s">
        <v>52</v>
      </c>
      <c r="C98" s="1" t="s">
        <v>50</v>
      </c>
      <c r="D98" s="1" t="s">
        <v>39</v>
      </c>
      <c r="E98" s="1" t="s">
        <v>48</v>
      </c>
      <c r="F98" s="1" t="s">
        <v>41</v>
      </c>
      <c r="G98" s="1">
        <v>137006</v>
      </c>
      <c r="H98" s="1">
        <f>'1_Departamento_n'!C3</f>
        <v>2806306</v>
      </c>
      <c r="I98" s="1">
        <f>'1_Departamento_n'!H3</f>
        <v>1313</v>
      </c>
      <c r="J98" s="1">
        <f>'0_Parametros'!B7</f>
        <v>10</v>
      </c>
      <c r="K98" s="3">
        <f>(I98-SUM($J$58:$J$113))*G98/H98</f>
        <v>36.76203450372126</v>
      </c>
      <c r="L98" s="1">
        <f>INT(K98)</f>
        <v>36</v>
      </c>
      <c r="M98" s="3">
        <f>K98-L98</f>
        <v>0.7620345037212601</v>
      </c>
      <c r="N98" s="1">
        <f>COUNTIF($M$58:$M$113,"&gt;"&amp;M98)+COUNTIF($M$58:M98,M98)</f>
        <v>10</v>
      </c>
      <c r="O98" s="1">
        <f>J98+L98+IF(N98&lt;=I98-SUM($J$58:$J$113)-SUM($L$58:$L$113),1,0)</f>
        <v>47</v>
      </c>
    </row>
    <row r="99" spans="1:15">
      <c r="A99" s="1" t="s">
        <v>51</v>
      </c>
      <c r="B99" s="1" t="s">
        <v>52</v>
      </c>
      <c r="C99" s="1" t="s">
        <v>50</v>
      </c>
      <c r="D99" s="1" t="s">
        <v>39</v>
      </c>
      <c r="E99" s="1" t="s">
        <v>48</v>
      </c>
      <c r="F99" s="1" t="s">
        <v>42</v>
      </c>
      <c r="G99" s="1">
        <v>13152</v>
      </c>
      <c r="H99" s="1">
        <f>'1_Departamento_n'!C3</f>
        <v>2806306</v>
      </c>
      <c r="I99" s="1">
        <f>'1_Departamento_n'!H3</f>
        <v>1313</v>
      </c>
      <c r="J99" s="1">
        <f>'0_Parametros'!B7</f>
        <v>10</v>
      </c>
      <c r="K99" s="3">
        <f>(I99-SUM($J$58:$J$113))*G99/H99</f>
        <v>3.529000757579537</v>
      </c>
      <c r="L99" s="1">
        <f>INT(K99)</f>
        <v>3</v>
      </c>
      <c r="M99" s="3">
        <f>K99-L99</f>
        <v>0.5290007575795368</v>
      </c>
      <c r="N99" s="1">
        <f>COUNTIF($M$58:$M$113,"&gt;"&amp;M99)+COUNTIF($M$58:M99,M99)</f>
        <v>25</v>
      </c>
      <c r="O99" s="1">
        <f>J99+L99+IF(N99&lt;=I99-SUM($J$58:$J$113)-SUM($L$58:$L$113),1,0)</f>
        <v>14</v>
      </c>
    </row>
    <row r="100" spans="1:15">
      <c r="A100" s="1" t="s">
        <v>51</v>
      </c>
      <c r="B100" s="1" t="s">
        <v>52</v>
      </c>
      <c r="C100" s="1" t="s">
        <v>50</v>
      </c>
      <c r="D100" s="1" t="s">
        <v>49</v>
      </c>
      <c r="E100" s="1" t="s">
        <v>40</v>
      </c>
      <c r="F100" s="1" t="s">
        <v>41</v>
      </c>
      <c r="G100" s="1">
        <v>93300</v>
      </c>
      <c r="H100" s="1">
        <f>'1_Departamento_n'!C3</f>
        <v>2806306</v>
      </c>
      <c r="I100" s="1">
        <f>'1_Departamento_n'!H3</f>
        <v>1313</v>
      </c>
      <c r="J100" s="1">
        <f>'0_Parametros'!B7</f>
        <v>10</v>
      </c>
      <c r="K100" s="3">
        <f>(I100-SUM($J$58:$J$113))*G100/H100</f>
        <v>25.034654096880384</v>
      </c>
      <c r="L100" s="1">
        <f>INT(K100)</f>
        <v>25</v>
      </c>
      <c r="M100" s="3">
        <f>K100-L100</f>
        <v>0.034654096880384344</v>
      </c>
      <c r="N100" s="1">
        <f>COUNTIF($M$58:$M$113,"&gt;"&amp;M100)+COUNTIF($M$58:M100,M100)</f>
        <v>53</v>
      </c>
      <c r="O100" s="1">
        <f>J100+L100+IF(N100&lt;=I100-SUM($J$58:$J$113)-SUM($L$58:$L$113),1,0)</f>
        <v>35</v>
      </c>
    </row>
    <row r="101" spans="1:15">
      <c r="A101" s="1" t="s">
        <v>51</v>
      </c>
      <c r="B101" s="1" t="s">
        <v>52</v>
      </c>
      <c r="C101" s="1" t="s">
        <v>50</v>
      </c>
      <c r="D101" s="1" t="s">
        <v>49</v>
      </c>
      <c r="E101" s="1" t="s">
        <v>40</v>
      </c>
      <c r="F101" s="1" t="s">
        <v>42</v>
      </c>
      <c r="G101" s="1">
        <v>18459</v>
      </c>
      <c r="H101" s="1">
        <f>'1_Departamento_n'!C3</f>
        <v>2806306</v>
      </c>
      <c r="I101" s="1">
        <f>'1_Departamento_n'!H3</f>
        <v>1313</v>
      </c>
      <c r="J101" s="1">
        <f>'0_Parametros'!B7</f>
        <v>10</v>
      </c>
      <c r="K101" s="3">
        <f>(I101-SUM($J$58:$J$113))*G101/H101</f>
        <v>4.95299764173971</v>
      </c>
      <c r="L101" s="1">
        <f>INT(K101)</f>
        <v>4</v>
      </c>
      <c r="M101" s="3">
        <f>K101-L101</f>
        <v>0.9529976417397101</v>
      </c>
      <c r="N101" s="1">
        <f>COUNTIF($M$58:$M$113,"&gt;"&amp;M101)+COUNTIF($M$58:M101,M101)</f>
        <v>3</v>
      </c>
      <c r="O101" s="1">
        <f>J101+L101+IF(N101&lt;=I101-SUM($J$58:$J$113)-SUM($L$58:$L$113),1,0)</f>
        <v>15</v>
      </c>
    </row>
    <row r="102" spans="1:15">
      <c r="A102" s="1" t="s">
        <v>51</v>
      </c>
      <c r="B102" s="1" t="s">
        <v>52</v>
      </c>
      <c r="C102" s="1" t="s">
        <v>50</v>
      </c>
      <c r="D102" s="1" t="s">
        <v>49</v>
      </c>
      <c r="E102" s="1" t="s">
        <v>43</v>
      </c>
      <c r="F102" s="1" t="s">
        <v>41</v>
      </c>
      <c r="G102" s="1">
        <v>127356</v>
      </c>
      <c r="H102" s="1">
        <f>'1_Departamento_n'!C3</f>
        <v>2806306</v>
      </c>
      <c r="I102" s="1">
        <f>'1_Departamento_n'!H3</f>
        <v>1313</v>
      </c>
      <c r="J102" s="1">
        <f>'0_Parametros'!B7</f>
        <v>10</v>
      </c>
      <c r="K102" s="3">
        <f>(I102-SUM($J$58:$J$113))*G102/H102</f>
        <v>34.172705328641996</v>
      </c>
      <c r="L102" s="1">
        <f>INT(K102)</f>
        <v>34</v>
      </c>
      <c r="M102" s="3">
        <f>K102-L102</f>
        <v>0.17270532864199595</v>
      </c>
      <c r="N102" s="1">
        <f>COUNTIF($M$58:$M$113,"&gt;"&amp;M102)+COUNTIF($M$58:M102,M102)</f>
        <v>47</v>
      </c>
      <c r="O102" s="1">
        <f>J102+L102+IF(N102&lt;=I102-SUM($J$58:$J$113)-SUM($L$58:$L$113),1,0)</f>
        <v>44</v>
      </c>
    </row>
    <row r="103" spans="1:15">
      <c r="A103" s="1" t="s">
        <v>51</v>
      </c>
      <c r="B103" s="1" t="s">
        <v>52</v>
      </c>
      <c r="C103" s="1" t="s">
        <v>50</v>
      </c>
      <c r="D103" s="1" t="s">
        <v>49</v>
      </c>
      <c r="E103" s="1" t="s">
        <v>43</v>
      </c>
      <c r="F103" s="1" t="s">
        <v>42</v>
      </c>
      <c r="G103" s="1">
        <v>14399</v>
      </c>
      <c r="H103" s="1">
        <f>'1_Departamento_n'!C3</f>
        <v>2806306</v>
      </c>
      <c r="I103" s="1">
        <f>'1_Departamento_n'!H3</f>
        <v>1313</v>
      </c>
      <c r="J103" s="1">
        <f>'0_Parametros'!B7</f>
        <v>10</v>
      </c>
      <c r="K103" s="3">
        <f>(I103-SUM($J$58:$J$113))*G103/H103</f>
        <v>3.863601118338485</v>
      </c>
      <c r="L103" s="1">
        <f>INT(K103)</f>
        <v>3</v>
      </c>
      <c r="M103" s="3">
        <f>K103-L103</f>
        <v>0.8636011183384849</v>
      </c>
      <c r="N103" s="1">
        <f>COUNTIF($M$58:$M$113,"&gt;"&amp;M103)+COUNTIF($M$58:M103,M103)</f>
        <v>7</v>
      </c>
      <c r="O103" s="1">
        <f>J103+L103+IF(N103&lt;=I103-SUM($J$58:$J$113)-SUM($L$58:$L$113),1,0)</f>
        <v>14</v>
      </c>
    </row>
    <row r="104" spans="1:15">
      <c r="A104" s="1" t="s">
        <v>51</v>
      </c>
      <c r="B104" s="1" t="s">
        <v>52</v>
      </c>
      <c r="C104" s="1" t="s">
        <v>50</v>
      </c>
      <c r="D104" s="1" t="s">
        <v>49</v>
      </c>
      <c r="E104" s="1" t="s">
        <v>44</v>
      </c>
      <c r="F104" s="1" t="s">
        <v>41</v>
      </c>
      <c r="G104" s="1">
        <v>98576</v>
      </c>
      <c r="H104" s="1">
        <f>'1_Departamento_n'!C3</f>
        <v>2806306</v>
      </c>
      <c r="I104" s="1">
        <f>'1_Departamento_n'!H3</f>
        <v>1313</v>
      </c>
      <c r="J104" s="1">
        <f>'0_Parametros'!B7</f>
        <v>10</v>
      </c>
      <c r="K104" s="3">
        <f>(I104-SUM($J$58:$J$113))*G104/H104</f>
        <v>26.45033292876828</v>
      </c>
      <c r="L104" s="1">
        <f>INT(K104)</f>
        <v>26</v>
      </c>
      <c r="M104" s="3">
        <f>K104-L104</f>
        <v>0.4503329287682796</v>
      </c>
      <c r="N104" s="1">
        <f>COUNTIF($M$58:$M$113,"&gt;"&amp;M104)+COUNTIF($M$58:M104,M104)</f>
        <v>28</v>
      </c>
      <c r="O104" s="1">
        <f>J104+L104+IF(N104&lt;=I104-SUM($J$58:$J$113)-SUM($L$58:$L$113),1,0)</f>
        <v>36</v>
      </c>
    </row>
    <row r="105" spans="1:15">
      <c r="A105" s="1" t="s">
        <v>51</v>
      </c>
      <c r="B105" s="1" t="s">
        <v>52</v>
      </c>
      <c r="C105" s="1" t="s">
        <v>50</v>
      </c>
      <c r="D105" s="1" t="s">
        <v>49</v>
      </c>
      <c r="E105" s="1" t="s">
        <v>44</v>
      </c>
      <c r="F105" s="1" t="s">
        <v>42</v>
      </c>
      <c r="G105" s="1">
        <v>13122</v>
      </c>
      <c r="H105" s="1">
        <f>'1_Departamento_n'!C3</f>
        <v>2806306</v>
      </c>
      <c r="I105" s="1">
        <f>'1_Departamento_n'!H3</f>
        <v>1313</v>
      </c>
      <c r="J105" s="1">
        <f>'0_Parametros'!B7</f>
        <v>10</v>
      </c>
      <c r="K105" s="3">
        <f>(I105-SUM($J$58:$J$113))*G105/H105</f>
        <v>3.520951029574109</v>
      </c>
      <c r="L105" s="1">
        <f>INT(K105)</f>
        <v>3</v>
      </c>
      <c r="M105" s="3">
        <f>K105-L105</f>
        <v>0.5209510295741091</v>
      </c>
      <c r="N105" s="1">
        <f>COUNTIF($M$58:$M$113,"&gt;"&amp;M105)+COUNTIF($M$58:M105,M105)</f>
        <v>26</v>
      </c>
      <c r="O105" s="1">
        <f>J105+L105+IF(N105&lt;=I105-SUM($J$58:$J$113)-SUM($L$58:$L$113),1,0)</f>
        <v>14</v>
      </c>
    </row>
    <row r="106" spans="1:15">
      <c r="A106" s="1" t="s">
        <v>51</v>
      </c>
      <c r="B106" s="1" t="s">
        <v>52</v>
      </c>
      <c r="C106" s="1" t="s">
        <v>50</v>
      </c>
      <c r="D106" s="1" t="s">
        <v>49</v>
      </c>
      <c r="E106" s="1" t="s">
        <v>45</v>
      </c>
      <c r="F106" s="1" t="s">
        <v>41</v>
      </c>
      <c r="G106" s="1">
        <v>85783</v>
      </c>
      <c r="H106" s="1">
        <f>'1_Departamento_n'!C3</f>
        <v>2806306</v>
      </c>
      <c r="I106" s="1">
        <f>'1_Departamento_n'!H3</f>
        <v>1313</v>
      </c>
      <c r="J106" s="1">
        <f>'0_Parametros'!B7</f>
        <v>10</v>
      </c>
      <c r="K106" s="3">
        <f>(I106-SUM($J$58:$J$113))*G106/H106</f>
        <v>23.01766058298703</v>
      </c>
      <c r="L106" s="1">
        <f>INT(K106)</f>
        <v>23</v>
      </c>
      <c r="M106" s="3">
        <f>K106-L106</f>
        <v>0.017660582987030438</v>
      </c>
      <c r="N106" s="1">
        <f>COUNTIF($M$58:$M$113,"&gt;"&amp;M106)+COUNTIF($M$58:M106,M106)</f>
        <v>54</v>
      </c>
      <c r="O106" s="1">
        <f>J106+L106+IF(N106&lt;=I106-SUM($J$58:$J$113)-SUM($L$58:$L$113),1,0)</f>
        <v>33</v>
      </c>
    </row>
    <row r="107" spans="1:15">
      <c r="A107" s="1" t="s">
        <v>51</v>
      </c>
      <c r="B107" s="1" t="s">
        <v>52</v>
      </c>
      <c r="C107" s="1" t="s">
        <v>50</v>
      </c>
      <c r="D107" s="1" t="s">
        <v>49</v>
      </c>
      <c r="E107" s="1" t="s">
        <v>45</v>
      </c>
      <c r="F107" s="1" t="s">
        <v>42</v>
      </c>
      <c r="G107" s="1">
        <v>11442</v>
      </c>
      <c r="H107" s="1">
        <f>'1_Departamento_n'!C3</f>
        <v>2806306</v>
      </c>
      <c r="I107" s="1">
        <f>'1_Departamento_n'!H3</f>
        <v>1313</v>
      </c>
      <c r="J107" s="1">
        <f>'0_Parametros'!B7</f>
        <v>10</v>
      </c>
      <c r="K107" s="3">
        <f>(I107-SUM($J$58:$J$113))*G107/H107</f>
        <v>3.070166261270154</v>
      </c>
      <c r="L107" s="1">
        <f>INT(K107)</f>
        <v>3</v>
      </c>
      <c r="M107" s="3">
        <f>K107-L107</f>
        <v>0.0701662612701539</v>
      </c>
      <c r="N107" s="1">
        <f>COUNTIF($M$58:$M$113,"&gt;"&amp;M107)+COUNTIF($M$58:M107,M107)</f>
        <v>50</v>
      </c>
      <c r="O107" s="1">
        <f>J107+L107+IF(N107&lt;=I107-SUM($J$58:$J$113)-SUM($L$58:$L$113),1,0)</f>
        <v>13</v>
      </c>
    </row>
    <row r="108" spans="1:15">
      <c r="A108" s="1" t="s">
        <v>51</v>
      </c>
      <c r="B108" s="1" t="s">
        <v>52</v>
      </c>
      <c r="C108" s="1" t="s">
        <v>50</v>
      </c>
      <c r="D108" s="1" t="s">
        <v>49</v>
      </c>
      <c r="E108" s="1" t="s">
        <v>46</v>
      </c>
      <c r="F108" s="1" t="s">
        <v>41</v>
      </c>
      <c r="G108" s="1">
        <v>80388</v>
      </c>
      <c r="H108" s="1">
        <f>'1_Departamento_n'!C3</f>
        <v>2806306</v>
      </c>
      <c r="I108" s="1">
        <f>'1_Departamento_n'!H3</f>
        <v>1313</v>
      </c>
      <c r="J108" s="1">
        <f>'0_Parametros'!B7</f>
        <v>10</v>
      </c>
      <c r="K108" s="3">
        <f>(I108-SUM($J$58:$J$113))*G108/H108</f>
        <v>21.570051163344267</v>
      </c>
      <c r="L108" s="1">
        <f>INT(K108)</f>
        <v>21</v>
      </c>
      <c r="M108" s="3">
        <f>K108-L108</f>
        <v>0.5700511633442673</v>
      </c>
      <c r="N108" s="1">
        <f>COUNTIF($M$58:$M$113,"&gt;"&amp;M108)+COUNTIF($M$58:M108,M108)</f>
        <v>22</v>
      </c>
      <c r="O108" s="1">
        <f>J108+L108+IF(N108&lt;=I108-SUM($J$58:$J$113)-SUM($L$58:$L$113),1,0)</f>
        <v>32</v>
      </c>
    </row>
    <row r="109" spans="1:15">
      <c r="A109" s="1" t="s">
        <v>51</v>
      </c>
      <c r="B109" s="1" t="s">
        <v>52</v>
      </c>
      <c r="C109" s="1" t="s">
        <v>50</v>
      </c>
      <c r="D109" s="1" t="s">
        <v>49</v>
      </c>
      <c r="E109" s="1" t="s">
        <v>46</v>
      </c>
      <c r="F109" s="1" t="s">
        <v>42</v>
      </c>
      <c r="G109" s="1">
        <v>9546</v>
      </c>
      <c r="H109" s="1">
        <f>'1_Departamento_n'!C3</f>
        <v>2806306</v>
      </c>
      <c r="I109" s="1">
        <f>'1_Departamento_n'!H3</f>
        <v>1313</v>
      </c>
      <c r="J109" s="1">
        <f>'0_Parametros'!B7</f>
        <v>10</v>
      </c>
      <c r="K109" s="3">
        <f>(I109-SUM($J$58:$J$113))*G109/H109</f>
        <v>2.5614234513271184</v>
      </c>
      <c r="L109" s="1">
        <f>INT(K109)</f>
        <v>2</v>
      </c>
      <c r="M109" s="3">
        <f>K109-L109</f>
        <v>0.5614234513271184</v>
      </c>
      <c r="N109" s="1">
        <f>COUNTIF($M$58:$M$113,"&gt;"&amp;M109)+COUNTIF($M$58:M109,M109)</f>
        <v>23</v>
      </c>
      <c r="O109" s="1">
        <f>J109+L109+IF(N109&lt;=I109-SUM($J$58:$J$113)-SUM($L$58:$L$113),1,0)</f>
        <v>13</v>
      </c>
    </row>
    <row r="110" spans="1:15">
      <c r="A110" s="1" t="s">
        <v>51</v>
      </c>
      <c r="B110" s="1" t="s">
        <v>52</v>
      </c>
      <c r="C110" s="1" t="s">
        <v>50</v>
      </c>
      <c r="D110" s="1" t="s">
        <v>49</v>
      </c>
      <c r="E110" s="1" t="s">
        <v>47</v>
      </c>
      <c r="F110" s="1" t="s">
        <v>41</v>
      </c>
      <c r="G110" s="1">
        <v>73462</v>
      </c>
      <c r="H110" s="1">
        <f>'1_Departamento_n'!C3</f>
        <v>2806306</v>
      </c>
      <c r="I110" s="1">
        <f>'1_Departamento_n'!H3</f>
        <v>1313</v>
      </c>
      <c r="J110" s="1">
        <f>'0_Parametros'!B7</f>
        <v>10</v>
      </c>
      <c r="K110" s="3">
        <f>(I110-SUM($J$58:$J$113))*G110/H110</f>
        <v>19.711637291157842</v>
      </c>
      <c r="L110" s="1">
        <f>INT(K110)</f>
        <v>19</v>
      </c>
      <c r="M110" s="3">
        <f>K110-L110</f>
        <v>0.7116372911578424</v>
      </c>
      <c r="N110" s="1">
        <f>COUNTIF($M$58:$M$113,"&gt;"&amp;M110)+COUNTIF($M$58:M110,M110)</f>
        <v>13</v>
      </c>
      <c r="O110" s="1">
        <f>J110+L110+IF(N110&lt;=I110-SUM($J$58:$J$113)-SUM($L$58:$L$113),1,0)</f>
        <v>30</v>
      </c>
    </row>
    <row r="111" spans="1:15">
      <c r="A111" s="1" t="s">
        <v>51</v>
      </c>
      <c r="B111" s="1" t="s">
        <v>52</v>
      </c>
      <c r="C111" s="1" t="s">
        <v>50</v>
      </c>
      <c r="D111" s="1" t="s">
        <v>49</v>
      </c>
      <c r="E111" s="1" t="s">
        <v>47</v>
      </c>
      <c r="F111" s="1" t="s">
        <v>42</v>
      </c>
      <c r="G111" s="1">
        <v>8195</v>
      </c>
      <c r="H111" s="1">
        <f>'1_Departamento_n'!C3</f>
        <v>2806306</v>
      </c>
      <c r="I111" s="1">
        <f>'1_Departamento_n'!H3</f>
        <v>1313</v>
      </c>
      <c r="J111" s="1">
        <f>'0_Parametros'!B7</f>
        <v>10</v>
      </c>
      <c r="K111" s="3">
        <f>(I111-SUM($J$58:$J$113))*G111/H111</f>
        <v>2.198917366816021</v>
      </c>
      <c r="L111" s="1">
        <f>INT(K111)</f>
        <v>2</v>
      </c>
      <c r="M111" s="3">
        <f>K111-L111</f>
        <v>0.1989173668160209</v>
      </c>
      <c r="N111" s="1">
        <f>COUNTIF($M$58:$M$113,"&gt;"&amp;M111)+COUNTIF($M$58:M111,M111)</f>
        <v>44</v>
      </c>
      <c r="O111" s="1">
        <f>J111+L111+IF(N111&lt;=I111-SUM($J$58:$J$113)-SUM($L$58:$L$113),1,0)</f>
        <v>12</v>
      </c>
    </row>
    <row r="112" spans="1:15">
      <c r="A112" s="1" t="s">
        <v>51</v>
      </c>
      <c r="B112" s="1" t="s">
        <v>52</v>
      </c>
      <c r="C112" s="1" t="s">
        <v>50</v>
      </c>
      <c r="D112" s="1" t="s">
        <v>49</v>
      </c>
      <c r="E112" s="1" t="s">
        <v>48</v>
      </c>
      <c r="F112" s="1" t="s">
        <v>41</v>
      </c>
      <c r="G112" s="1">
        <v>112499</v>
      </c>
      <c r="H112" s="1">
        <f>'1_Departamento_n'!C3</f>
        <v>2806306</v>
      </c>
      <c r="I112" s="1">
        <f>'1_Departamento_n'!H3</f>
        <v>1313</v>
      </c>
      <c r="J112" s="1">
        <f>'0_Parametros'!B7</f>
        <v>10</v>
      </c>
      <c r="K112" s="3">
        <f>(I112-SUM($J$58:$J$113))*G112/H112</f>
        <v>30.186211696087312</v>
      </c>
      <c r="L112" s="1">
        <f>INT(K112)</f>
        <v>30</v>
      </c>
      <c r="M112" s="3">
        <f>K112-L112</f>
        <v>0.18621169608731236</v>
      </c>
      <c r="N112" s="1">
        <f>COUNTIF($M$58:$M$113,"&gt;"&amp;M112)+COUNTIF($M$58:M112,M112)</f>
        <v>45</v>
      </c>
      <c r="O112" s="1">
        <f>J112+L112+IF(N112&lt;=I112-SUM($J$58:$J$113)-SUM($L$58:$L$113),1,0)</f>
        <v>40</v>
      </c>
    </row>
    <row r="113" spans="1:15">
      <c r="A113" s="1" t="s">
        <v>51</v>
      </c>
      <c r="B113" s="1" t="s">
        <v>52</v>
      </c>
      <c r="C113" s="1" t="s">
        <v>50</v>
      </c>
      <c r="D113" s="1" t="s">
        <v>49</v>
      </c>
      <c r="E113" s="1" t="s">
        <v>48</v>
      </c>
      <c r="F113" s="1" t="s">
        <v>42</v>
      </c>
      <c r="G113" s="1">
        <v>12353</v>
      </c>
      <c r="H113" s="1">
        <f>'1_Departamento_n'!C3</f>
        <v>2806306</v>
      </c>
      <c r="I113" s="1">
        <f>'1_Departamento_n'!H3</f>
        <v>1313</v>
      </c>
      <c r="J113" s="1">
        <f>'0_Parametros'!B7</f>
        <v>10</v>
      </c>
      <c r="K113" s="3">
        <f>(I113-SUM($J$58:$J$113))*G113/H113</f>
        <v>3.3146096683683104</v>
      </c>
      <c r="L113" s="1">
        <f>INT(K113)</f>
        <v>3</v>
      </c>
      <c r="M113" s="3">
        <f>K113-L113</f>
        <v>0.3146096683683104</v>
      </c>
      <c r="N113" s="1">
        <f>COUNTIF($M$58:$M$113,"&gt;"&amp;M113)+COUNTIF($M$58:M113,M113)</f>
        <v>38</v>
      </c>
      <c r="O113" s="1">
        <f>J113+L113+IF(N113&lt;=I113-SUM($J$58:$J$113)-SUM($L$58:$L$113),1,0)</f>
        <v>13</v>
      </c>
    </row>
    <row r="114" spans="1:15">
      <c r="A114" s="1" t="s">
        <v>51</v>
      </c>
      <c r="B114" s="1" t="s">
        <v>53</v>
      </c>
      <c r="C114" s="1" t="s">
        <v>38</v>
      </c>
      <c r="D114" s="1" t="s">
        <v>39</v>
      </c>
      <c r="E114" s="1" t="s">
        <v>40</v>
      </c>
      <c r="F114" s="1" t="s">
        <v>41</v>
      </c>
      <c r="G114" s="1">
        <v>36403</v>
      </c>
      <c r="H114" s="1">
        <f>'1_Departamento_n'!C4</f>
        <v>2345340</v>
      </c>
      <c r="I114" s="1">
        <f>'1_Departamento_n'!H4</f>
        <v>1312</v>
      </c>
      <c r="J114" s="1">
        <f>'0_Parametros'!B7</f>
        <v>10</v>
      </c>
      <c r="K114" s="3">
        <f>(I114-SUM($J$114:$J$169))*G114/H114</f>
        <v>11.672105536937075</v>
      </c>
      <c r="L114" s="1">
        <f>INT(K114)</f>
        <v>11</v>
      </c>
      <c r="M114" s="3">
        <f>K114-L114</f>
        <v>0.6721055369370745</v>
      </c>
      <c r="N114" s="1">
        <f>COUNTIF($M$114:$M$169,"&gt;"&amp;M114)+COUNTIF($M$114:M114,M114)</f>
        <v>16</v>
      </c>
      <c r="O114" s="1">
        <f>J114+L114+IF(N114&lt;=I114-SUM($J$114:$J$169)-SUM($L$114:$L$169),1,0)</f>
        <v>22</v>
      </c>
    </row>
    <row r="115" spans="1:15">
      <c r="A115" s="1" t="s">
        <v>51</v>
      </c>
      <c r="B115" s="1" t="s">
        <v>53</v>
      </c>
      <c r="C115" s="1" t="s">
        <v>38</v>
      </c>
      <c r="D115" s="1" t="s">
        <v>39</v>
      </c>
      <c r="E115" s="1" t="s">
        <v>40</v>
      </c>
      <c r="F115" s="1" t="s">
        <v>42</v>
      </c>
      <c r="G115" s="1">
        <v>3978</v>
      </c>
      <c r="H115" s="1">
        <f>'1_Departamento_n'!C4</f>
        <v>2345340</v>
      </c>
      <c r="I115" s="1">
        <f>'1_Departamento_n'!H4</f>
        <v>1312</v>
      </c>
      <c r="J115" s="1">
        <f>'0_Parametros'!B7</f>
        <v>10</v>
      </c>
      <c r="K115" s="3">
        <f>(I115-SUM($J$114:$J$169))*G115/H115</f>
        <v>1.275489268080534</v>
      </c>
      <c r="L115" s="1">
        <f>INT(K115)</f>
        <v>1</v>
      </c>
      <c r="M115" s="3">
        <f>K115-L115</f>
        <v>0.2754892680805341</v>
      </c>
      <c r="N115" s="1">
        <f>COUNTIF($M$114:$M$169,"&gt;"&amp;M115)+COUNTIF($M$114:M115,M115)</f>
        <v>39</v>
      </c>
      <c r="O115" s="1">
        <f>J115+L115+IF(N115&lt;=I115-SUM($J$114:$J$169)-SUM($L$114:$L$169),1,0)</f>
        <v>11</v>
      </c>
    </row>
    <row r="116" spans="1:15">
      <c r="A116" s="1" t="s">
        <v>51</v>
      </c>
      <c r="B116" s="1" t="s">
        <v>53</v>
      </c>
      <c r="C116" s="1" t="s">
        <v>38</v>
      </c>
      <c r="D116" s="1" t="s">
        <v>39</v>
      </c>
      <c r="E116" s="1" t="s">
        <v>43</v>
      </c>
      <c r="F116" s="1" t="s">
        <v>41</v>
      </c>
      <c r="G116" s="1">
        <v>44643</v>
      </c>
      <c r="H116" s="1">
        <f>'1_Departamento_n'!C4</f>
        <v>2345340</v>
      </c>
      <c r="I116" s="1">
        <f>'1_Departamento_n'!H4</f>
        <v>1312</v>
      </c>
      <c r="J116" s="1">
        <f>'0_Parametros'!B7</f>
        <v>10</v>
      </c>
      <c r="K116" s="3">
        <f>(I116-SUM($J$114:$J$169))*G116/H116</f>
        <v>14.314144644273325</v>
      </c>
      <c r="L116" s="1">
        <f>INT(K116)</f>
        <v>14</v>
      </c>
      <c r="M116" s="3">
        <f>K116-L116</f>
        <v>0.3141446442733251</v>
      </c>
      <c r="N116" s="1">
        <f>COUNTIF($M$114:$M$169,"&gt;"&amp;M116)+COUNTIF($M$114:M116,M116)</f>
        <v>33</v>
      </c>
      <c r="O116" s="1">
        <f>J116+L116+IF(N116&lt;=I116-SUM($J$114:$J$169)-SUM($L$114:$L$169),1,0)</f>
        <v>24</v>
      </c>
    </row>
    <row r="117" spans="1:15">
      <c r="A117" s="1" t="s">
        <v>51</v>
      </c>
      <c r="B117" s="1" t="s">
        <v>53</v>
      </c>
      <c r="C117" s="1" t="s">
        <v>38</v>
      </c>
      <c r="D117" s="1" t="s">
        <v>39</v>
      </c>
      <c r="E117" s="1" t="s">
        <v>43</v>
      </c>
      <c r="F117" s="1" t="s">
        <v>42</v>
      </c>
      <c r="G117" s="1">
        <v>3440</v>
      </c>
      <c r="H117" s="1">
        <f>'1_Departamento_n'!C4</f>
        <v>2345340</v>
      </c>
      <c r="I117" s="1">
        <f>'1_Departamento_n'!H4</f>
        <v>1312</v>
      </c>
      <c r="J117" s="1">
        <f>'0_Parametros'!B7</f>
        <v>10</v>
      </c>
      <c r="K117" s="3">
        <f>(I117-SUM($J$114:$J$169))*G117/H117</f>
        <v>1.102987200150085</v>
      </c>
      <c r="L117" s="1">
        <f>INT(K117)</f>
        <v>1</v>
      </c>
      <c r="M117" s="3">
        <f>K117-L117</f>
        <v>0.10298720015008489</v>
      </c>
      <c r="N117" s="1">
        <f>COUNTIF($M$114:$M$169,"&gt;"&amp;M117)+COUNTIF($M$114:M117,M117)</f>
        <v>49</v>
      </c>
      <c r="O117" s="1">
        <f>J117+L117+IF(N117&lt;=I117-SUM($J$114:$J$169)-SUM($L$114:$L$169),1,0)</f>
        <v>11</v>
      </c>
    </row>
    <row r="118" spans="1:15">
      <c r="A118" s="1" t="s">
        <v>51</v>
      </c>
      <c r="B118" s="1" t="s">
        <v>53</v>
      </c>
      <c r="C118" s="1" t="s">
        <v>38</v>
      </c>
      <c r="D118" s="1" t="s">
        <v>39</v>
      </c>
      <c r="E118" s="1" t="s">
        <v>44</v>
      </c>
      <c r="F118" s="1" t="s">
        <v>41</v>
      </c>
      <c r="G118" s="1">
        <v>48809</v>
      </c>
      <c r="H118" s="1">
        <f>'1_Departamento_n'!C4</f>
        <v>2345340</v>
      </c>
      <c r="I118" s="1">
        <f>'1_Departamento_n'!H4</f>
        <v>1312</v>
      </c>
      <c r="J118" s="1">
        <f>'0_Parametros'!B7</f>
        <v>10</v>
      </c>
      <c r="K118" s="3">
        <f>(I118-SUM($J$114:$J$169))*G118/H118</f>
        <v>15.649913445385318</v>
      </c>
      <c r="L118" s="1">
        <f>INT(K118)</f>
        <v>15</v>
      </c>
      <c r="M118" s="3">
        <f>K118-L118</f>
        <v>0.6499134453853177</v>
      </c>
      <c r="N118" s="1">
        <f>COUNTIF($M$114:$M$169,"&gt;"&amp;M118)+COUNTIF($M$114:M118,M118)</f>
        <v>18</v>
      </c>
      <c r="O118" s="1">
        <f>J118+L118+IF(N118&lt;=I118-SUM($J$114:$J$169)-SUM($L$114:$L$169),1,0)</f>
        <v>26</v>
      </c>
    </row>
    <row r="119" spans="1:15">
      <c r="A119" s="1" t="s">
        <v>51</v>
      </c>
      <c r="B119" s="1" t="s">
        <v>53</v>
      </c>
      <c r="C119" s="1" t="s">
        <v>38</v>
      </c>
      <c r="D119" s="1" t="s">
        <v>39</v>
      </c>
      <c r="E119" s="1" t="s">
        <v>44</v>
      </c>
      <c r="F119" s="1" t="s">
        <v>42</v>
      </c>
      <c r="G119" s="1">
        <v>5374</v>
      </c>
      <c r="H119" s="1">
        <f>'1_Departamento_n'!C4</f>
        <v>2345340</v>
      </c>
      <c r="I119" s="1">
        <f>'1_Departamento_n'!H4</f>
        <v>1312</v>
      </c>
      <c r="J119" s="1">
        <f>'0_Parametros'!B7</f>
        <v>10</v>
      </c>
      <c r="K119" s="3">
        <f>(I119-SUM($J$114:$J$169))*G119/H119</f>
        <v>1.7230968644205105</v>
      </c>
      <c r="L119" s="1">
        <f>INT(K119)</f>
        <v>1</v>
      </c>
      <c r="M119" s="3">
        <f>K119-L119</f>
        <v>0.7230968644205105</v>
      </c>
      <c r="N119" s="1">
        <f>COUNTIF($M$114:$M$169,"&gt;"&amp;M119)+COUNTIF($M$114:M119,M119)</f>
        <v>11</v>
      </c>
      <c r="O119" s="1">
        <f>J119+L119+IF(N119&lt;=I119-SUM($J$114:$J$169)-SUM($L$114:$L$169),1,0)</f>
        <v>12</v>
      </c>
    </row>
    <row r="120" spans="1:15">
      <c r="A120" s="1" t="s">
        <v>51</v>
      </c>
      <c r="B120" s="1" t="s">
        <v>53</v>
      </c>
      <c r="C120" s="1" t="s">
        <v>38</v>
      </c>
      <c r="D120" s="1" t="s">
        <v>39</v>
      </c>
      <c r="E120" s="1" t="s">
        <v>45</v>
      </c>
      <c r="F120" s="1" t="s">
        <v>41</v>
      </c>
      <c r="G120" s="1">
        <v>57741</v>
      </c>
      <c r="H120" s="1">
        <f>'1_Departamento_n'!C4</f>
        <v>2345340</v>
      </c>
      <c r="I120" s="1">
        <f>'1_Departamento_n'!H4</f>
        <v>1312</v>
      </c>
      <c r="J120" s="1">
        <f>'0_Parametros'!B7</f>
        <v>10</v>
      </c>
      <c r="K120" s="3">
        <f>(I120-SUM($J$114:$J$169))*G120/H120</f>
        <v>18.513832536007573</v>
      </c>
      <c r="L120" s="1">
        <f>INT(K120)</f>
        <v>18</v>
      </c>
      <c r="M120" s="3">
        <f>K120-L120</f>
        <v>0.5138325360075733</v>
      </c>
      <c r="N120" s="1">
        <f>COUNTIF($M$114:$M$169,"&gt;"&amp;M120)+COUNTIF($M$114:M120,M120)</f>
        <v>25</v>
      </c>
      <c r="O120" s="1">
        <f>J120+L120+IF(N120&lt;=I120-SUM($J$114:$J$169)-SUM($L$114:$L$169),1,0)</f>
        <v>29</v>
      </c>
    </row>
    <row r="121" spans="1:15">
      <c r="A121" s="1" t="s">
        <v>51</v>
      </c>
      <c r="B121" s="1" t="s">
        <v>53</v>
      </c>
      <c r="C121" s="1" t="s">
        <v>38</v>
      </c>
      <c r="D121" s="1" t="s">
        <v>39</v>
      </c>
      <c r="E121" s="1" t="s">
        <v>45</v>
      </c>
      <c r="F121" s="1" t="s">
        <v>42</v>
      </c>
      <c r="G121" s="1">
        <v>4842</v>
      </c>
      <c r="H121" s="1">
        <f>'1_Departamento_n'!C4</f>
        <v>2345340</v>
      </c>
      <c r="I121" s="1">
        <f>'1_Departamento_n'!H4</f>
        <v>1312</v>
      </c>
      <c r="J121" s="1">
        <f>'0_Parametros'!B7</f>
        <v>10</v>
      </c>
      <c r="K121" s="3">
        <f>(I121-SUM($J$114:$J$169))*G121/H121</f>
        <v>1.552518611374044</v>
      </c>
      <c r="L121" s="1">
        <f>INT(K121)</f>
        <v>1</v>
      </c>
      <c r="M121" s="3">
        <f>K121-L121</f>
        <v>0.5525186113740439</v>
      </c>
      <c r="N121" s="1">
        <f>COUNTIF($M$114:$M$169,"&gt;"&amp;M121)+COUNTIF($M$114:M121,M121)</f>
        <v>21</v>
      </c>
      <c r="O121" s="1">
        <f>J121+L121+IF(N121&lt;=I121-SUM($J$114:$J$169)-SUM($L$114:$L$169),1,0)</f>
        <v>12</v>
      </c>
    </row>
    <row r="122" spans="1:15">
      <c r="A122" s="1" t="s">
        <v>51</v>
      </c>
      <c r="B122" s="1" t="s">
        <v>53</v>
      </c>
      <c r="C122" s="1" t="s">
        <v>38</v>
      </c>
      <c r="D122" s="1" t="s">
        <v>39</v>
      </c>
      <c r="E122" s="1" t="s">
        <v>46</v>
      </c>
      <c r="F122" s="1" t="s">
        <v>41</v>
      </c>
      <c r="G122" s="1">
        <v>48940</v>
      </c>
      <c r="H122" s="1">
        <f>'1_Departamento_n'!C4</f>
        <v>2345340</v>
      </c>
      <c r="I122" s="1">
        <f>'1_Departamento_n'!H4</f>
        <v>1312</v>
      </c>
      <c r="J122" s="1">
        <f>'0_Parametros'!B7</f>
        <v>10</v>
      </c>
      <c r="K122" s="3">
        <f>(I122-SUM($J$114:$J$169))*G122/H122</f>
        <v>15.69191673701894</v>
      </c>
      <c r="L122" s="1">
        <f>INT(K122)</f>
        <v>15</v>
      </c>
      <c r="M122" s="3">
        <f>K122-L122</f>
        <v>0.6919167370189392</v>
      </c>
      <c r="N122" s="1">
        <f>COUNTIF($M$114:$M$169,"&gt;"&amp;M122)+COUNTIF($M$114:M122,M122)</f>
        <v>14</v>
      </c>
      <c r="O122" s="1">
        <f>J122+L122+IF(N122&lt;=I122-SUM($J$114:$J$169)-SUM($L$114:$L$169),1,0)</f>
        <v>26</v>
      </c>
    </row>
    <row r="123" spans="1:15">
      <c r="A123" s="1" t="s">
        <v>51</v>
      </c>
      <c r="B123" s="1" t="s">
        <v>53</v>
      </c>
      <c r="C123" s="1" t="s">
        <v>38</v>
      </c>
      <c r="D123" s="1" t="s">
        <v>39</v>
      </c>
      <c r="E123" s="1" t="s">
        <v>46</v>
      </c>
      <c r="F123" s="1" t="s">
        <v>42</v>
      </c>
      <c r="G123" s="1">
        <v>3023</v>
      </c>
      <c r="H123" s="1">
        <f>'1_Departamento_n'!C4</f>
        <v>2345340</v>
      </c>
      <c r="I123" s="1">
        <f>'1_Departamento_n'!H4</f>
        <v>1312</v>
      </c>
      <c r="J123" s="1">
        <f>'0_Parametros'!B7</f>
        <v>10</v>
      </c>
      <c r="K123" s="3">
        <f>(I123-SUM($J$114:$J$169))*G123/H123</f>
        <v>0.9692820657132868</v>
      </c>
      <c r="L123" s="1">
        <f>INT(K123)</f>
        <v>0</v>
      </c>
      <c r="M123" s="3">
        <f>K123-L123</f>
        <v>0.9692820657132868</v>
      </c>
      <c r="N123" s="1">
        <f>COUNTIF($M$114:$M$169,"&gt;"&amp;M123)+COUNTIF($M$114:M123,M123)</f>
        <v>2</v>
      </c>
      <c r="O123" s="1">
        <f>J123+L123+IF(N123&lt;=I123-SUM($J$114:$J$169)-SUM($L$114:$L$169),1,0)</f>
        <v>11</v>
      </c>
    </row>
    <row r="124" spans="1:15">
      <c r="A124" s="1" t="s">
        <v>51</v>
      </c>
      <c r="B124" s="1" t="s">
        <v>53</v>
      </c>
      <c r="C124" s="1" t="s">
        <v>38</v>
      </c>
      <c r="D124" s="1" t="s">
        <v>39</v>
      </c>
      <c r="E124" s="1" t="s">
        <v>47</v>
      </c>
      <c r="F124" s="1" t="s">
        <v>41</v>
      </c>
      <c r="G124" s="1">
        <v>33393</v>
      </c>
      <c r="H124" s="1">
        <f>'1_Departamento_n'!C4</f>
        <v>2345340</v>
      </c>
      <c r="I124" s="1">
        <f>'1_Departamento_n'!H4</f>
        <v>1312</v>
      </c>
      <c r="J124" s="1">
        <f>'0_Parametros'!B7</f>
        <v>10</v>
      </c>
      <c r="K124" s="3">
        <f>(I124-SUM($J$114:$J$169))*G124/H124</f>
        <v>10.706991736805751</v>
      </c>
      <c r="L124" s="1">
        <f>INT(K124)</f>
        <v>10</v>
      </c>
      <c r="M124" s="3">
        <f>K124-L124</f>
        <v>0.706991736805751</v>
      </c>
      <c r="N124" s="1">
        <f>COUNTIF($M$114:$M$169,"&gt;"&amp;M124)+COUNTIF($M$114:M124,M124)</f>
        <v>13</v>
      </c>
      <c r="O124" s="1">
        <f>J124+L124+IF(N124&lt;=I124-SUM($J$114:$J$169)-SUM($L$114:$L$169),1,0)</f>
        <v>21</v>
      </c>
    </row>
    <row r="125" spans="1:15">
      <c r="A125" s="1" t="s">
        <v>51</v>
      </c>
      <c r="B125" s="1" t="s">
        <v>53</v>
      </c>
      <c r="C125" s="1" t="s">
        <v>38</v>
      </c>
      <c r="D125" s="1" t="s">
        <v>39</v>
      </c>
      <c r="E125" s="1" t="s">
        <v>47</v>
      </c>
      <c r="F125" s="1" t="s">
        <v>42</v>
      </c>
      <c r="G125" s="1">
        <v>1623</v>
      </c>
      <c r="H125" s="1">
        <f>'1_Departamento_n'!C4</f>
        <v>2345340</v>
      </c>
      <c r="I125" s="1">
        <f>'1_Departamento_n'!H4</f>
        <v>1312</v>
      </c>
      <c r="J125" s="1">
        <f>'0_Parametros'!B7</f>
        <v>10</v>
      </c>
      <c r="K125" s="3">
        <f>(I125-SUM($J$114:$J$169))*G125/H125</f>
        <v>0.520391926117322</v>
      </c>
      <c r="L125" s="1">
        <f>INT(K125)</f>
        <v>0</v>
      </c>
      <c r="M125" s="3">
        <f>K125-L125</f>
        <v>0.520391926117322</v>
      </c>
      <c r="N125" s="1">
        <f>COUNTIF($M$114:$M$169,"&gt;"&amp;M125)+COUNTIF($M$114:M125,M125)</f>
        <v>24</v>
      </c>
      <c r="O125" s="1">
        <f>J125+L125+IF(N125&lt;=I125-SUM($J$114:$J$169)-SUM($L$114:$L$169),1,0)</f>
        <v>11</v>
      </c>
    </row>
    <row r="126" spans="1:15">
      <c r="A126" s="1" t="s">
        <v>51</v>
      </c>
      <c r="B126" s="1" t="s">
        <v>53</v>
      </c>
      <c r="C126" s="1" t="s">
        <v>38</v>
      </c>
      <c r="D126" s="1" t="s">
        <v>39</v>
      </c>
      <c r="E126" s="1" t="s">
        <v>48</v>
      </c>
      <c r="F126" s="1" t="s">
        <v>41</v>
      </c>
      <c r="G126" s="1">
        <v>53122</v>
      </c>
      <c r="H126" s="1">
        <f>'1_Departamento_n'!C4</f>
        <v>2345340</v>
      </c>
      <c r="I126" s="1">
        <f>'1_Departamento_n'!H4</f>
        <v>1312</v>
      </c>
      <c r="J126" s="1">
        <f>'0_Parametros'!B7</f>
        <v>10</v>
      </c>
      <c r="K126" s="3">
        <f>(I126-SUM($J$114:$J$169))*G126/H126</f>
        <v>17.032815711154885</v>
      </c>
      <c r="L126" s="1">
        <f>INT(K126)</f>
        <v>17</v>
      </c>
      <c r="M126" s="3">
        <f>K126-L126</f>
        <v>0.03281571115488546</v>
      </c>
      <c r="N126" s="1">
        <f>COUNTIF($M$114:$M$169,"&gt;"&amp;M126)+COUNTIF($M$114:M126,M126)</f>
        <v>52</v>
      </c>
      <c r="O126" s="1">
        <f>J126+L126+IF(N126&lt;=I126-SUM($J$114:$J$169)-SUM($L$114:$L$169),1,0)</f>
        <v>27</v>
      </c>
    </row>
    <row r="127" spans="1:15">
      <c r="A127" s="1" t="s">
        <v>51</v>
      </c>
      <c r="B127" s="1" t="s">
        <v>53</v>
      </c>
      <c r="C127" s="1" t="s">
        <v>38</v>
      </c>
      <c r="D127" s="1" t="s">
        <v>39</v>
      </c>
      <c r="E127" s="1" t="s">
        <v>48</v>
      </c>
      <c r="F127" s="1" t="s">
        <v>42</v>
      </c>
      <c r="G127" s="1">
        <v>1307</v>
      </c>
      <c r="H127" s="1">
        <f>'1_Departamento_n'!C4</f>
        <v>2345340</v>
      </c>
      <c r="I127" s="1">
        <f>'1_Departamento_n'!H4</f>
        <v>1312</v>
      </c>
      <c r="J127" s="1">
        <f>'0_Parametros'!B7</f>
        <v>10</v>
      </c>
      <c r="K127" s="3">
        <f>(I127-SUM($J$114:$J$169))*G127/H127</f>
        <v>0.4190710088942328</v>
      </c>
      <c r="L127" s="1">
        <f>INT(K127)</f>
        <v>0</v>
      </c>
      <c r="M127" s="3">
        <f>K127-L127</f>
        <v>0.4190710088942328</v>
      </c>
      <c r="N127" s="1">
        <f>COUNTIF($M$114:$M$169,"&gt;"&amp;M127)+COUNTIF($M$114:M127,M127)</f>
        <v>29</v>
      </c>
      <c r="O127" s="1">
        <f>J127+L127+IF(N127&lt;=I127-SUM($J$114:$J$169)-SUM($L$114:$L$169),1,0)</f>
        <v>10</v>
      </c>
    </row>
    <row r="128" spans="1:15">
      <c r="A128" s="1" t="s">
        <v>51</v>
      </c>
      <c r="B128" s="1" t="s">
        <v>53</v>
      </c>
      <c r="C128" s="1" t="s">
        <v>38</v>
      </c>
      <c r="D128" s="1" t="s">
        <v>49</v>
      </c>
      <c r="E128" s="1" t="s">
        <v>40</v>
      </c>
      <c r="F128" s="1" t="s">
        <v>41</v>
      </c>
      <c r="G128" s="1">
        <v>38294</v>
      </c>
      <c r="H128" s="1">
        <f>'1_Departamento_n'!C4</f>
        <v>2345340</v>
      </c>
      <c r="I128" s="1">
        <f>'1_Departamento_n'!H4</f>
        <v>1312</v>
      </c>
      <c r="J128" s="1">
        <f>'0_Parametros'!B7</f>
        <v>10</v>
      </c>
      <c r="K128" s="3">
        <f>(I128-SUM($J$114:$J$169))*G128/H128</f>
        <v>12.278427861205625</v>
      </c>
      <c r="L128" s="1">
        <f>INT(K128)</f>
        <v>12</v>
      </c>
      <c r="M128" s="3">
        <f>K128-L128</f>
        <v>0.2784278612056248</v>
      </c>
      <c r="N128" s="1">
        <f>COUNTIF($M$114:$M$169,"&gt;"&amp;M128)+COUNTIF($M$114:M128,M128)</f>
        <v>38</v>
      </c>
      <c r="O128" s="1">
        <f>J128+L128+IF(N128&lt;=I128-SUM($J$114:$J$169)-SUM($L$114:$L$169),1,0)</f>
        <v>22</v>
      </c>
    </row>
    <row r="129" spans="1:15">
      <c r="A129" s="1" t="s">
        <v>51</v>
      </c>
      <c r="B129" s="1" t="s">
        <v>53</v>
      </c>
      <c r="C129" s="1" t="s">
        <v>38</v>
      </c>
      <c r="D129" s="1" t="s">
        <v>49</v>
      </c>
      <c r="E129" s="1" t="s">
        <v>40</v>
      </c>
      <c r="F129" s="1" t="s">
        <v>42</v>
      </c>
      <c r="G129" s="1">
        <v>3993</v>
      </c>
      <c r="H129" s="1">
        <f>'1_Departamento_n'!C4</f>
        <v>2345340</v>
      </c>
      <c r="I129" s="1">
        <f>'1_Departamento_n'!H4</f>
        <v>1312</v>
      </c>
      <c r="J129" s="1">
        <f>'0_Parametros'!B7</f>
        <v>10</v>
      </c>
      <c r="K129" s="3">
        <f>(I129-SUM($J$114:$J$169))*G129/H129</f>
        <v>1.280298805290491</v>
      </c>
      <c r="L129" s="1">
        <f>INT(K129)</f>
        <v>1</v>
      </c>
      <c r="M129" s="3">
        <f>K129-L129</f>
        <v>0.2802988052904909</v>
      </c>
      <c r="N129" s="1">
        <f>COUNTIF($M$114:$M$169,"&gt;"&amp;M129)+COUNTIF($M$114:M129,M129)</f>
        <v>37</v>
      </c>
      <c r="O129" s="1">
        <f>J129+L129+IF(N129&lt;=I129-SUM($J$114:$J$169)-SUM($L$114:$L$169),1,0)</f>
        <v>11</v>
      </c>
    </row>
    <row r="130" spans="1:15">
      <c r="A130" s="1" t="s">
        <v>51</v>
      </c>
      <c r="B130" s="1" t="s">
        <v>53</v>
      </c>
      <c r="C130" s="1" t="s">
        <v>38</v>
      </c>
      <c r="D130" s="1" t="s">
        <v>49</v>
      </c>
      <c r="E130" s="1" t="s">
        <v>43</v>
      </c>
      <c r="F130" s="1" t="s">
        <v>41</v>
      </c>
      <c r="G130" s="1">
        <v>46572</v>
      </c>
      <c r="H130" s="1">
        <f>'1_Departamento_n'!C4</f>
        <v>2345340</v>
      </c>
      <c r="I130" s="1">
        <f>'1_Departamento_n'!H4</f>
        <v>1312</v>
      </c>
      <c r="J130" s="1">
        <f>'0_Parametros'!B7</f>
        <v>10</v>
      </c>
      <c r="K130" s="3">
        <f>(I130-SUM($J$114:$J$169))*G130/H130</f>
        <v>14.932651129473765</v>
      </c>
      <c r="L130" s="1">
        <f>INT(K130)</f>
        <v>14</v>
      </c>
      <c r="M130" s="3">
        <f>K130-L130</f>
        <v>0.9326511294737649</v>
      </c>
      <c r="N130" s="1">
        <f>COUNTIF($M$114:$M$169,"&gt;"&amp;M130)+COUNTIF($M$114:M130,M130)</f>
        <v>4</v>
      </c>
      <c r="O130" s="1">
        <f>J130+L130+IF(N130&lt;=I130-SUM($J$114:$J$169)-SUM($L$114:$L$169),1,0)</f>
        <v>25</v>
      </c>
    </row>
    <row r="131" spans="1:15">
      <c r="A131" s="1" t="s">
        <v>51</v>
      </c>
      <c r="B131" s="1" t="s">
        <v>53</v>
      </c>
      <c r="C131" s="1" t="s">
        <v>38</v>
      </c>
      <c r="D131" s="1" t="s">
        <v>49</v>
      </c>
      <c r="E131" s="1" t="s">
        <v>43</v>
      </c>
      <c r="F131" s="1" t="s">
        <v>42</v>
      </c>
      <c r="G131" s="1">
        <v>3592</v>
      </c>
      <c r="H131" s="1">
        <f>'1_Departamento_n'!C4</f>
        <v>2345340</v>
      </c>
      <c r="I131" s="1">
        <f>'1_Departamento_n'!H4</f>
        <v>1312</v>
      </c>
      <c r="J131" s="1">
        <f>'0_Parametros'!B7</f>
        <v>10</v>
      </c>
      <c r="K131" s="3">
        <f>(I131-SUM($J$114:$J$169))*G131/H131</f>
        <v>1.1517238438776467</v>
      </c>
      <c r="L131" s="1">
        <f>INT(K131)</f>
        <v>1</v>
      </c>
      <c r="M131" s="3">
        <f>K131-L131</f>
        <v>0.1517238438776467</v>
      </c>
      <c r="N131" s="1">
        <f>COUNTIF($M$114:$M$169,"&gt;"&amp;M131)+COUNTIF($M$114:M131,M131)</f>
        <v>46</v>
      </c>
      <c r="O131" s="1">
        <f>J131+L131+IF(N131&lt;=I131-SUM($J$114:$J$169)-SUM($L$114:$L$169),1,0)</f>
        <v>11</v>
      </c>
    </row>
    <row r="132" spans="1:15">
      <c r="A132" s="1" t="s">
        <v>51</v>
      </c>
      <c r="B132" s="1" t="s">
        <v>53</v>
      </c>
      <c r="C132" s="1" t="s">
        <v>38</v>
      </c>
      <c r="D132" s="1" t="s">
        <v>49</v>
      </c>
      <c r="E132" s="1" t="s">
        <v>44</v>
      </c>
      <c r="F132" s="1" t="s">
        <v>41</v>
      </c>
      <c r="G132" s="1">
        <v>53902</v>
      </c>
      <c r="H132" s="1">
        <f>'1_Departamento_n'!C4</f>
        <v>2345340</v>
      </c>
      <c r="I132" s="1">
        <f>'1_Departamento_n'!H4</f>
        <v>1312</v>
      </c>
      <c r="J132" s="1">
        <f>'0_Parametros'!B7</f>
        <v>10</v>
      </c>
      <c r="K132" s="3">
        <f>(I132-SUM($J$114:$J$169))*G132/H132</f>
        <v>17.282911646072638</v>
      </c>
      <c r="L132" s="1">
        <f>INT(K132)</f>
        <v>17</v>
      </c>
      <c r="M132" s="3">
        <f>K132-L132</f>
        <v>0.2829116460726375</v>
      </c>
      <c r="N132" s="1">
        <f>COUNTIF($M$114:$M$169,"&gt;"&amp;M132)+COUNTIF($M$114:M132,M132)</f>
        <v>35</v>
      </c>
      <c r="O132" s="1">
        <f>J132+L132+IF(N132&lt;=I132-SUM($J$114:$J$169)-SUM($L$114:$L$169),1,0)</f>
        <v>27</v>
      </c>
    </row>
    <row r="133" spans="1:15">
      <c r="A133" s="1" t="s">
        <v>51</v>
      </c>
      <c r="B133" s="1" t="s">
        <v>53</v>
      </c>
      <c r="C133" s="1" t="s">
        <v>38</v>
      </c>
      <c r="D133" s="1" t="s">
        <v>49</v>
      </c>
      <c r="E133" s="1" t="s">
        <v>44</v>
      </c>
      <c r="F133" s="1" t="s">
        <v>42</v>
      </c>
      <c r="G133" s="1">
        <v>7203</v>
      </c>
      <c r="H133" s="1">
        <f>'1_Departamento_n'!C4</f>
        <v>2345340</v>
      </c>
      <c r="I133" s="1">
        <f>'1_Departamento_n'!H4</f>
        <v>1312</v>
      </c>
      <c r="J133" s="1">
        <f>'0_Parametros'!B7</f>
        <v>10</v>
      </c>
      <c r="K133" s="3">
        <f>(I133-SUM($J$114:$J$169))*G133/H133</f>
        <v>2.3095397682212386</v>
      </c>
      <c r="L133" s="1">
        <f>INT(K133)</f>
        <v>2</v>
      </c>
      <c r="M133" s="3">
        <f>K133-L133</f>
        <v>0.30953976822123863</v>
      </c>
      <c r="N133" s="1">
        <f>COUNTIF($M$114:$M$169,"&gt;"&amp;M133)+COUNTIF($M$114:M133,M133)</f>
        <v>34</v>
      </c>
      <c r="O133" s="1">
        <f>J133+L133+IF(N133&lt;=I133-SUM($J$114:$J$169)-SUM($L$114:$L$169),1,0)</f>
        <v>12</v>
      </c>
    </row>
    <row r="134" spans="1:15">
      <c r="A134" s="1" t="s">
        <v>51</v>
      </c>
      <c r="B134" s="1" t="s">
        <v>53</v>
      </c>
      <c r="C134" s="1" t="s">
        <v>38</v>
      </c>
      <c r="D134" s="1" t="s">
        <v>49</v>
      </c>
      <c r="E134" s="1" t="s">
        <v>45</v>
      </c>
      <c r="F134" s="1" t="s">
        <v>41</v>
      </c>
      <c r="G134" s="1">
        <v>60695</v>
      </c>
      <c r="H134" s="1">
        <f>'1_Departamento_n'!C4</f>
        <v>2345340</v>
      </c>
      <c r="I134" s="1">
        <f>'1_Departamento_n'!H4</f>
        <v>1312</v>
      </c>
      <c r="J134" s="1">
        <f>'0_Parametros'!B7</f>
        <v>10</v>
      </c>
      <c r="K134" s="3">
        <f>(I134-SUM($J$114:$J$169))*G134/H134</f>
        <v>19.460990730555057</v>
      </c>
      <c r="L134" s="1">
        <f>INT(K134)</f>
        <v>19</v>
      </c>
      <c r="M134" s="3">
        <f>K134-L134</f>
        <v>0.4609907305550571</v>
      </c>
      <c r="N134" s="1">
        <f>COUNTIF($M$114:$M$169,"&gt;"&amp;M134)+COUNTIF($M$114:M134,M134)</f>
        <v>27</v>
      </c>
      <c r="O134" s="1">
        <f>J134+L134+IF(N134&lt;=I134-SUM($J$114:$J$169)-SUM($L$114:$L$169),1,0)</f>
        <v>29</v>
      </c>
    </row>
    <row r="135" spans="1:15">
      <c r="A135" s="1" t="s">
        <v>51</v>
      </c>
      <c r="B135" s="1" t="s">
        <v>53</v>
      </c>
      <c r="C135" s="1" t="s">
        <v>38</v>
      </c>
      <c r="D135" s="1" t="s">
        <v>49</v>
      </c>
      <c r="E135" s="1" t="s">
        <v>45</v>
      </c>
      <c r="F135" s="1" t="s">
        <v>42</v>
      </c>
      <c r="G135" s="1">
        <v>6436</v>
      </c>
      <c r="H135" s="1">
        <f>'1_Departamento_n'!C4</f>
        <v>2345340</v>
      </c>
      <c r="I135" s="1">
        <f>'1_Departamento_n'!H4</f>
        <v>1312</v>
      </c>
      <c r="J135" s="1">
        <f>'0_Parametros'!B7</f>
        <v>10</v>
      </c>
      <c r="K135" s="3">
        <f>(I135-SUM($J$114:$J$169))*G135/H135</f>
        <v>2.0636120988854496</v>
      </c>
      <c r="L135" s="1">
        <f>INT(K135)</f>
        <v>2</v>
      </c>
      <c r="M135" s="3">
        <f>K135-L135</f>
        <v>0.06361209888544961</v>
      </c>
      <c r="N135" s="1">
        <f>COUNTIF($M$114:$M$169,"&gt;"&amp;M135)+COUNTIF($M$114:M135,M135)</f>
        <v>50</v>
      </c>
      <c r="O135" s="1">
        <f>J135+L135+IF(N135&lt;=I135-SUM($J$114:$J$169)-SUM($L$114:$L$169),1,0)</f>
        <v>12</v>
      </c>
    </row>
    <row r="136" spans="1:15">
      <c r="A136" s="1" t="s">
        <v>51</v>
      </c>
      <c r="B136" s="1" t="s">
        <v>53</v>
      </c>
      <c r="C136" s="1" t="s">
        <v>38</v>
      </c>
      <c r="D136" s="1" t="s">
        <v>49</v>
      </c>
      <c r="E136" s="1" t="s">
        <v>46</v>
      </c>
      <c r="F136" s="1" t="s">
        <v>41</v>
      </c>
      <c r="G136" s="1">
        <v>50465</v>
      </c>
      <c r="H136" s="1">
        <f>'1_Departamento_n'!C4</f>
        <v>2345340</v>
      </c>
      <c r="I136" s="1">
        <f>'1_Departamento_n'!H4</f>
        <v>1312</v>
      </c>
      <c r="J136" s="1">
        <f>'0_Parametros'!B7</f>
        <v>10</v>
      </c>
      <c r="K136" s="3">
        <f>(I136-SUM($J$114:$J$169))*G136/H136</f>
        <v>16.180886353364546</v>
      </c>
      <c r="L136" s="1">
        <f>INT(K136)</f>
        <v>16</v>
      </c>
      <c r="M136" s="3">
        <f>K136-L136</f>
        <v>0.18088635336454573</v>
      </c>
      <c r="N136" s="1">
        <f>COUNTIF($M$114:$M$169,"&gt;"&amp;M136)+COUNTIF($M$114:M136,M136)</f>
        <v>43</v>
      </c>
      <c r="O136" s="1">
        <f>J136+L136+IF(N136&lt;=I136-SUM($J$114:$J$169)-SUM($L$114:$L$169),1,0)</f>
        <v>26</v>
      </c>
    </row>
    <row r="137" spans="1:15">
      <c r="A137" s="1" t="s">
        <v>51</v>
      </c>
      <c r="B137" s="1" t="s">
        <v>53</v>
      </c>
      <c r="C137" s="1" t="s">
        <v>38</v>
      </c>
      <c r="D137" s="1" t="s">
        <v>49</v>
      </c>
      <c r="E137" s="1" t="s">
        <v>46</v>
      </c>
      <c r="F137" s="1" t="s">
        <v>42</v>
      </c>
      <c r="G137" s="1">
        <v>3911</v>
      </c>
      <c r="H137" s="1">
        <f>'1_Departamento_n'!C4</f>
        <v>2345340</v>
      </c>
      <c r="I137" s="1">
        <f>'1_Departamento_n'!H4</f>
        <v>1312</v>
      </c>
      <c r="J137" s="1">
        <f>'0_Parametros'!B7</f>
        <v>10</v>
      </c>
      <c r="K137" s="3">
        <f>(I137-SUM($J$114:$J$169))*G137/H137</f>
        <v>1.2540066685427274</v>
      </c>
      <c r="L137" s="1">
        <f>INT(K137)</f>
        <v>1</v>
      </c>
      <c r="M137" s="3">
        <f>K137-L137</f>
        <v>0.25400666854272735</v>
      </c>
      <c r="N137" s="1">
        <f>COUNTIF($M$114:$M$169,"&gt;"&amp;M137)+COUNTIF($M$114:M137,M137)</f>
        <v>40</v>
      </c>
      <c r="O137" s="1">
        <f>J137+L137+IF(N137&lt;=I137-SUM($J$114:$J$169)-SUM($L$114:$L$169),1,0)</f>
        <v>11</v>
      </c>
    </row>
    <row r="138" spans="1:15">
      <c r="A138" s="1" t="s">
        <v>51</v>
      </c>
      <c r="B138" s="1" t="s">
        <v>53</v>
      </c>
      <c r="C138" s="1" t="s">
        <v>38</v>
      </c>
      <c r="D138" s="1" t="s">
        <v>49</v>
      </c>
      <c r="E138" s="1" t="s">
        <v>47</v>
      </c>
      <c r="F138" s="1" t="s">
        <v>41</v>
      </c>
      <c r="G138" s="1">
        <v>34332</v>
      </c>
      <c r="H138" s="1">
        <f>'1_Departamento_n'!C4</f>
        <v>2345340</v>
      </c>
      <c r="I138" s="1">
        <f>'1_Departamento_n'!H4</f>
        <v>1312</v>
      </c>
      <c r="J138" s="1">
        <f>'0_Parametros'!B7</f>
        <v>10</v>
      </c>
      <c r="K138" s="3">
        <f>(I138-SUM($J$114:$J$169))*G138/H138</f>
        <v>11.008068766149044</v>
      </c>
      <c r="L138" s="1">
        <f>INT(K138)</f>
        <v>11</v>
      </c>
      <c r="M138" s="3">
        <f>K138-L138</f>
        <v>0.008068766149044393</v>
      </c>
      <c r="N138" s="1">
        <f>COUNTIF($M$114:$M$169,"&gt;"&amp;M138)+COUNTIF($M$114:M138,M138)</f>
        <v>55</v>
      </c>
      <c r="O138" s="1">
        <f>J138+L138+IF(N138&lt;=I138-SUM($J$114:$J$169)-SUM($L$114:$L$169),1,0)</f>
        <v>21</v>
      </c>
    </row>
    <row r="139" spans="1:15">
      <c r="A139" s="1" t="s">
        <v>51</v>
      </c>
      <c r="B139" s="1" t="s">
        <v>53</v>
      </c>
      <c r="C139" s="1" t="s">
        <v>38</v>
      </c>
      <c r="D139" s="1" t="s">
        <v>49</v>
      </c>
      <c r="E139" s="1" t="s">
        <v>47</v>
      </c>
      <c r="F139" s="1" t="s">
        <v>42</v>
      </c>
      <c r="G139" s="1">
        <v>2089</v>
      </c>
      <c r="H139" s="1">
        <f>'1_Departamento_n'!C4</f>
        <v>2345340</v>
      </c>
      <c r="I139" s="1">
        <f>'1_Departamento_n'!H4</f>
        <v>1312</v>
      </c>
      <c r="J139" s="1">
        <f>'0_Parametros'!B7</f>
        <v>10</v>
      </c>
      <c r="K139" s="3">
        <f>(I139-SUM($J$114:$J$169))*G139/H139</f>
        <v>0.6698082154399788</v>
      </c>
      <c r="L139" s="1">
        <f>INT(K139)</f>
        <v>0</v>
      </c>
      <c r="M139" s="3">
        <f>K139-L139</f>
        <v>0.6698082154399788</v>
      </c>
      <c r="N139" s="1">
        <f>COUNTIF($M$114:$M$169,"&gt;"&amp;M139)+COUNTIF($M$114:M139,M139)</f>
        <v>17</v>
      </c>
      <c r="O139" s="1">
        <f>J139+L139+IF(N139&lt;=I139-SUM($J$114:$J$169)-SUM($L$114:$L$169),1,0)</f>
        <v>11</v>
      </c>
    </row>
    <row r="140" spans="1:15">
      <c r="A140" s="1" t="s">
        <v>51</v>
      </c>
      <c r="B140" s="1" t="s">
        <v>53</v>
      </c>
      <c r="C140" s="1" t="s">
        <v>38</v>
      </c>
      <c r="D140" s="1" t="s">
        <v>49</v>
      </c>
      <c r="E140" s="1" t="s">
        <v>48</v>
      </c>
      <c r="F140" s="1" t="s">
        <v>41</v>
      </c>
      <c r="G140" s="1">
        <v>43719</v>
      </c>
      <c r="H140" s="1">
        <f>'1_Departamento_n'!C4</f>
        <v>2345340</v>
      </c>
      <c r="I140" s="1">
        <f>'1_Departamento_n'!H4</f>
        <v>1312</v>
      </c>
      <c r="J140" s="1">
        <f>'0_Parametros'!B7</f>
        <v>10</v>
      </c>
      <c r="K140" s="3">
        <f>(I140-SUM($J$114:$J$169))*G140/H140</f>
        <v>14.017877152139988</v>
      </c>
      <c r="L140" s="1">
        <f>INT(K140)</f>
        <v>14</v>
      </c>
      <c r="M140" s="3">
        <f>K140-L140</f>
        <v>0.017877152139988084</v>
      </c>
      <c r="N140" s="1">
        <f>COUNTIF($M$114:$M$169,"&gt;"&amp;M140)+COUNTIF($M$114:M140,M140)</f>
        <v>54</v>
      </c>
      <c r="O140" s="1">
        <f>J140+L140+IF(N140&lt;=I140-SUM($J$114:$J$169)-SUM($L$114:$L$169),1,0)</f>
        <v>24</v>
      </c>
    </row>
    <row r="141" spans="1:15">
      <c r="A141" s="1" t="s">
        <v>51</v>
      </c>
      <c r="B141" s="1" t="s">
        <v>53</v>
      </c>
      <c r="C141" s="1" t="s">
        <v>38</v>
      </c>
      <c r="D141" s="1" t="s">
        <v>49</v>
      </c>
      <c r="E141" s="1" t="s">
        <v>48</v>
      </c>
      <c r="F141" s="1" t="s">
        <v>42</v>
      </c>
      <c r="G141" s="1">
        <v>1415</v>
      </c>
      <c r="H141" s="1">
        <f>'1_Departamento_n'!C4</f>
        <v>2345340</v>
      </c>
      <c r="I141" s="1">
        <f>'1_Departamento_n'!H4</f>
        <v>1312</v>
      </c>
      <c r="J141" s="1">
        <f>'0_Parametros'!B7</f>
        <v>10</v>
      </c>
      <c r="K141" s="3">
        <f>(I141-SUM($J$114:$J$169))*G141/H141</f>
        <v>0.45369967680592155</v>
      </c>
      <c r="L141" s="1">
        <f>INT(K141)</f>
        <v>0</v>
      </c>
      <c r="M141" s="3">
        <f>K141-L141</f>
        <v>0.45369967680592155</v>
      </c>
      <c r="N141" s="1">
        <f>COUNTIF($M$114:$M$169,"&gt;"&amp;M141)+COUNTIF($M$114:M141,M141)</f>
        <v>28</v>
      </c>
      <c r="O141" s="1">
        <f>J141+L141+IF(N141&lt;=I141-SUM($J$114:$J$169)-SUM($L$114:$L$169),1,0)</f>
        <v>10</v>
      </c>
    </row>
    <row r="142" spans="1:15">
      <c r="A142" s="1" t="s">
        <v>51</v>
      </c>
      <c r="B142" s="1" t="s">
        <v>53</v>
      </c>
      <c r="C142" s="1" t="s">
        <v>50</v>
      </c>
      <c r="D142" s="1" t="s">
        <v>39</v>
      </c>
      <c r="E142" s="1" t="s">
        <v>40</v>
      </c>
      <c r="F142" s="1" t="s">
        <v>41</v>
      </c>
      <c r="G142" s="1">
        <v>78556</v>
      </c>
      <c r="H142" s="1">
        <f>'1_Departamento_n'!C4</f>
        <v>2345340</v>
      </c>
      <c r="I142" s="1">
        <f>'1_Departamento_n'!H4</f>
        <v>1312</v>
      </c>
      <c r="J142" s="1">
        <f>'0_Parametros'!B7</f>
        <v>10</v>
      </c>
      <c r="K142" s="3">
        <f>(I142-SUM($J$114:$J$169))*G142/H142</f>
        <v>25.187867004357578</v>
      </c>
      <c r="L142" s="1">
        <f>INT(K142)</f>
        <v>25</v>
      </c>
      <c r="M142" s="3">
        <f>K142-L142</f>
        <v>0.18786700435757808</v>
      </c>
      <c r="N142" s="1">
        <f>COUNTIF($M$114:$M$169,"&gt;"&amp;M142)+COUNTIF($M$114:M142,M142)</f>
        <v>42</v>
      </c>
      <c r="O142" s="1">
        <f>J142+L142+IF(N142&lt;=I142-SUM($J$114:$J$169)-SUM($L$114:$L$169),1,0)</f>
        <v>35</v>
      </c>
    </row>
    <row r="143" spans="1:15">
      <c r="A143" s="1" t="s">
        <v>51</v>
      </c>
      <c r="B143" s="1" t="s">
        <v>53</v>
      </c>
      <c r="C143" s="1" t="s">
        <v>50</v>
      </c>
      <c r="D143" s="1" t="s">
        <v>39</v>
      </c>
      <c r="E143" s="1" t="s">
        <v>40</v>
      </c>
      <c r="F143" s="1" t="s">
        <v>42</v>
      </c>
      <c r="G143" s="1">
        <v>37959</v>
      </c>
      <c r="H143" s="1">
        <f>'1_Departamento_n'!C4</f>
        <v>2345340</v>
      </c>
      <c r="I143" s="1">
        <f>'1_Departamento_n'!H4</f>
        <v>1312</v>
      </c>
      <c r="J143" s="1">
        <f>'0_Parametros'!B7</f>
        <v>10</v>
      </c>
      <c r="K143" s="3">
        <f>(I143-SUM($J$114:$J$169))*G143/H143</f>
        <v>12.171014863516591</v>
      </c>
      <c r="L143" s="1">
        <f>INT(K143)</f>
        <v>12</v>
      </c>
      <c r="M143" s="3">
        <f>K143-L143</f>
        <v>0.17101486351659112</v>
      </c>
      <c r="N143" s="1">
        <f>COUNTIF($M$114:$M$169,"&gt;"&amp;M143)+COUNTIF($M$114:M143,M143)</f>
        <v>44</v>
      </c>
      <c r="O143" s="1">
        <f>J143+L143+IF(N143&lt;=I143-SUM($J$114:$J$169)-SUM($L$114:$L$169),1,0)</f>
        <v>22</v>
      </c>
    </row>
    <row r="144" spans="1:15">
      <c r="A144" s="1" t="s">
        <v>51</v>
      </c>
      <c r="B144" s="1" t="s">
        <v>53</v>
      </c>
      <c r="C144" s="1" t="s">
        <v>50</v>
      </c>
      <c r="D144" s="1" t="s">
        <v>39</v>
      </c>
      <c r="E144" s="1" t="s">
        <v>43</v>
      </c>
      <c r="F144" s="1" t="s">
        <v>41</v>
      </c>
      <c r="G144" s="1">
        <v>108353</v>
      </c>
      <c r="H144" s="1">
        <f>'1_Departamento_n'!C4</f>
        <v>2345340</v>
      </c>
      <c r="I144" s="1">
        <f>'1_Departamento_n'!H4</f>
        <v>1312</v>
      </c>
      <c r="J144" s="1">
        <f>'0_Parametros'!B7</f>
        <v>10</v>
      </c>
      <c r="K144" s="3">
        <f>(I144-SUM($J$114:$J$169))*G144/H144</f>
        <v>34.741852354029696</v>
      </c>
      <c r="L144" s="1">
        <f>INT(K144)</f>
        <v>34</v>
      </c>
      <c r="M144" s="3">
        <f>K144-L144</f>
        <v>0.741852354029696</v>
      </c>
      <c r="N144" s="1">
        <f>COUNTIF($M$114:$M$169,"&gt;"&amp;M144)+COUNTIF($M$114:M144,M144)</f>
        <v>10</v>
      </c>
      <c r="O144" s="1">
        <f>J144+L144+IF(N144&lt;=I144-SUM($J$114:$J$169)-SUM($L$114:$L$169),1,0)</f>
        <v>45</v>
      </c>
    </row>
    <row r="145" spans="1:15">
      <c r="A145" s="1" t="s">
        <v>51</v>
      </c>
      <c r="B145" s="1" t="s">
        <v>53</v>
      </c>
      <c r="C145" s="1" t="s">
        <v>50</v>
      </c>
      <c r="D145" s="1" t="s">
        <v>39</v>
      </c>
      <c r="E145" s="1" t="s">
        <v>43</v>
      </c>
      <c r="F145" s="1" t="s">
        <v>42</v>
      </c>
      <c r="G145" s="1">
        <v>40348</v>
      </c>
      <c r="H145" s="1">
        <f>'1_Departamento_n'!C4</f>
        <v>2345340</v>
      </c>
      <c r="I145" s="1">
        <f>'1_Departamento_n'!H4</f>
        <v>1312</v>
      </c>
      <c r="J145" s="1">
        <f>'0_Parametros'!B7</f>
        <v>10</v>
      </c>
      <c r="K145" s="3">
        <f>(I145-SUM($J$114:$J$169))*G145/H145</f>
        <v>12.937013823155704</v>
      </c>
      <c r="L145" s="1">
        <f>INT(K145)</f>
        <v>12</v>
      </c>
      <c r="M145" s="3">
        <f>K145-L145</f>
        <v>0.9370138231557039</v>
      </c>
      <c r="N145" s="1">
        <f>COUNTIF($M$114:$M$169,"&gt;"&amp;M145)+COUNTIF($M$114:M145,M145)</f>
        <v>3</v>
      </c>
      <c r="O145" s="1">
        <f>J145+L145+IF(N145&lt;=I145-SUM($J$114:$J$169)-SUM($L$114:$L$169),1,0)</f>
        <v>23</v>
      </c>
    </row>
    <row r="146" spans="1:15">
      <c r="A146" s="1" t="s">
        <v>51</v>
      </c>
      <c r="B146" s="1" t="s">
        <v>53</v>
      </c>
      <c r="C146" s="1" t="s">
        <v>50</v>
      </c>
      <c r="D146" s="1" t="s">
        <v>39</v>
      </c>
      <c r="E146" s="1" t="s">
        <v>44</v>
      </c>
      <c r="F146" s="1" t="s">
        <v>41</v>
      </c>
      <c r="G146" s="1">
        <v>99140</v>
      </c>
      <c r="H146" s="1">
        <f>'1_Departamento_n'!C4</f>
        <v>2345340</v>
      </c>
      <c r="I146" s="1">
        <f>'1_Departamento_n'!H4</f>
        <v>1312</v>
      </c>
      <c r="J146" s="1">
        <f>'0_Parametros'!B7</f>
        <v>10</v>
      </c>
      <c r="K146" s="3">
        <f>(I146-SUM($J$114:$J$169))*G146/H146</f>
        <v>31.787834599674248</v>
      </c>
      <c r="L146" s="1">
        <f>INT(K146)</f>
        <v>31</v>
      </c>
      <c r="M146" s="3">
        <f>K146-L146</f>
        <v>0.7878345996742482</v>
      </c>
      <c r="N146" s="1">
        <f>COUNTIF($M$114:$M$169,"&gt;"&amp;M146)+COUNTIF($M$114:M146,M146)</f>
        <v>8</v>
      </c>
      <c r="O146" s="1">
        <f>J146+L146+IF(N146&lt;=I146-SUM($J$114:$J$169)-SUM($L$114:$L$169),1,0)</f>
        <v>42</v>
      </c>
    </row>
    <row r="147" spans="1:15">
      <c r="A147" s="1" t="s">
        <v>51</v>
      </c>
      <c r="B147" s="1" t="s">
        <v>53</v>
      </c>
      <c r="C147" s="1" t="s">
        <v>50</v>
      </c>
      <c r="D147" s="1" t="s">
        <v>39</v>
      </c>
      <c r="E147" s="1" t="s">
        <v>44</v>
      </c>
      <c r="F147" s="1" t="s">
        <v>42</v>
      </c>
      <c r="G147" s="1">
        <v>35842</v>
      </c>
      <c r="H147" s="1">
        <f>'1_Departamento_n'!C4</f>
        <v>2345340</v>
      </c>
      <c r="I147" s="1">
        <f>'1_Departamento_n'!H4</f>
        <v>1312</v>
      </c>
      <c r="J147" s="1">
        <f>'0_Parametros'!B7</f>
        <v>10</v>
      </c>
      <c r="K147" s="3">
        <f>(I147-SUM($J$114:$J$169))*G147/H147</f>
        <v>11.492228845284693</v>
      </c>
      <c r="L147" s="1">
        <f>INT(K147)</f>
        <v>11</v>
      </c>
      <c r="M147" s="3">
        <f>K147-L147</f>
        <v>0.4922288452846928</v>
      </c>
      <c r="N147" s="1">
        <f>COUNTIF($M$114:$M$169,"&gt;"&amp;M147)+COUNTIF($M$114:M147,M147)</f>
        <v>26</v>
      </c>
      <c r="O147" s="1">
        <f>J147+L147+IF(N147&lt;=I147-SUM($J$114:$J$169)-SUM($L$114:$L$169),1,0)</f>
        <v>21</v>
      </c>
    </row>
    <row r="148" spans="1:15">
      <c r="A148" s="1" t="s">
        <v>51</v>
      </c>
      <c r="B148" s="1" t="s">
        <v>53</v>
      </c>
      <c r="C148" s="1" t="s">
        <v>50</v>
      </c>
      <c r="D148" s="1" t="s">
        <v>39</v>
      </c>
      <c r="E148" s="1" t="s">
        <v>45</v>
      </c>
      <c r="F148" s="1" t="s">
        <v>41</v>
      </c>
      <c r="G148" s="1">
        <v>88605</v>
      </c>
      <c r="H148" s="1">
        <f>'1_Departamento_n'!C4</f>
        <v>2345340</v>
      </c>
      <c r="I148" s="1">
        <f>'1_Departamento_n'!H4</f>
        <v>1312</v>
      </c>
      <c r="J148" s="1">
        <f>'0_Parametros'!B7</f>
        <v>10</v>
      </c>
      <c r="K148" s="3">
        <f>(I148-SUM($J$114:$J$169))*G148/H148</f>
        <v>28.409936299214614</v>
      </c>
      <c r="L148" s="1">
        <f>INT(K148)</f>
        <v>28</v>
      </c>
      <c r="M148" s="3">
        <f>K148-L148</f>
        <v>0.40993629921461405</v>
      </c>
      <c r="N148" s="1">
        <f>COUNTIF($M$114:$M$169,"&gt;"&amp;M148)+COUNTIF($M$114:M148,M148)</f>
        <v>30</v>
      </c>
      <c r="O148" s="1">
        <f>J148+L148+IF(N148&lt;=I148-SUM($J$114:$J$169)-SUM($L$114:$L$169),1,0)</f>
        <v>38</v>
      </c>
    </row>
    <row r="149" spans="1:15">
      <c r="A149" s="1" t="s">
        <v>51</v>
      </c>
      <c r="B149" s="1" t="s">
        <v>53</v>
      </c>
      <c r="C149" s="1" t="s">
        <v>50</v>
      </c>
      <c r="D149" s="1" t="s">
        <v>39</v>
      </c>
      <c r="E149" s="1" t="s">
        <v>45</v>
      </c>
      <c r="F149" s="1" t="s">
        <v>42</v>
      </c>
      <c r="G149" s="1">
        <v>30080</v>
      </c>
      <c r="H149" s="1">
        <f>'1_Departamento_n'!C4</f>
        <v>2345340</v>
      </c>
      <c r="I149" s="1">
        <f>'1_Departamento_n'!H4</f>
        <v>1312</v>
      </c>
      <c r="J149" s="1">
        <f>'0_Parametros'!B7</f>
        <v>10</v>
      </c>
      <c r="K149" s="3">
        <f>(I149-SUM($J$114:$J$169))*G149/H149</f>
        <v>9.6447252850333</v>
      </c>
      <c r="L149" s="1">
        <f>INT(K149)</f>
        <v>9</v>
      </c>
      <c r="M149" s="3">
        <f>K149-L149</f>
        <v>0.6447252850332994</v>
      </c>
      <c r="N149" s="1">
        <f>COUNTIF($M$114:$M$169,"&gt;"&amp;M149)+COUNTIF($M$114:M149,M149)</f>
        <v>19</v>
      </c>
      <c r="O149" s="1">
        <f>J149+L149+IF(N149&lt;=I149-SUM($J$114:$J$169)-SUM($L$114:$L$169),1,0)</f>
        <v>20</v>
      </c>
    </row>
    <row r="150" spans="1:15">
      <c r="A150" s="1" t="s">
        <v>51</v>
      </c>
      <c r="B150" s="1" t="s">
        <v>53</v>
      </c>
      <c r="C150" s="1" t="s">
        <v>50</v>
      </c>
      <c r="D150" s="1" t="s">
        <v>39</v>
      </c>
      <c r="E150" s="1" t="s">
        <v>46</v>
      </c>
      <c r="F150" s="1" t="s">
        <v>41</v>
      </c>
      <c r="G150" s="1">
        <v>77639</v>
      </c>
      <c r="H150" s="1">
        <f>'1_Departamento_n'!C4</f>
        <v>2345340</v>
      </c>
      <c r="I150" s="1">
        <f>'1_Departamento_n'!H4</f>
        <v>1312</v>
      </c>
      <c r="J150" s="1">
        <f>'0_Parametros'!B7</f>
        <v>10</v>
      </c>
      <c r="K150" s="3">
        <f>(I150-SUM($J$114:$J$169))*G150/H150</f>
        <v>24.89384396292222</v>
      </c>
      <c r="L150" s="1">
        <f>INT(K150)</f>
        <v>24</v>
      </c>
      <c r="M150" s="3">
        <f>K150-L150</f>
        <v>0.8938439629222188</v>
      </c>
      <c r="N150" s="1">
        <f>COUNTIF($M$114:$M$169,"&gt;"&amp;M150)+COUNTIF($M$114:M150,M150)</f>
        <v>6</v>
      </c>
      <c r="O150" s="1">
        <f>J150+L150+IF(N150&lt;=I150-SUM($J$114:$J$169)-SUM($L$114:$L$169),1,0)</f>
        <v>35</v>
      </c>
    </row>
    <row r="151" spans="1:15">
      <c r="A151" s="1" t="s">
        <v>51</v>
      </c>
      <c r="B151" s="1" t="s">
        <v>53</v>
      </c>
      <c r="C151" s="1" t="s">
        <v>50</v>
      </c>
      <c r="D151" s="1" t="s">
        <v>39</v>
      </c>
      <c r="E151" s="1" t="s">
        <v>46</v>
      </c>
      <c r="F151" s="1" t="s">
        <v>42</v>
      </c>
      <c r="G151" s="1">
        <v>24498</v>
      </c>
      <c r="H151" s="1">
        <f>'1_Departamento_n'!C4</f>
        <v>2345340</v>
      </c>
      <c r="I151" s="1">
        <f>'1_Departamento_n'!H4</f>
        <v>1312</v>
      </c>
      <c r="J151" s="1">
        <f>'0_Parametros'!B7</f>
        <v>10</v>
      </c>
      <c r="K151" s="3">
        <f>(I151-SUM($J$114:$J$169))*G151/H151</f>
        <v>7.854936171301389</v>
      </c>
      <c r="L151" s="1">
        <f>INT(K151)</f>
        <v>7</v>
      </c>
      <c r="M151" s="3">
        <f>K151-L151</f>
        <v>0.8549361713013894</v>
      </c>
      <c r="N151" s="1">
        <f>COUNTIF($M$114:$M$169,"&gt;"&amp;M151)+COUNTIF($M$114:M151,M151)</f>
        <v>7</v>
      </c>
      <c r="O151" s="1">
        <f>J151+L151+IF(N151&lt;=I151-SUM($J$114:$J$169)-SUM($L$114:$L$169),1,0)</f>
        <v>18</v>
      </c>
    </row>
    <row r="152" spans="1:15">
      <c r="A152" s="1" t="s">
        <v>51</v>
      </c>
      <c r="B152" s="1" t="s">
        <v>53</v>
      </c>
      <c r="C152" s="1" t="s">
        <v>50</v>
      </c>
      <c r="D152" s="1" t="s">
        <v>39</v>
      </c>
      <c r="E152" s="1" t="s">
        <v>47</v>
      </c>
      <c r="F152" s="1" t="s">
        <v>41</v>
      </c>
      <c r="G152" s="1">
        <v>68935</v>
      </c>
      <c r="H152" s="1">
        <f>'1_Departamento_n'!C4</f>
        <v>2345340</v>
      </c>
      <c r="I152" s="1">
        <f>'1_Departamento_n'!H4</f>
        <v>1312</v>
      </c>
      <c r="J152" s="1">
        <f>'0_Parametros'!B7</f>
        <v>10</v>
      </c>
      <c r="K152" s="3">
        <f>(I152-SUM($J$114:$J$169))*G152/H152</f>
        <v>22.10302983789131</v>
      </c>
      <c r="L152" s="1">
        <f>INT(K152)</f>
        <v>22</v>
      </c>
      <c r="M152" s="3">
        <f>K152-L152</f>
        <v>0.10302983789130948</v>
      </c>
      <c r="N152" s="1">
        <f>COUNTIF($M$114:$M$169,"&gt;"&amp;M152)+COUNTIF($M$114:M152,M152)</f>
        <v>48</v>
      </c>
      <c r="O152" s="1">
        <f>J152+L152+IF(N152&lt;=I152-SUM($J$114:$J$169)-SUM($L$114:$L$169),1,0)</f>
        <v>32</v>
      </c>
    </row>
    <row r="153" spans="1:15">
      <c r="A153" s="1" t="s">
        <v>51</v>
      </c>
      <c r="B153" s="1" t="s">
        <v>53</v>
      </c>
      <c r="C153" s="1" t="s">
        <v>50</v>
      </c>
      <c r="D153" s="1" t="s">
        <v>39</v>
      </c>
      <c r="E153" s="1" t="s">
        <v>47</v>
      </c>
      <c r="F153" s="1" t="s">
        <v>42</v>
      </c>
      <c r="G153" s="1">
        <v>20431</v>
      </c>
      <c r="H153" s="1">
        <f>'1_Departamento_n'!C4</f>
        <v>2345340</v>
      </c>
      <c r="I153" s="1">
        <f>'1_Departamento_n'!H4</f>
        <v>1312</v>
      </c>
      <c r="J153" s="1">
        <f>'0_Parametros'!B7</f>
        <v>10</v>
      </c>
      <c r="K153" s="3">
        <f>(I153-SUM($J$114:$J$169))*G153/H153</f>
        <v>6.550910315775112</v>
      </c>
      <c r="L153" s="1">
        <f>INT(K153)</f>
        <v>6</v>
      </c>
      <c r="M153" s="3">
        <f>K153-L153</f>
        <v>0.5509103157751118</v>
      </c>
      <c r="N153" s="1">
        <f>COUNTIF($M$114:$M$169,"&gt;"&amp;M153)+COUNTIF($M$114:M153,M153)</f>
        <v>22</v>
      </c>
      <c r="O153" s="1">
        <f>J153+L153+IF(N153&lt;=I153-SUM($J$114:$J$169)-SUM($L$114:$L$169),1,0)</f>
        <v>17</v>
      </c>
    </row>
    <row r="154" spans="1:15">
      <c r="A154" s="1" t="s">
        <v>51</v>
      </c>
      <c r="B154" s="1" t="s">
        <v>53</v>
      </c>
      <c r="C154" s="1" t="s">
        <v>50</v>
      </c>
      <c r="D154" s="1" t="s">
        <v>39</v>
      </c>
      <c r="E154" s="1" t="s">
        <v>48</v>
      </c>
      <c r="F154" s="1" t="s">
        <v>41</v>
      </c>
      <c r="G154" s="1">
        <v>104571</v>
      </c>
      <c r="H154" s="1">
        <f>'1_Departamento_n'!C4</f>
        <v>2345340</v>
      </c>
      <c r="I154" s="1">
        <f>'1_Departamento_n'!H4</f>
        <v>1312</v>
      </c>
      <c r="J154" s="1">
        <f>'0_Parametros'!B7</f>
        <v>10</v>
      </c>
      <c r="K154" s="3">
        <f>(I154-SUM($J$114:$J$169))*G154/H154</f>
        <v>33.529207705492595</v>
      </c>
      <c r="L154" s="1">
        <f>INT(K154)</f>
        <v>33</v>
      </c>
      <c r="M154" s="3">
        <f>K154-L154</f>
        <v>0.5292077054925954</v>
      </c>
      <c r="N154" s="1">
        <f>COUNTIF($M$114:$M$169,"&gt;"&amp;M154)+COUNTIF($M$114:M154,M154)</f>
        <v>23</v>
      </c>
      <c r="O154" s="1">
        <f>J154+L154+IF(N154&lt;=I154-SUM($J$114:$J$169)-SUM($L$114:$L$169),1,0)</f>
        <v>44</v>
      </c>
    </row>
    <row r="155" spans="1:15">
      <c r="A155" s="1" t="s">
        <v>51</v>
      </c>
      <c r="B155" s="1" t="s">
        <v>53</v>
      </c>
      <c r="C155" s="1" t="s">
        <v>50</v>
      </c>
      <c r="D155" s="1" t="s">
        <v>39</v>
      </c>
      <c r="E155" s="1" t="s">
        <v>48</v>
      </c>
      <c r="F155" s="1" t="s">
        <v>42</v>
      </c>
      <c r="G155" s="1">
        <v>31380</v>
      </c>
      <c r="H155" s="1">
        <f>'1_Departamento_n'!C4</f>
        <v>2345340</v>
      </c>
      <c r="I155" s="1">
        <f>'1_Departamento_n'!H4</f>
        <v>1312</v>
      </c>
      <c r="J155" s="1">
        <f>'0_Parametros'!B7</f>
        <v>10</v>
      </c>
      <c r="K155" s="3">
        <f>(I155-SUM($J$114:$J$169))*G155/H155</f>
        <v>10.061551843229553</v>
      </c>
      <c r="L155" s="1">
        <f>INT(K155)</f>
        <v>10</v>
      </c>
      <c r="M155" s="3">
        <f>K155-L155</f>
        <v>0.06155184322955343</v>
      </c>
      <c r="N155" s="1">
        <f>COUNTIF($M$114:$M$169,"&gt;"&amp;M155)+COUNTIF($M$114:M155,M155)</f>
        <v>51</v>
      </c>
      <c r="O155" s="1">
        <f>J155+L155+IF(N155&lt;=I155-SUM($J$114:$J$169)-SUM($L$114:$L$169),1,0)</f>
        <v>20</v>
      </c>
    </row>
    <row r="156" spans="1:15">
      <c r="A156" s="1" t="s">
        <v>51</v>
      </c>
      <c r="B156" s="1" t="s">
        <v>53</v>
      </c>
      <c r="C156" s="1" t="s">
        <v>50</v>
      </c>
      <c r="D156" s="1" t="s">
        <v>49</v>
      </c>
      <c r="E156" s="1" t="s">
        <v>40</v>
      </c>
      <c r="F156" s="1" t="s">
        <v>41</v>
      </c>
      <c r="G156" s="1">
        <v>82134</v>
      </c>
      <c r="H156" s="1">
        <f>'1_Departamento_n'!C4</f>
        <v>2345340</v>
      </c>
      <c r="I156" s="1">
        <f>'1_Departamento_n'!H4</f>
        <v>1312</v>
      </c>
      <c r="J156" s="1">
        <f>'0_Parametros'!B7</f>
        <v>10</v>
      </c>
      <c r="K156" s="3">
        <f>(I156-SUM($J$114:$J$169))*G156/H156</f>
        <v>26.335101946839263</v>
      </c>
      <c r="L156" s="1">
        <f>INT(K156)</f>
        <v>26</v>
      </c>
      <c r="M156" s="3">
        <f>K156-L156</f>
        <v>0.33510194683926287</v>
      </c>
      <c r="N156" s="1">
        <f>COUNTIF($M$114:$M$169,"&gt;"&amp;M156)+COUNTIF($M$114:M156,M156)</f>
        <v>32</v>
      </c>
      <c r="O156" s="1">
        <f>J156+L156+IF(N156&lt;=I156-SUM($J$114:$J$169)-SUM($L$114:$L$169),1,0)</f>
        <v>36</v>
      </c>
    </row>
    <row r="157" spans="1:15">
      <c r="A157" s="1" t="s">
        <v>51</v>
      </c>
      <c r="B157" s="1" t="s">
        <v>53</v>
      </c>
      <c r="C157" s="1" t="s">
        <v>50</v>
      </c>
      <c r="D157" s="1" t="s">
        <v>49</v>
      </c>
      <c r="E157" s="1" t="s">
        <v>40</v>
      </c>
      <c r="F157" s="1" t="s">
        <v>42</v>
      </c>
      <c r="G157" s="1">
        <v>39823</v>
      </c>
      <c r="H157" s="1">
        <f>'1_Departamento_n'!C4</f>
        <v>2345340</v>
      </c>
      <c r="I157" s="1">
        <f>'1_Departamento_n'!H4</f>
        <v>1312</v>
      </c>
      <c r="J157" s="1">
        <f>'0_Parametros'!B7</f>
        <v>10</v>
      </c>
      <c r="K157" s="3">
        <f>(I157-SUM($J$114:$J$169))*G157/H157</f>
        <v>12.768680020807217</v>
      </c>
      <c r="L157" s="1">
        <f>INT(K157)</f>
        <v>12</v>
      </c>
      <c r="M157" s="3">
        <f>K157-L157</f>
        <v>0.7686800208072171</v>
      </c>
      <c r="N157" s="1">
        <f>COUNTIF($M$114:$M$169,"&gt;"&amp;M157)+COUNTIF($M$114:M157,M157)</f>
        <v>9</v>
      </c>
      <c r="O157" s="1">
        <f>J157+L157+IF(N157&lt;=I157-SUM($J$114:$J$169)-SUM($L$114:$L$169),1,0)</f>
        <v>23</v>
      </c>
    </row>
    <row r="158" spans="1:15">
      <c r="A158" s="1" t="s">
        <v>51</v>
      </c>
      <c r="B158" s="1" t="s">
        <v>53</v>
      </c>
      <c r="C158" s="1" t="s">
        <v>50</v>
      </c>
      <c r="D158" s="1" t="s">
        <v>49</v>
      </c>
      <c r="E158" s="1" t="s">
        <v>43</v>
      </c>
      <c r="F158" s="1" t="s">
        <v>41</v>
      </c>
      <c r="G158" s="1">
        <v>112369</v>
      </c>
      <c r="H158" s="1">
        <f>'1_Departamento_n'!C4</f>
        <v>2345340</v>
      </c>
      <c r="I158" s="1">
        <f>'1_Departamento_n'!H4</f>
        <v>1312</v>
      </c>
      <c r="J158" s="1">
        <f>'0_Parametros'!B7</f>
        <v>10</v>
      </c>
      <c r="K158" s="3">
        <f>(I158-SUM($J$114:$J$169))*G158/H158</f>
        <v>36.02952578304212</v>
      </c>
      <c r="L158" s="1">
        <f>INT(K158)</f>
        <v>36</v>
      </c>
      <c r="M158" s="3">
        <f>K158-L158</f>
        <v>0.029525783042117837</v>
      </c>
      <c r="N158" s="1">
        <f>COUNTIF($M$114:$M$169,"&gt;"&amp;M158)+COUNTIF($M$114:M158,M158)</f>
        <v>53</v>
      </c>
      <c r="O158" s="1">
        <f>J158+L158+IF(N158&lt;=I158-SUM($J$114:$J$169)-SUM($L$114:$L$169),1,0)</f>
        <v>46</v>
      </c>
    </row>
    <row r="159" spans="1:15">
      <c r="A159" s="1" t="s">
        <v>51</v>
      </c>
      <c r="B159" s="1" t="s">
        <v>53</v>
      </c>
      <c r="C159" s="1" t="s">
        <v>50</v>
      </c>
      <c r="D159" s="1" t="s">
        <v>49</v>
      </c>
      <c r="E159" s="1" t="s">
        <v>43</v>
      </c>
      <c r="F159" s="1" t="s">
        <v>42</v>
      </c>
      <c r="G159" s="1">
        <v>41065</v>
      </c>
      <c r="H159" s="1">
        <f>'1_Departamento_n'!C4</f>
        <v>2345340</v>
      </c>
      <c r="I159" s="1">
        <f>'1_Departamento_n'!H4</f>
        <v>1312</v>
      </c>
      <c r="J159" s="1">
        <f>'0_Parametros'!B7</f>
        <v>10</v>
      </c>
      <c r="K159" s="3">
        <f>(I159-SUM($J$114:$J$169))*G159/H159</f>
        <v>13.166909701791639</v>
      </c>
      <c r="L159" s="1">
        <f>INT(K159)</f>
        <v>13</v>
      </c>
      <c r="M159" s="3">
        <f>K159-L159</f>
        <v>0.16690970179163855</v>
      </c>
      <c r="N159" s="1">
        <f>COUNTIF($M$114:$M$169,"&gt;"&amp;M159)+COUNTIF($M$114:M159,M159)</f>
        <v>45</v>
      </c>
      <c r="O159" s="1">
        <f>J159+L159+IF(N159&lt;=I159-SUM($J$114:$J$169)-SUM($L$114:$L$169),1,0)</f>
        <v>23</v>
      </c>
    </row>
    <row r="160" spans="1:15">
      <c r="A160" s="1" t="s">
        <v>51</v>
      </c>
      <c r="B160" s="1" t="s">
        <v>53</v>
      </c>
      <c r="C160" s="1" t="s">
        <v>50</v>
      </c>
      <c r="D160" s="1" t="s">
        <v>49</v>
      </c>
      <c r="E160" s="1" t="s">
        <v>44</v>
      </c>
      <c r="F160" s="1" t="s">
        <v>41</v>
      </c>
      <c r="G160" s="1">
        <v>85090</v>
      </c>
      <c r="H160" s="1">
        <f>'1_Departamento_n'!C4</f>
        <v>2345340</v>
      </c>
      <c r="I160" s="1">
        <f>'1_Departamento_n'!H4</f>
        <v>1312</v>
      </c>
      <c r="J160" s="1">
        <f>'0_Parametros'!B7</f>
        <v>10</v>
      </c>
      <c r="K160" s="3">
        <f>(I160-SUM($J$114:$J$169))*G160/H160</f>
        <v>27.282901413014745</v>
      </c>
      <c r="L160" s="1">
        <f>INT(K160)</f>
        <v>27</v>
      </c>
      <c r="M160" s="3">
        <f>K160-L160</f>
        <v>0.2829014130147449</v>
      </c>
      <c r="N160" s="1">
        <f>COUNTIF($M$114:$M$169,"&gt;"&amp;M160)+COUNTIF($M$114:M160,M160)</f>
        <v>36</v>
      </c>
      <c r="O160" s="1">
        <f>J160+L160+IF(N160&lt;=I160-SUM($J$114:$J$169)-SUM($L$114:$L$169),1,0)</f>
        <v>37</v>
      </c>
    </row>
    <row r="161" spans="1:15">
      <c r="A161" s="1" t="s">
        <v>51</v>
      </c>
      <c r="B161" s="1" t="s">
        <v>53</v>
      </c>
      <c r="C161" s="1" t="s">
        <v>50</v>
      </c>
      <c r="D161" s="1" t="s">
        <v>49</v>
      </c>
      <c r="E161" s="1" t="s">
        <v>44</v>
      </c>
      <c r="F161" s="1" t="s">
        <v>42</v>
      </c>
      <c r="G161" s="1">
        <v>27747</v>
      </c>
      <c r="H161" s="1">
        <f>'1_Departamento_n'!C4</f>
        <v>2345340</v>
      </c>
      <c r="I161" s="1">
        <f>'1_Departamento_n'!H4</f>
        <v>1312</v>
      </c>
      <c r="J161" s="1">
        <f>'0_Parametros'!B7</f>
        <v>10</v>
      </c>
      <c r="K161" s="3">
        <f>(I161-SUM($J$114:$J$169))*G161/H161</f>
        <v>8.896681930978025</v>
      </c>
      <c r="L161" s="1">
        <f>INT(K161)</f>
        <v>8</v>
      </c>
      <c r="M161" s="3">
        <f>K161-L161</f>
        <v>0.8966819309780245</v>
      </c>
      <c r="N161" s="1">
        <f>COUNTIF($M$114:$M$169,"&gt;"&amp;M161)+COUNTIF($M$114:M161,M161)</f>
        <v>5</v>
      </c>
      <c r="O161" s="1">
        <f>J161+L161+IF(N161&lt;=I161-SUM($J$114:$J$169)-SUM($L$114:$L$169),1,0)</f>
        <v>19</v>
      </c>
    </row>
    <row r="162" spans="1:15">
      <c r="A162" s="1" t="s">
        <v>51</v>
      </c>
      <c r="B162" s="1" t="s">
        <v>53</v>
      </c>
      <c r="C162" s="1" t="s">
        <v>50</v>
      </c>
      <c r="D162" s="1" t="s">
        <v>49</v>
      </c>
      <c r="E162" s="1" t="s">
        <v>45</v>
      </c>
      <c r="F162" s="1" t="s">
        <v>41</v>
      </c>
      <c r="G162" s="1">
        <v>78368</v>
      </c>
      <c r="H162" s="1">
        <f>'1_Departamento_n'!C4</f>
        <v>2345340</v>
      </c>
      <c r="I162" s="1">
        <f>'1_Departamento_n'!H4</f>
        <v>1312</v>
      </c>
      <c r="J162" s="1">
        <f>'0_Parametros'!B7</f>
        <v>10</v>
      </c>
      <c r="K162" s="3">
        <f>(I162-SUM($J$114:$J$169))*G162/H162</f>
        <v>25.12758747132612</v>
      </c>
      <c r="L162" s="1">
        <f>INT(K162)</f>
        <v>25</v>
      </c>
      <c r="M162" s="3">
        <f>K162-L162</f>
        <v>0.12758747132611958</v>
      </c>
      <c r="N162" s="1">
        <f>COUNTIF($M$114:$M$169,"&gt;"&amp;M162)+COUNTIF($M$114:M162,M162)</f>
        <v>47</v>
      </c>
      <c r="O162" s="1">
        <f>J162+L162+IF(N162&lt;=I162-SUM($J$114:$J$169)-SUM($L$114:$L$169),1,0)</f>
        <v>35</v>
      </c>
    </row>
    <row r="163" spans="1:15">
      <c r="A163" s="1" t="s">
        <v>51</v>
      </c>
      <c r="B163" s="1" t="s">
        <v>53</v>
      </c>
      <c r="C163" s="1" t="s">
        <v>50</v>
      </c>
      <c r="D163" s="1" t="s">
        <v>49</v>
      </c>
      <c r="E163" s="1" t="s">
        <v>45</v>
      </c>
      <c r="F163" s="1" t="s">
        <v>42</v>
      </c>
      <c r="G163" s="1">
        <v>24859</v>
      </c>
      <c r="H163" s="1">
        <f>'1_Departamento_n'!C4</f>
        <v>2345340</v>
      </c>
      <c r="I163" s="1">
        <f>'1_Departamento_n'!H4</f>
        <v>1312</v>
      </c>
      <c r="J163" s="1">
        <f>'0_Parametros'!B7</f>
        <v>10</v>
      </c>
      <c r="K163" s="3">
        <f>(I163-SUM($J$114:$J$169))*G163/H163</f>
        <v>7.970685700154348</v>
      </c>
      <c r="L163" s="1">
        <f>INT(K163)</f>
        <v>7</v>
      </c>
      <c r="M163" s="3">
        <f>K163-L163</f>
        <v>0.9706857001543483</v>
      </c>
      <c r="N163" s="1">
        <f>COUNTIF($M$114:$M$169,"&gt;"&amp;M163)+COUNTIF($M$114:M163,M163)</f>
        <v>1</v>
      </c>
      <c r="O163" s="1">
        <f>J163+L163+IF(N163&lt;=I163-SUM($J$114:$J$169)-SUM($L$114:$L$169),1,0)</f>
        <v>18</v>
      </c>
    </row>
    <row r="164" spans="1:15">
      <c r="A164" s="1" t="s">
        <v>51</v>
      </c>
      <c r="B164" s="1" t="s">
        <v>53</v>
      </c>
      <c r="C164" s="1" t="s">
        <v>50</v>
      </c>
      <c r="D164" s="1" t="s">
        <v>49</v>
      </c>
      <c r="E164" s="1" t="s">
        <v>46</v>
      </c>
      <c r="F164" s="1" t="s">
        <v>41</v>
      </c>
      <c r="G164" s="1">
        <v>68628</v>
      </c>
      <c r="H164" s="1">
        <f>'1_Departamento_n'!C4</f>
        <v>2345340</v>
      </c>
      <c r="I164" s="1">
        <f>'1_Departamento_n'!H4</f>
        <v>1312</v>
      </c>
      <c r="J164" s="1">
        <f>'0_Parametros'!B7</f>
        <v>10</v>
      </c>
      <c r="K164" s="3">
        <f>(I164-SUM($J$114:$J$169))*G164/H164</f>
        <v>22.004594642994192</v>
      </c>
      <c r="L164" s="1">
        <f>INT(K164)</f>
        <v>22</v>
      </c>
      <c r="M164" s="3">
        <f>K164-L164</f>
        <v>0.0045946429941921</v>
      </c>
      <c r="N164" s="1">
        <f>COUNTIF($M$114:$M$169,"&gt;"&amp;M164)+COUNTIF($M$114:M164,M164)</f>
        <v>56</v>
      </c>
      <c r="O164" s="1">
        <f>J164+L164+IF(N164&lt;=I164-SUM($J$114:$J$169)-SUM($L$114:$L$169),1,0)</f>
        <v>32</v>
      </c>
    </row>
    <row r="165" spans="1:15">
      <c r="A165" s="1" t="s">
        <v>51</v>
      </c>
      <c r="B165" s="1" t="s">
        <v>53</v>
      </c>
      <c r="C165" s="1" t="s">
        <v>50</v>
      </c>
      <c r="D165" s="1" t="s">
        <v>49</v>
      </c>
      <c r="E165" s="1" t="s">
        <v>46</v>
      </c>
      <c r="F165" s="1" t="s">
        <v>42</v>
      </c>
      <c r="G165" s="1">
        <v>22890</v>
      </c>
      <c r="H165" s="1">
        <f>'1_Departamento_n'!C4</f>
        <v>2345340</v>
      </c>
      <c r="I165" s="1">
        <f>'1_Departamento_n'!H4</f>
        <v>1312</v>
      </c>
      <c r="J165" s="1">
        <f>'0_Parametros'!B7</f>
        <v>10</v>
      </c>
      <c r="K165" s="3">
        <f>(I165-SUM($J$114:$J$169))*G165/H165</f>
        <v>7.339353782394024</v>
      </c>
      <c r="L165" s="1">
        <f>INT(K165)</f>
        <v>7</v>
      </c>
      <c r="M165" s="3">
        <f>K165-L165</f>
        <v>0.33935378239402425</v>
      </c>
      <c r="N165" s="1">
        <f>COUNTIF($M$114:$M$169,"&gt;"&amp;M165)+COUNTIF($M$114:M165,M165)</f>
        <v>31</v>
      </c>
      <c r="O165" s="1">
        <f>J165+L165+IF(N165&lt;=I165-SUM($J$114:$J$169)-SUM($L$114:$L$169),1,0)</f>
        <v>17</v>
      </c>
    </row>
    <row r="166" spans="1:15">
      <c r="A166" s="1" t="s">
        <v>51</v>
      </c>
      <c r="B166" s="1" t="s">
        <v>53</v>
      </c>
      <c r="C166" s="1" t="s">
        <v>50</v>
      </c>
      <c r="D166" s="1" t="s">
        <v>49</v>
      </c>
      <c r="E166" s="1" t="s">
        <v>47</v>
      </c>
      <c r="F166" s="1" t="s">
        <v>41</v>
      </c>
      <c r="G166" s="1">
        <v>61509</v>
      </c>
      <c r="H166" s="1">
        <f>'1_Departamento_n'!C4</f>
        <v>2345340</v>
      </c>
      <c r="I166" s="1">
        <f>'1_Departamento_n'!H4</f>
        <v>1312</v>
      </c>
      <c r="J166" s="1">
        <f>'0_Parametros'!B7</f>
        <v>10</v>
      </c>
      <c r="K166" s="3">
        <f>(I166-SUM($J$114:$J$169))*G166/H166</f>
        <v>19.72198828314871</v>
      </c>
      <c r="L166" s="1">
        <f>INT(K166)</f>
        <v>19</v>
      </c>
      <c r="M166" s="3">
        <f>K166-L166</f>
        <v>0.7219882831487112</v>
      </c>
      <c r="N166" s="1">
        <f>COUNTIF($M$114:$M$169,"&gt;"&amp;M166)+COUNTIF($M$114:M166,M166)</f>
        <v>12</v>
      </c>
      <c r="O166" s="1">
        <f>J166+L166+IF(N166&lt;=I166-SUM($J$114:$J$169)-SUM($L$114:$L$169),1,0)</f>
        <v>30</v>
      </c>
    </row>
    <row r="167" spans="1:15">
      <c r="A167" s="1" t="s">
        <v>51</v>
      </c>
      <c r="B167" s="1" t="s">
        <v>53</v>
      </c>
      <c r="C167" s="1" t="s">
        <v>50</v>
      </c>
      <c r="D167" s="1" t="s">
        <v>49</v>
      </c>
      <c r="E167" s="1" t="s">
        <v>47</v>
      </c>
      <c r="F167" s="1" t="s">
        <v>42</v>
      </c>
      <c r="G167" s="1">
        <v>22519</v>
      </c>
      <c r="H167" s="1">
        <f>'1_Departamento_n'!C4</f>
        <v>2345340</v>
      </c>
      <c r="I167" s="1">
        <f>'1_Departamento_n'!H4</f>
        <v>1312</v>
      </c>
      <c r="J167" s="1">
        <f>'0_Parametros'!B7</f>
        <v>10</v>
      </c>
      <c r="K167" s="3">
        <f>(I167-SUM($J$114:$J$169))*G167/H167</f>
        <v>7.220397895401093</v>
      </c>
      <c r="L167" s="1">
        <f>INT(K167)</f>
        <v>7</v>
      </c>
      <c r="M167" s="3">
        <f>K167-L167</f>
        <v>0.220397895401093</v>
      </c>
      <c r="N167" s="1">
        <f>COUNTIF($M$114:$M$169,"&gt;"&amp;M167)+COUNTIF($M$114:M167,M167)</f>
        <v>41</v>
      </c>
      <c r="O167" s="1">
        <f>J167+L167+IF(N167&lt;=I167-SUM($J$114:$J$169)-SUM($L$114:$L$169),1,0)</f>
        <v>17</v>
      </c>
    </row>
    <row r="168" spans="1:15">
      <c r="A168" s="1" t="s">
        <v>51</v>
      </c>
      <c r="B168" s="1" t="s">
        <v>53</v>
      </c>
      <c r="C168" s="1" t="s">
        <v>50</v>
      </c>
      <c r="D168" s="1" t="s">
        <v>49</v>
      </c>
      <c r="E168" s="1" t="s">
        <v>48</v>
      </c>
      <c r="F168" s="1" t="s">
        <v>41</v>
      </c>
      <c r="G168" s="1">
        <v>92569</v>
      </c>
      <c r="H168" s="1">
        <f>'1_Departamento_n'!C4</f>
        <v>2345340</v>
      </c>
      <c r="I168" s="1">
        <f>'1_Departamento_n'!H4</f>
        <v>1312</v>
      </c>
      <c r="J168" s="1">
        <f>'0_Parametros'!B7</f>
        <v>10</v>
      </c>
      <c r="K168" s="3">
        <f>(I168-SUM($J$114:$J$169))*G168/H168</f>
        <v>29.680936665899186</v>
      </c>
      <c r="L168" s="1">
        <f>INT(K168)</f>
        <v>29</v>
      </c>
      <c r="M168" s="3">
        <f>K168-L168</f>
        <v>0.6809366658991856</v>
      </c>
      <c r="N168" s="1">
        <f>COUNTIF($M$114:$M$169,"&gt;"&amp;M168)+COUNTIF($M$114:M168,M168)</f>
        <v>15</v>
      </c>
      <c r="O168" s="1">
        <f>J168+L168+IF(N168&lt;=I168-SUM($J$114:$J$169)-SUM($L$114:$L$169),1,0)</f>
        <v>40</v>
      </c>
    </row>
    <row r="169" spans="1:15">
      <c r="A169" s="1" t="s">
        <v>51</v>
      </c>
      <c r="B169" s="1" t="s">
        <v>53</v>
      </c>
      <c r="C169" s="1" t="s">
        <v>50</v>
      </c>
      <c r="D169" s="1" t="s">
        <v>49</v>
      </c>
      <c r="E169" s="1" t="s">
        <v>48</v>
      </c>
      <c r="F169" s="1" t="s">
        <v>42</v>
      </c>
      <c r="G169" s="1">
        <v>36177</v>
      </c>
      <c r="H169" s="1">
        <f>'1_Departamento_n'!C4</f>
        <v>2345340</v>
      </c>
      <c r="I169" s="1">
        <f>'1_Departamento_n'!H4</f>
        <v>1312</v>
      </c>
      <c r="J169" s="1">
        <f>'0_Parametros'!B7</f>
        <v>10</v>
      </c>
      <c r="K169" s="3">
        <f>(I169-SUM($J$114:$J$169))*G169/H169</f>
        <v>11.599641842973726</v>
      </c>
      <c r="L169" s="1">
        <f>INT(K169)</f>
        <v>11</v>
      </c>
      <c r="M169" s="3">
        <f>K169-L169</f>
        <v>0.5996418429737265</v>
      </c>
      <c r="N169" s="1">
        <f>COUNTIF($M$114:$M$169,"&gt;"&amp;M169)+COUNTIF($M$114:M169,M169)</f>
        <v>20</v>
      </c>
      <c r="O169" s="1">
        <f>J169+L169+IF(N169&lt;=I169-SUM($J$114:$J$169)-SUM($L$114:$L$169),1,0)</f>
        <v>22</v>
      </c>
    </row>
    <row r="170" spans="1:15">
      <c r="A170" s="1" t="s">
        <v>51</v>
      </c>
      <c r="B170" s="1" t="s">
        <v>54</v>
      </c>
      <c r="C170" s="1" t="s">
        <v>38</v>
      </c>
      <c r="D170" s="1" t="s">
        <v>39</v>
      </c>
      <c r="E170" s="1" t="s">
        <v>40</v>
      </c>
      <c r="F170" s="1" t="s">
        <v>41</v>
      </c>
      <c r="G170" s="1">
        <v>18915</v>
      </c>
      <c r="H170" s="1">
        <f>'1_Departamento_n'!C5</f>
        <v>1284077</v>
      </c>
      <c r="I170" s="1">
        <f>'1_Departamento_n'!H5</f>
        <v>1312</v>
      </c>
      <c r="J170" s="1">
        <f>'0_Parametros'!B7</f>
        <v>10</v>
      </c>
      <c r="K170" s="3">
        <f>(I170-SUM($J$170:$J$225))*G170/H170</f>
        <v>11.077279633542226</v>
      </c>
      <c r="L170" s="1">
        <f>INT(K170)</f>
        <v>11</v>
      </c>
      <c r="M170" s="3">
        <f>K170-L170</f>
        <v>0.07727963354222567</v>
      </c>
      <c r="N170" s="1">
        <f>COUNTIF($M$170:$M$225,"&gt;"&amp;M170)+COUNTIF($M$170:M170,M170)</f>
        <v>51</v>
      </c>
      <c r="O170" s="1">
        <f>J170+L170+IF(N170&lt;=I170-SUM($J$170:$J$225)-SUM($L$170:$L$225),1,0)</f>
        <v>21</v>
      </c>
    </row>
    <row r="171" spans="1:15">
      <c r="A171" s="1" t="s">
        <v>51</v>
      </c>
      <c r="B171" s="1" t="s">
        <v>54</v>
      </c>
      <c r="C171" s="1" t="s">
        <v>38</v>
      </c>
      <c r="D171" s="1" t="s">
        <v>39</v>
      </c>
      <c r="E171" s="1" t="s">
        <v>40</v>
      </c>
      <c r="F171" s="1" t="s">
        <v>42</v>
      </c>
      <c r="G171" s="1">
        <v>1641</v>
      </c>
      <c r="H171" s="1">
        <f>'1_Departamento_n'!C5</f>
        <v>1284077</v>
      </c>
      <c r="I171" s="1">
        <f>'1_Departamento_n'!H5</f>
        <v>1312</v>
      </c>
      <c r="J171" s="1">
        <f>'0_Parametros'!B7</f>
        <v>10</v>
      </c>
      <c r="K171" s="3">
        <f>(I171-SUM($J$170:$J$225))*G171/H171</f>
        <v>0.9610264804992223</v>
      </c>
      <c r="L171" s="1">
        <f>INT(K171)</f>
        <v>0</v>
      </c>
      <c r="M171" s="3">
        <f>K171-L171</f>
        <v>0.9610264804992223</v>
      </c>
      <c r="N171" s="1">
        <f>COUNTIF($M$170:$M$225,"&gt;"&amp;M171)+COUNTIF($M$170:M171,M171)</f>
        <v>3</v>
      </c>
      <c r="O171" s="1">
        <f>J171+L171+IF(N171&lt;=I171-SUM($J$170:$J$225)-SUM($L$170:$L$225),1,0)</f>
        <v>11</v>
      </c>
    </row>
    <row r="172" spans="1:15">
      <c r="A172" s="1" t="s">
        <v>51</v>
      </c>
      <c r="B172" s="1" t="s">
        <v>54</v>
      </c>
      <c r="C172" s="1" t="s">
        <v>38</v>
      </c>
      <c r="D172" s="1" t="s">
        <v>39</v>
      </c>
      <c r="E172" s="1" t="s">
        <v>43</v>
      </c>
      <c r="F172" s="1" t="s">
        <v>41</v>
      </c>
      <c r="G172" s="1">
        <v>23108</v>
      </c>
      <c r="H172" s="1">
        <f>'1_Departamento_n'!C5</f>
        <v>1284077</v>
      </c>
      <c r="I172" s="1">
        <f>'1_Departamento_n'!H5</f>
        <v>1312</v>
      </c>
      <c r="J172" s="1">
        <f>'0_Parametros'!B7</f>
        <v>10</v>
      </c>
      <c r="K172" s="3">
        <f>(I172-SUM($J$170:$J$225))*G172/H172</f>
        <v>13.532845771709953</v>
      </c>
      <c r="L172" s="1">
        <f>INT(K172)</f>
        <v>13</v>
      </c>
      <c r="M172" s="3">
        <f>K172-L172</f>
        <v>0.5328457717099528</v>
      </c>
      <c r="N172" s="1">
        <f>COUNTIF($M$170:$M$225,"&gt;"&amp;M172)+COUNTIF($M$170:M172,M172)</f>
        <v>25</v>
      </c>
      <c r="O172" s="1">
        <f>J172+L172+IF(N172&lt;=I172-SUM($J$170:$J$225)-SUM($L$170:$L$225),1,0)</f>
        <v>24</v>
      </c>
    </row>
    <row r="173" spans="1:15">
      <c r="A173" s="1" t="s">
        <v>51</v>
      </c>
      <c r="B173" s="1" t="s">
        <v>54</v>
      </c>
      <c r="C173" s="1" t="s">
        <v>38</v>
      </c>
      <c r="D173" s="1" t="s">
        <v>39</v>
      </c>
      <c r="E173" s="1" t="s">
        <v>43</v>
      </c>
      <c r="F173" s="1" t="s">
        <v>42</v>
      </c>
      <c r="G173" s="1">
        <v>1125</v>
      </c>
      <c r="H173" s="1">
        <f>'1_Departamento_n'!C5</f>
        <v>1284077</v>
      </c>
      <c r="I173" s="1">
        <f>'1_Departamento_n'!H5</f>
        <v>1312</v>
      </c>
      <c r="J173" s="1">
        <f>'0_Parametros'!B7</f>
        <v>10</v>
      </c>
      <c r="K173" s="3">
        <f>(I173-SUM($J$170:$J$225))*G173/H173</f>
        <v>0.658838994857785</v>
      </c>
      <c r="L173" s="1">
        <f>INT(K173)</f>
        <v>0</v>
      </c>
      <c r="M173" s="3">
        <f>K173-L173</f>
        <v>0.658838994857785</v>
      </c>
      <c r="N173" s="1">
        <f>COUNTIF($M$170:$M$225,"&gt;"&amp;M173)+COUNTIF($M$170:M173,M173)</f>
        <v>16</v>
      </c>
      <c r="O173" s="1">
        <f>J173+L173+IF(N173&lt;=I173-SUM($J$170:$J$225)-SUM($L$170:$L$225),1,0)</f>
        <v>11</v>
      </c>
    </row>
    <row r="174" spans="1:15">
      <c r="A174" s="1" t="s">
        <v>51</v>
      </c>
      <c r="B174" s="1" t="s">
        <v>54</v>
      </c>
      <c r="C174" s="1" t="s">
        <v>38</v>
      </c>
      <c r="D174" s="1" t="s">
        <v>39</v>
      </c>
      <c r="E174" s="1" t="s">
        <v>44</v>
      </c>
      <c r="F174" s="1" t="s">
        <v>41</v>
      </c>
      <c r="G174" s="1">
        <v>21530</v>
      </c>
      <c r="H174" s="1">
        <f>'1_Departamento_n'!C5</f>
        <v>1284077</v>
      </c>
      <c r="I174" s="1">
        <f>'1_Departamento_n'!H5</f>
        <v>1312</v>
      </c>
      <c r="J174" s="1">
        <f>'0_Parametros'!B7</f>
        <v>10</v>
      </c>
      <c r="K174" s="3">
        <f>(I174-SUM($J$170:$J$225))*G174/H174</f>
        <v>12.608714274922766</v>
      </c>
      <c r="L174" s="1">
        <f>INT(K174)</f>
        <v>12</v>
      </c>
      <c r="M174" s="3">
        <f>K174-L174</f>
        <v>0.6087142749227663</v>
      </c>
      <c r="N174" s="1">
        <f>COUNTIF($M$170:$M$225,"&gt;"&amp;M174)+COUNTIF($M$170:M174,M174)</f>
        <v>20</v>
      </c>
      <c r="O174" s="1">
        <f>J174+L174+IF(N174&lt;=I174-SUM($J$170:$J$225)-SUM($L$170:$L$225),1,0)</f>
        <v>23</v>
      </c>
    </row>
    <row r="175" spans="1:15">
      <c r="A175" s="1" t="s">
        <v>51</v>
      </c>
      <c r="B175" s="1" t="s">
        <v>54</v>
      </c>
      <c r="C175" s="1" t="s">
        <v>38</v>
      </c>
      <c r="D175" s="1" t="s">
        <v>39</v>
      </c>
      <c r="E175" s="1" t="s">
        <v>44</v>
      </c>
      <c r="F175" s="1" t="s">
        <v>42</v>
      </c>
      <c r="G175" s="1">
        <v>2202</v>
      </c>
      <c r="H175" s="1">
        <f>'1_Departamento_n'!C5</f>
        <v>1284077</v>
      </c>
      <c r="I175" s="1">
        <f>'1_Departamento_n'!H5</f>
        <v>1312</v>
      </c>
      <c r="J175" s="1">
        <f>'0_Parametros'!B7</f>
        <v>10</v>
      </c>
      <c r="K175" s="3">
        <f>(I175-SUM($J$170:$J$225))*G175/H175</f>
        <v>1.2895675259349713</v>
      </c>
      <c r="L175" s="1">
        <f>INT(K175)</f>
        <v>1</v>
      </c>
      <c r="M175" s="3">
        <f>K175-L175</f>
        <v>0.28956752593497126</v>
      </c>
      <c r="N175" s="1">
        <f>COUNTIF($M$170:$M$225,"&gt;"&amp;M175)+COUNTIF($M$170:M175,M175)</f>
        <v>41</v>
      </c>
      <c r="O175" s="1">
        <f>J175+L175+IF(N175&lt;=I175-SUM($J$170:$J$225)-SUM($L$170:$L$225),1,0)</f>
        <v>11</v>
      </c>
    </row>
    <row r="176" spans="1:15">
      <c r="A176" s="1" t="s">
        <v>51</v>
      </c>
      <c r="B176" s="1" t="s">
        <v>54</v>
      </c>
      <c r="C176" s="1" t="s">
        <v>38</v>
      </c>
      <c r="D176" s="1" t="s">
        <v>39</v>
      </c>
      <c r="E176" s="1" t="s">
        <v>45</v>
      </c>
      <c r="F176" s="1" t="s">
        <v>41</v>
      </c>
      <c r="G176" s="1">
        <v>27505</v>
      </c>
      <c r="H176" s="1">
        <f>'1_Departamento_n'!C5</f>
        <v>1284077</v>
      </c>
      <c r="I176" s="1">
        <f>'1_Departamento_n'!H5</f>
        <v>1312</v>
      </c>
      <c r="J176" s="1">
        <f>'0_Parametros'!B7</f>
        <v>10</v>
      </c>
      <c r="K176" s="3">
        <f>(I176-SUM($J$170:$J$225))*G176/H176</f>
        <v>16.107881380945223</v>
      </c>
      <c r="L176" s="1">
        <f>INT(K176)</f>
        <v>16</v>
      </c>
      <c r="M176" s="3">
        <f>K176-L176</f>
        <v>0.10788138094522282</v>
      </c>
      <c r="N176" s="1">
        <f>COUNTIF($M$170:$M$225,"&gt;"&amp;M176)+COUNTIF($M$170:M176,M176)</f>
        <v>46</v>
      </c>
      <c r="O176" s="1">
        <f>J176+L176+IF(N176&lt;=I176-SUM($J$170:$J$225)-SUM($L$170:$L$225),1,0)</f>
        <v>26</v>
      </c>
    </row>
    <row r="177" spans="1:15">
      <c r="A177" s="1" t="s">
        <v>51</v>
      </c>
      <c r="B177" s="1" t="s">
        <v>54</v>
      </c>
      <c r="C177" s="1" t="s">
        <v>38</v>
      </c>
      <c r="D177" s="1" t="s">
        <v>39</v>
      </c>
      <c r="E177" s="1" t="s">
        <v>45</v>
      </c>
      <c r="F177" s="1" t="s">
        <v>42</v>
      </c>
      <c r="G177" s="1">
        <v>1847</v>
      </c>
      <c r="H177" s="1">
        <f>'1_Departamento_n'!C5</f>
        <v>1284077</v>
      </c>
      <c r="I177" s="1">
        <f>'1_Departamento_n'!H5</f>
        <v>1312</v>
      </c>
      <c r="J177" s="1">
        <f>'0_Parametros'!B7</f>
        <v>10</v>
      </c>
      <c r="K177" s="3">
        <f>(I177-SUM($J$170:$J$225))*G177/H177</f>
        <v>1.081667220890959</v>
      </c>
      <c r="L177" s="1">
        <f>INT(K177)</f>
        <v>1</v>
      </c>
      <c r="M177" s="3">
        <f>K177-L177</f>
        <v>0.08166722089095901</v>
      </c>
      <c r="N177" s="1">
        <f>COUNTIF($M$170:$M$225,"&gt;"&amp;M177)+COUNTIF($M$170:M177,M177)</f>
        <v>50</v>
      </c>
      <c r="O177" s="1">
        <f>J177+L177+IF(N177&lt;=I177-SUM($J$170:$J$225)-SUM($L$170:$L$225),1,0)</f>
        <v>11</v>
      </c>
    </row>
    <row r="178" spans="1:15">
      <c r="A178" s="1" t="s">
        <v>51</v>
      </c>
      <c r="B178" s="1" t="s">
        <v>54</v>
      </c>
      <c r="C178" s="1" t="s">
        <v>38</v>
      </c>
      <c r="D178" s="1" t="s">
        <v>39</v>
      </c>
      <c r="E178" s="1" t="s">
        <v>46</v>
      </c>
      <c r="F178" s="1" t="s">
        <v>41</v>
      </c>
      <c r="G178" s="1">
        <v>23063</v>
      </c>
      <c r="H178" s="1">
        <f>'1_Departamento_n'!C5</f>
        <v>1284077</v>
      </c>
      <c r="I178" s="1">
        <f>'1_Departamento_n'!H5</f>
        <v>1312</v>
      </c>
      <c r="J178" s="1">
        <f>'0_Parametros'!B7</f>
        <v>10</v>
      </c>
      <c r="K178" s="3">
        <f>(I178-SUM($J$170:$J$225))*G178/H178</f>
        <v>13.50649221191564</v>
      </c>
      <c r="L178" s="1">
        <f>INT(K178)</f>
        <v>13</v>
      </c>
      <c r="M178" s="3">
        <f>K178-L178</f>
        <v>0.5064922119156403</v>
      </c>
      <c r="N178" s="1">
        <f>COUNTIF($M$170:$M$225,"&gt;"&amp;M178)+COUNTIF($M$170:M178,M178)</f>
        <v>27</v>
      </c>
      <c r="O178" s="1">
        <f>J178+L178+IF(N178&lt;=I178-SUM($J$170:$J$225)-SUM($L$170:$L$225),1,0)</f>
        <v>23</v>
      </c>
    </row>
    <row r="179" spans="1:15">
      <c r="A179" s="1" t="s">
        <v>51</v>
      </c>
      <c r="B179" s="1" t="s">
        <v>54</v>
      </c>
      <c r="C179" s="1" t="s">
        <v>38</v>
      </c>
      <c r="D179" s="1" t="s">
        <v>39</v>
      </c>
      <c r="E179" s="1" t="s">
        <v>46</v>
      </c>
      <c r="F179" s="1" t="s">
        <v>42</v>
      </c>
      <c r="G179" s="1">
        <v>1118</v>
      </c>
      <c r="H179" s="1">
        <f>'1_Departamento_n'!C5</f>
        <v>1284077</v>
      </c>
      <c r="I179" s="1">
        <f>'1_Departamento_n'!H5</f>
        <v>1312</v>
      </c>
      <c r="J179" s="1">
        <f>'0_Parametros'!B7</f>
        <v>10</v>
      </c>
      <c r="K179" s="3">
        <f>(I179-SUM($J$170:$J$225))*G179/H179</f>
        <v>0.6547395522231143</v>
      </c>
      <c r="L179" s="1">
        <f>INT(K179)</f>
        <v>0</v>
      </c>
      <c r="M179" s="3">
        <f>K179-L179</f>
        <v>0.6547395522231143</v>
      </c>
      <c r="N179" s="1">
        <f>COUNTIF($M$170:$M$225,"&gt;"&amp;M179)+COUNTIF($M$170:M179,M179)</f>
        <v>17</v>
      </c>
      <c r="O179" s="1">
        <f>J179+L179+IF(N179&lt;=I179-SUM($J$170:$J$225)-SUM($L$170:$L$225),1,0)</f>
        <v>11</v>
      </c>
    </row>
    <row r="180" spans="1:15">
      <c r="A180" s="1" t="s">
        <v>51</v>
      </c>
      <c r="B180" s="1" t="s">
        <v>54</v>
      </c>
      <c r="C180" s="1" t="s">
        <v>38</v>
      </c>
      <c r="D180" s="1" t="s">
        <v>39</v>
      </c>
      <c r="E180" s="1" t="s">
        <v>47</v>
      </c>
      <c r="F180" s="1" t="s">
        <v>41</v>
      </c>
      <c r="G180" s="1">
        <v>15237</v>
      </c>
      <c r="H180" s="1">
        <f>'1_Departamento_n'!C5</f>
        <v>1284077</v>
      </c>
      <c r="I180" s="1">
        <f>'1_Departamento_n'!H5</f>
        <v>1312</v>
      </c>
      <c r="J180" s="1">
        <f>'0_Parametros'!B7</f>
        <v>10</v>
      </c>
      <c r="K180" s="3">
        <f>(I180-SUM($J$170:$J$225))*G180/H180</f>
        <v>8.92331534635384</v>
      </c>
      <c r="L180" s="1">
        <f>INT(K180)</f>
        <v>8</v>
      </c>
      <c r="M180" s="3">
        <f>K180-L180</f>
        <v>0.9233153463538404</v>
      </c>
      <c r="N180" s="1">
        <f>COUNTIF($M$170:$M$225,"&gt;"&amp;M180)+COUNTIF($M$170:M180,M180)</f>
        <v>5</v>
      </c>
      <c r="O180" s="1">
        <f>J180+L180+IF(N180&lt;=I180-SUM($J$170:$J$225)-SUM($L$170:$L$225),1,0)</f>
        <v>19</v>
      </c>
    </row>
    <row r="181" spans="1:15">
      <c r="A181" s="1" t="s">
        <v>51</v>
      </c>
      <c r="B181" s="1" t="s">
        <v>54</v>
      </c>
      <c r="C181" s="1" t="s">
        <v>38</v>
      </c>
      <c r="D181" s="1" t="s">
        <v>39</v>
      </c>
      <c r="E181" s="1" t="s">
        <v>47</v>
      </c>
      <c r="F181" s="1" t="s">
        <v>42</v>
      </c>
      <c r="G181" s="1">
        <v>532</v>
      </c>
      <c r="H181" s="1">
        <f>'1_Departamento_n'!C5</f>
        <v>1284077</v>
      </c>
      <c r="I181" s="1">
        <f>'1_Departamento_n'!H5</f>
        <v>1312</v>
      </c>
      <c r="J181" s="1">
        <f>'0_Parametros'!B7</f>
        <v>10</v>
      </c>
      <c r="K181" s="3">
        <f>(I181-SUM($J$170:$J$225))*G181/H181</f>
        <v>0.31155764023497035</v>
      </c>
      <c r="L181" s="1">
        <f>INT(K181)</f>
        <v>0</v>
      </c>
      <c r="M181" s="3">
        <f>K181-L181</f>
        <v>0.31155764023497035</v>
      </c>
      <c r="N181" s="1">
        <f>COUNTIF($M$170:$M$225,"&gt;"&amp;M181)+COUNTIF($M$170:M181,M181)</f>
        <v>37</v>
      </c>
      <c r="O181" s="1">
        <f>J181+L181+IF(N181&lt;=I181-SUM($J$170:$J$225)-SUM($L$170:$L$225),1,0)</f>
        <v>10</v>
      </c>
    </row>
    <row r="182" spans="1:15">
      <c r="A182" s="1" t="s">
        <v>51</v>
      </c>
      <c r="B182" s="1" t="s">
        <v>54</v>
      </c>
      <c r="C182" s="1" t="s">
        <v>38</v>
      </c>
      <c r="D182" s="1" t="s">
        <v>39</v>
      </c>
      <c r="E182" s="1" t="s">
        <v>48</v>
      </c>
      <c r="F182" s="1" t="s">
        <v>41</v>
      </c>
      <c r="G182" s="1">
        <v>20420</v>
      </c>
      <c r="H182" s="1">
        <f>'1_Departamento_n'!C5</f>
        <v>1284077</v>
      </c>
      <c r="I182" s="1">
        <f>'1_Departamento_n'!H5</f>
        <v>1312</v>
      </c>
      <c r="J182" s="1">
        <f>'0_Parametros'!B7</f>
        <v>10</v>
      </c>
      <c r="K182" s="3">
        <f>(I182-SUM($J$170:$J$225))*G182/H182</f>
        <v>11.958659799996418</v>
      </c>
      <c r="L182" s="1">
        <f>INT(K182)</f>
        <v>11</v>
      </c>
      <c r="M182" s="3">
        <f>K182-L182</f>
        <v>0.9586597999964184</v>
      </c>
      <c r="N182" s="1">
        <f>COUNTIF($M$170:$M$225,"&gt;"&amp;M182)+COUNTIF($M$170:M182,M182)</f>
        <v>4</v>
      </c>
      <c r="O182" s="1">
        <f>J182+L182+IF(N182&lt;=I182-SUM($J$170:$J$225)-SUM($L$170:$L$225),1,0)</f>
        <v>22</v>
      </c>
    </row>
    <row r="183" spans="1:15">
      <c r="A183" s="1" t="s">
        <v>51</v>
      </c>
      <c r="B183" s="1" t="s">
        <v>54</v>
      </c>
      <c r="C183" s="1" t="s">
        <v>38</v>
      </c>
      <c r="D183" s="1" t="s">
        <v>39</v>
      </c>
      <c r="E183" s="1" t="s">
        <v>48</v>
      </c>
      <c r="F183" s="1" t="s">
        <v>42</v>
      </c>
      <c r="G183" s="1">
        <v>354</v>
      </c>
      <c r="H183" s="1">
        <f>'1_Departamento_n'!C5</f>
        <v>1284077</v>
      </c>
      <c r="I183" s="1">
        <f>'1_Departamento_n'!H5</f>
        <v>1312</v>
      </c>
      <c r="J183" s="1">
        <f>'0_Parametros'!B7</f>
        <v>10</v>
      </c>
      <c r="K183" s="3">
        <f>(I183-SUM($J$170:$J$225))*G183/H183</f>
        <v>0.20731467038191634</v>
      </c>
      <c r="L183" s="1">
        <f>INT(K183)</f>
        <v>0</v>
      </c>
      <c r="M183" s="3">
        <f>K183-L183</f>
        <v>0.20731467038191634</v>
      </c>
      <c r="N183" s="1">
        <f>COUNTIF($M$170:$M$225,"&gt;"&amp;M183)+COUNTIF($M$170:M183,M183)</f>
        <v>43</v>
      </c>
      <c r="O183" s="1">
        <f>J183+L183+IF(N183&lt;=I183-SUM($J$170:$J$225)-SUM($L$170:$L$225),1,0)</f>
        <v>10</v>
      </c>
    </row>
    <row r="184" spans="1:15">
      <c r="A184" s="1" t="s">
        <v>51</v>
      </c>
      <c r="B184" s="1" t="s">
        <v>54</v>
      </c>
      <c r="C184" s="1" t="s">
        <v>38</v>
      </c>
      <c r="D184" s="1" t="s">
        <v>49</v>
      </c>
      <c r="E184" s="1" t="s">
        <v>40</v>
      </c>
      <c r="F184" s="1" t="s">
        <v>41</v>
      </c>
      <c r="G184" s="1">
        <v>19780</v>
      </c>
      <c r="H184" s="1">
        <f>'1_Departamento_n'!C5</f>
        <v>1284077</v>
      </c>
      <c r="I184" s="1">
        <f>'1_Departamento_n'!H5</f>
        <v>1312</v>
      </c>
      <c r="J184" s="1">
        <f>'0_Parametros'!B7</f>
        <v>10</v>
      </c>
      <c r="K184" s="3">
        <f>(I184-SUM($J$170:$J$225))*G184/H184</f>
        <v>11.5838536162551</v>
      </c>
      <c r="L184" s="1">
        <f>INT(K184)</f>
        <v>11</v>
      </c>
      <c r="M184" s="3">
        <f>K184-L184</f>
        <v>0.5838536162550998</v>
      </c>
      <c r="N184" s="1">
        <f>COUNTIF($M$170:$M$225,"&gt;"&amp;M184)+COUNTIF($M$170:M184,M184)</f>
        <v>23</v>
      </c>
      <c r="O184" s="1">
        <f>J184+L184+IF(N184&lt;=I184-SUM($J$170:$J$225)-SUM($L$170:$L$225),1,0)</f>
        <v>22</v>
      </c>
    </row>
    <row r="185" spans="1:15">
      <c r="A185" s="1" t="s">
        <v>51</v>
      </c>
      <c r="B185" s="1" t="s">
        <v>54</v>
      </c>
      <c r="C185" s="1" t="s">
        <v>38</v>
      </c>
      <c r="D185" s="1" t="s">
        <v>49</v>
      </c>
      <c r="E185" s="1" t="s">
        <v>40</v>
      </c>
      <c r="F185" s="1" t="s">
        <v>42</v>
      </c>
      <c r="G185" s="1">
        <v>1717</v>
      </c>
      <c r="H185" s="1">
        <f>'1_Departamento_n'!C5</f>
        <v>1284077</v>
      </c>
      <c r="I185" s="1">
        <f>'1_Departamento_n'!H5</f>
        <v>1312</v>
      </c>
      <c r="J185" s="1">
        <f>'0_Parametros'!B7</f>
        <v>10</v>
      </c>
      <c r="K185" s="3">
        <f>(I185-SUM($J$170:$J$225))*G185/H185</f>
        <v>1.0055347148185039</v>
      </c>
      <c r="L185" s="1">
        <f>INT(K185)</f>
        <v>1</v>
      </c>
      <c r="M185" s="3">
        <f>K185-L185</f>
        <v>0.005534714818503872</v>
      </c>
      <c r="N185" s="1">
        <f>COUNTIF($M$170:$M$225,"&gt;"&amp;M185)+COUNTIF($M$170:M185,M185)</f>
        <v>56</v>
      </c>
      <c r="O185" s="1">
        <f>J185+L185+IF(N185&lt;=I185-SUM($J$170:$J$225)-SUM($L$170:$L$225),1,0)</f>
        <v>11</v>
      </c>
    </row>
    <row r="186" spans="1:15">
      <c r="A186" s="1" t="s">
        <v>51</v>
      </c>
      <c r="B186" s="1" t="s">
        <v>54</v>
      </c>
      <c r="C186" s="1" t="s">
        <v>38</v>
      </c>
      <c r="D186" s="1" t="s">
        <v>49</v>
      </c>
      <c r="E186" s="1" t="s">
        <v>43</v>
      </c>
      <c r="F186" s="1" t="s">
        <v>41</v>
      </c>
      <c r="G186" s="1">
        <v>23866</v>
      </c>
      <c r="H186" s="1">
        <f>'1_Departamento_n'!C5</f>
        <v>1284077</v>
      </c>
      <c r="I186" s="1">
        <f>'1_Departamento_n'!H5</f>
        <v>1312</v>
      </c>
      <c r="J186" s="1">
        <f>'0_Parametros'!B7</f>
        <v>10</v>
      </c>
      <c r="K186" s="3">
        <f>(I186-SUM($J$170:$J$225))*G186/H186</f>
        <v>13.976756845578574</v>
      </c>
      <c r="L186" s="1">
        <f>INT(K186)</f>
        <v>13</v>
      </c>
      <c r="M186" s="3">
        <f>K186-L186</f>
        <v>0.9767568455785742</v>
      </c>
      <c r="N186" s="1">
        <f>COUNTIF($M$170:$M$225,"&gt;"&amp;M186)+COUNTIF($M$170:M186,M186)</f>
        <v>2</v>
      </c>
      <c r="O186" s="1">
        <f>J186+L186+IF(N186&lt;=I186-SUM($J$170:$J$225)-SUM($L$170:$L$225),1,0)</f>
        <v>24</v>
      </c>
    </row>
    <row r="187" spans="1:15">
      <c r="A187" s="1" t="s">
        <v>51</v>
      </c>
      <c r="B187" s="1" t="s">
        <v>54</v>
      </c>
      <c r="C187" s="1" t="s">
        <v>38</v>
      </c>
      <c r="D187" s="1" t="s">
        <v>49</v>
      </c>
      <c r="E187" s="1" t="s">
        <v>43</v>
      </c>
      <c r="F187" s="1" t="s">
        <v>42</v>
      </c>
      <c r="G187" s="1">
        <v>1212</v>
      </c>
      <c r="H187" s="1">
        <f>'1_Departamento_n'!C5</f>
        <v>1284077</v>
      </c>
      <c r="I187" s="1">
        <f>'1_Departamento_n'!H5</f>
        <v>1312</v>
      </c>
      <c r="J187" s="1">
        <f>'0_Parametros'!B7</f>
        <v>10</v>
      </c>
      <c r="K187" s="3">
        <f>(I187-SUM($J$170:$J$225))*G187/H187</f>
        <v>0.7097892104601203</v>
      </c>
      <c r="L187" s="1">
        <f>INT(K187)</f>
        <v>0</v>
      </c>
      <c r="M187" s="3">
        <f>K187-L187</f>
        <v>0.7097892104601203</v>
      </c>
      <c r="N187" s="1">
        <f>COUNTIF($M$170:$M$225,"&gt;"&amp;M187)+COUNTIF($M$170:M187,M187)</f>
        <v>12</v>
      </c>
      <c r="O187" s="1">
        <f>J187+L187+IF(N187&lt;=I187-SUM($J$170:$J$225)-SUM($L$170:$L$225),1,0)</f>
        <v>11</v>
      </c>
    </row>
    <row r="188" spans="1:15">
      <c r="A188" s="1" t="s">
        <v>51</v>
      </c>
      <c r="B188" s="1" t="s">
        <v>54</v>
      </c>
      <c r="C188" s="1" t="s">
        <v>38</v>
      </c>
      <c r="D188" s="1" t="s">
        <v>49</v>
      </c>
      <c r="E188" s="1" t="s">
        <v>44</v>
      </c>
      <c r="F188" s="1" t="s">
        <v>41</v>
      </c>
      <c r="G188" s="1">
        <v>25035</v>
      </c>
      <c r="H188" s="1">
        <f>'1_Departamento_n'!C5</f>
        <v>1284077</v>
      </c>
      <c r="I188" s="1">
        <f>'1_Departamento_n'!H5</f>
        <v>1312</v>
      </c>
      <c r="J188" s="1">
        <f>'0_Parametros'!B7</f>
        <v>10</v>
      </c>
      <c r="K188" s="3">
        <f>(I188-SUM($J$170:$J$225))*G188/H188</f>
        <v>14.661363765568575</v>
      </c>
      <c r="L188" s="1">
        <f>INT(K188)</f>
        <v>14</v>
      </c>
      <c r="M188" s="3">
        <f>K188-L188</f>
        <v>0.6613637655685753</v>
      </c>
      <c r="N188" s="1">
        <f>COUNTIF($M$170:$M$225,"&gt;"&amp;M188)+COUNTIF($M$170:M188,M188)</f>
        <v>15</v>
      </c>
      <c r="O188" s="1">
        <f>J188+L188+IF(N188&lt;=I188-SUM($J$170:$J$225)-SUM($L$170:$L$225),1,0)</f>
        <v>25</v>
      </c>
    </row>
    <row r="189" spans="1:15">
      <c r="A189" s="1" t="s">
        <v>51</v>
      </c>
      <c r="B189" s="1" t="s">
        <v>54</v>
      </c>
      <c r="C189" s="1" t="s">
        <v>38</v>
      </c>
      <c r="D189" s="1" t="s">
        <v>49</v>
      </c>
      <c r="E189" s="1" t="s">
        <v>44</v>
      </c>
      <c r="F189" s="1" t="s">
        <v>42</v>
      </c>
      <c r="G189" s="1">
        <v>3454</v>
      </c>
      <c r="H189" s="1">
        <f>'1_Departamento_n'!C5</f>
        <v>1284077</v>
      </c>
      <c r="I189" s="1">
        <f>'1_Departamento_n'!H5</f>
        <v>1312</v>
      </c>
      <c r="J189" s="1">
        <f>'0_Parametros'!B7</f>
        <v>10</v>
      </c>
      <c r="K189" s="3">
        <f>(I189-SUM($J$170:$J$225))*G189/H189</f>
        <v>2.022782122878924</v>
      </c>
      <c r="L189" s="1">
        <f>INT(K189)</f>
        <v>2</v>
      </c>
      <c r="M189" s="3">
        <f>K189-L189</f>
        <v>0.022782122878923783</v>
      </c>
      <c r="N189" s="1">
        <f>COUNTIF($M$170:$M$225,"&gt;"&amp;M189)+COUNTIF($M$170:M189,M189)</f>
        <v>55</v>
      </c>
      <c r="O189" s="1">
        <f>J189+L189+IF(N189&lt;=I189-SUM($J$170:$J$225)-SUM($L$170:$L$225),1,0)</f>
        <v>12</v>
      </c>
    </row>
    <row r="190" spans="1:15">
      <c r="A190" s="1" t="s">
        <v>51</v>
      </c>
      <c r="B190" s="1" t="s">
        <v>54</v>
      </c>
      <c r="C190" s="1" t="s">
        <v>38</v>
      </c>
      <c r="D190" s="1" t="s">
        <v>49</v>
      </c>
      <c r="E190" s="1" t="s">
        <v>45</v>
      </c>
      <c r="F190" s="1" t="s">
        <v>41</v>
      </c>
      <c r="G190" s="1">
        <v>30880</v>
      </c>
      <c r="H190" s="1">
        <f>'1_Departamento_n'!C5</f>
        <v>1284077</v>
      </c>
      <c r="I190" s="1">
        <f>'1_Departamento_n'!H5</f>
        <v>1312</v>
      </c>
      <c r="J190" s="1">
        <f>'0_Parametros'!B7</f>
        <v>10</v>
      </c>
      <c r="K190" s="3">
        <f>(I190-SUM($J$170:$J$225))*G190/H190</f>
        <v>18.084398365518577</v>
      </c>
      <c r="L190" s="1">
        <f>INT(K190)</f>
        <v>18</v>
      </c>
      <c r="M190" s="3">
        <f>K190-L190</f>
        <v>0.08439836551857738</v>
      </c>
      <c r="N190" s="1">
        <f>COUNTIF($M$170:$M$225,"&gt;"&amp;M190)+COUNTIF($M$170:M190,M190)</f>
        <v>49</v>
      </c>
      <c r="O190" s="1">
        <f>J190+L190+IF(N190&lt;=I190-SUM($J$170:$J$225)-SUM($L$170:$L$225),1,0)</f>
        <v>28</v>
      </c>
    </row>
    <row r="191" spans="1:15">
      <c r="A191" s="1" t="s">
        <v>51</v>
      </c>
      <c r="B191" s="1" t="s">
        <v>54</v>
      </c>
      <c r="C191" s="1" t="s">
        <v>38</v>
      </c>
      <c r="D191" s="1" t="s">
        <v>49</v>
      </c>
      <c r="E191" s="1" t="s">
        <v>45</v>
      </c>
      <c r="F191" s="1" t="s">
        <v>42</v>
      </c>
      <c r="G191" s="1">
        <v>3192</v>
      </c>
      <c r="H191" s="1">
        <f>'1_Departamento_n'!C5</f>
        <v>1284077</v>
      </c>
      <c r="I191" s="1">
        <f>'1_Departamento_n'!H5</f>
        <v>1312</v>
      </c>
      <c r="J191" s="1">
        <f>'0_Parametros'!B7</f>
        <v>10</v>
      </c>
      <c r="K191" s="3">
        <f>(I191-SUM($J$170:$J$225))*G191/H191</f>
        <v>1.869345841409822</v>
      </c>
      <c r="L191" s="1">
        <f>INT(K191)</f>
        <v>1</v>
      </c>
      <c r="M191" s="3">
        <f>K191-L191</f>
        <v>0.8693458414098221</v>
      </c>
      <c r="N191" s="1">
        <f>COUNTIF($M$170:$M$225,"&gt;"&amp;M191)+COUNTIF($M$170:M191,M191)</f>
        <v>8</v>
      </c>
      <c r="O191" s="1">
        <f>J191+L191+IF(N191&lt;=I191-SUM($J$170:$J$225)-SUM($L$170:$L$225),1,0)</f>
        <v>12</v>
      </c>
    </row>
    <row r="192" spans="1:15">
      <c r="A192" s="1" t="s">
        <v>51</v>
      </c>
      <c r="B192" s="1" t="s">
        <v>54</v>
      </c>
      <c r="C192" s="1" t="s">
        <v>38</v>
      </c>
      <c r="D192" s="1" t="s">
        <v>49</v>
      </c>
      <c r="E192" s="1" t="s">
        <v>46</v>
      </c>
      <c r="F192" s="1" t="s">
        <v>41</v>
      </c>
      <c r="G192" s="1">
        <v>25598</v>
      </c>
      <c r="H192" s="1">
        <f>'1_Departamento_n'!C5</f>
        <v>1284077</v>
      </c>
      <c r="I192" s="1">
        <f>'1_Departamento_n'!H5</f>
        <v>1312</v>
      </c>
      <c r="J192" s="1">
        <f>'0_Parametros'!B7</f>
        <v>10</v>
      </c>
      <c r="K192" s="3">
        <f>(I192-SUM($J$170:$J$225))*G192/H192</f>
        <v>14.991076080328517</v>
      </c>
      <c r="L192" s="1">
        <f>INT(K192)</f>
        <v>14</v>
      </c>
      <c r="M192" s="3">
        <f>K192-L192</f>
        <v>0.9910760803285168</v>
      </c>
      <c r="N192" s="1">
        <f>COUNTIF($M$170:$M$225,"&gt;"&amp;M192)+COUNTIF($M$170:M192,M192)</f>
        <v>1</v>
      </c>
      <c r="O192" s="1">
        <f>J192+L192+IF(N192&lt;=I192-SUM($J$170:$J$225)-SUM($L$170:$L$225),1,0)</f>
        <v>25</v>
      </c>
    </row>
    <row r="193" spans="1:15">
      <c r="A193" s="1" t="s">
        <v>51</v>
      </c>
      <c r="B193" s="1" t="s">
        <v>54</v>
      </c>
      <c r="C193" s="1" t="s">
        <v>38</v>
      </c>
      <c r="D193" s="1" t="s">
        <v>49</v>
      </c>
      <c r="E193" s="1" t="s">
        <v>46</v>
      </c>
      <c r="F193" s="1" t="s">
        <v>42</v>
      </c>
      <c r="G193" s="1">
        <v>1866</v>
      </c>
      <c r="H193" s="1">
        <f>'1_Departamento_n'!C5</f>
        <v>1284077</v>
      </c>
      <c r="I193" s="1">
        <f>'1_Departamento_n'!H5</f>
        <v>1312</v>
      </c>
      <c r="J193" s="1">
        <f>'0_Parametros'!B7</f>
        <v>10</v>
      </c>
      <c r="K193" s="3">
        <f>(I193-SUM($J$170:$J$225))*G193/H193</f>
        <v>1.0927942794707795</v>
      </c>
      <c r="L193" s="1">
        <f>INT(K193)</f>
        <v>1</v>
      </c>
      <c r="M193" s="3">
        <f>K193-L193</f>
        <v>0.09279427947077945</v>
      </c>
      <c r="N193" s="1">
        <f>COUNTIF($M$170:$M$225,"&gt;"&amp;M193)+COUNTIF($M$170:M193,M193)</f>
        <v>48</v>
      </c>
      <c r="O193" s="1">
        <f>J193+L193+IF(N193&lt;=I193-SUM($J$170:$J$225)-SUM($L$170:$L$225),1,0)</f>
        <v>11</v>
      </c>
    </row>
    <row r="194" spans="1:15">
      <c r="A194" s="1" t="s">
        <v>51</v>
      </c>
      <c r="B194" s="1" t="s">
        <v>54</v>
      </c>
      <c r="C194" s="1" t="s">
        <v>38</v>
      </c>
      <c r="D194" s="1" t="s">
        <v>49</v>
      </c>
      <c r="E194" s="1" t="s">
        <v>47</v>
      </c>
      <c r="F194" s="1" t="s">
        <v>41</v>
      </c>
      <c r="G194" s="1">
        <v>16310</v>
      </c>
      <c r="H194" s="1">
        <f>'1_Departamento_n'!C5</f>
        <v>1284077</v>
      </c>
      <c r="I194" s="1">
        <f>'1_Departamento_n'!H5</f>
        <v>1312</v>
      </c>
      <c r="J194" s="1">
        <f>'0_Parametros'!B7</f>
        <v>10</v>
      </c>
      <c r="K194" s="3">
        <f>(I194-SUM($J$170:$J$225))*G194/H194</f>
        <v>9.551701338782642</v>
      </c>
      <c r="L194" s="1">
        <f>INT(K194)</f>
        <v>9</v>
      </c>
      <c r="M194" s="3">
        <f>K194-L194</f>
        <v>0.5517013387826424</v>
      </c>
      <c r="N194" s="1">
        <f>COUNTIF($M$170:$M$225,"&gt;"&amp;M194)+COUNTIF($M$170:M194,M194)</f>
        <v>24</v>
      </c>
      <c r="O194" s="1">
        <f>J194+L194+IF(N194&lt;=I194-SUM($J$170:$J$225)-SUM($L$170:$L$225),1,0)</f>
        <v>20</v>
      </c>
    </row>
    <row r="195" spans="1:15">
      <c r="A195" s="1" t="s">
        <v>51</v>
      </c>
      <c r="B195" s="1" t="s">
        <v>54</v>
      </c>
      <c r="C195" s="1" t="s">
        <v>38</v>
      </c>
      <c r="D195" s="1" t="s">
        <v>49</v>
      </c>
      <c r="E195" s="1" t="s">
        <v>47</v>
      </c>
      <c r="F195" s="1" t="s">
        <v>42</v>
      </c>
      <c r="G195" s="1">
        <v>1024</v>
      </c>
      <c r="H195" s="1">
        <f>'1_Departamento_n'!C5</f>
        <v>1284077</v>
      </c>
      <c r="I195" s="1">
        <f>'1_Departamento_n'!H5</f>
        <v>1312</v>
      </c>
      <c r="J195" s="1">
        <f>'0_Parametros'!B7</f>
        <v>10</v>
      </c>
      <c r="K195" s="3">
        <f>(I195-SUM($J$170:$J$225))*G195/H195</f>
        <v>0.5996898939861083</v>
      </c>
      <c r="L195" s="1">
        <f>INT(K195)</f>
        <v>0</v>
      </c>
      <c r="M195" s="3">
        <f>K195-L195</f>
        <v>0.5996898939861083</v>
      </c>
      <c r="N195" s="1">
        <f>COUNTIF($M$170:$M$225,"&gt;"&amp;M195)+COUNTIF($M$170:M195,M195)</f>
        <v>22</v>
      </c>
      <c r="O195" s="1">
        <f>J195+L195+IF(N195&lt;=I195-SUM($J$170:$J$225)-SUM($L$170:$L$225),1,0)</f>
        <v>11</v>
      </c>
    </row>
    <row r="196" spans="1:15">
      <c r="A196" s="1" t="s">
        <v>51</v>
      </c>
      <c r="B196" s="1" t="s">
        <v>54</v>
      </c>
      <c r="C196" s="1" t="s">
        <v>38</v>
      </c>
      <c r="D196" s="1" t="s">
        <v>49</v>
      </c>
      <c r="E196" s="1" t="s">
        <v>48</v>
      </c>
      <c r="F196" s="1" t="s">
        <v>41</v>
      </c>
      <c r="G196" s="1">
        <v>17890</v>
      </c>
      <c r="H196" s="1">
        <f>'1_Departamento_n'!C5</f>
        <v>1284077</v>
      </c>
      <c r="I196" s="1">
        <f>'1_Departamento_n'!H5</f>
        <v>1312</v>
      </c>
      <c r="J196" s="1">
        <f>'0_Parametros'!B7</f>
        <v>10</v>
      </c>
      <c r="K196" s="3">
        <f>(I196-SUM($J$170:$J$225))*G196/H196</f>
        <v>10.477004104894021</v>
      </c>
      <c r="L196" s="1">
        <f>INT(K196)</f>
        <v>10</v>
      </c>
      <c r="M196" s="3">
        <f>K196-L196</f>
        <v>0.47700410489402145</v>
      </c>
      <c r="N196" s="1">
        <f>COUNTIF($M$170:$M$225,"&gt;"&amp;M196)+COUNTIF($M$170:M196,M196)</f>
        <v>29</v>
      </c>
      <c r="O196" s="1">
        <f>J196+L196+IF(N196&lt;=I196-SUM($J$170:$J$225)-SUM($L$170:$L$225),1,0)</f>
        <v>20</v>
      </c>
    </row>
    <row r="197" spans="1:15">
      <c r="A197" s="1" t="s">
        <v>51</v>
      </c>
      <c r="B197" s="1" t="s">
        <v>54</v>
      </c>
      <c r="C197" s="1" t="s">
        <v>38</v>
      </c>
      <c r="D197" s="1" t="s">
        <v>49</v>
      </c>
      <c r="E197" s="1" t="s">
        <v>48</v>
      </c>
      <c r="F197" s="1" t="s">
        <v>42</v>
      </c>
      <c r="G197" s="1">
        <v>572</v>
      </c>
      <c r="H197" s="1">
        <f>'1_Departamento_n'!C5</f>
        <v>1284077</v>
      </c>
      <c r="I197" s="1">
        <f>'1_Departamento_n'!H5</f>
        <v>1312</v>
      </c>
      <c r="J197" s="1">
        <f>'0_Parametros'!B7</f>
        <v>10</v>
      </c>
      <c r="K197" s="3">
        <f>(I197-SUM($J$170:$J$225))*G197/H197</f>
        <v>0.3349830267188027</v>
      </c>
      <c r="L197" s="1">
        <f>INT(K197)</f>
        <v>0</v>
      </c>
      <c r="M197" s="3">
        <f>K197-L197</f>
        <v>0.3349830267188027</v>
      </c>
      <c r="N197" s="1">
        <f>COUNTIF($M$170:$M$225,"&gt;"&amp;M197)+COUNTIF($M$170:M197,M197)</f>
        <v>33</v>
      </c>
      <c r="O197" s="1">
        <f>J197+L197+IF(N197&lt;=I197-SUM($J$170:$J$225)-SUM($L$170:$L$225),1,0)</f>
        <v>10</v>
      </c>
    </row>
    <row r="198" spans="1:15">
      <c r="A198" s="1" t="s">
        <v>51</v>
      </c>
      <c r="B198" s="1" t="s">
        <v>54</v>
      </c>
      <c r="C198" s="1" t="s">
        <v>50</v>
      </c>
      <c r="D198" s="1" t="s">
        <v>39</v>
      </c>
      <c r="E198" s="1" t="s">
        <v>40</v>
      </c>
      <c r="F198" s="1" t="s">
        <v>41</v>
      </c>
      <c r="G198" s="1">
        <v>53004</v>
      </c>
      <c r="H198" s="1">
        <f>'1_Departamento_n'!C5</f>
        <v>1284077</v>
      </c>
      <c r="I198" s="1">
        <f>'1_Departamento_n'!H5</f>
        <v>1312</v>
      </c>
      <c r="J198" s="1">
        <f>'0_Parametros'!B7</f>
        <v>10</v>
      </c>
      <c r="K198" s="3">
        <f>(I198-SUM($J$170:$J$225))*G198/H198</f>
        <v>31.040979629726255</v>
      </c>
      <c r="L198" s="1">
        <f>INT(K198)</f>
        <v>31</v>
      </c>
      <c r="M198" s="3">
        <f>K198-L198</f>
        <v>0.04097962972625524</v>
      </c>
      <c r="N198" s="1">
        <f>COUNTIF($M$170:$M$225,"&gt;"&amp;M198)+COUNTIF($M$170:M198,M198)</f>
        <v>53</v>
      </c>
      <c r="O198" s="1">
        <f>J198+L198+IF(N198&lt;=I198-SUM($J$170:$J$225)-SUM($L$170:$L$225),1,0)</f>
        <v>41</v>
      </c>
    </row>
    <row r="199" spans="1:15">
      <c r="A199" s="1" t="s">
        <v>51</v>
      </c>
      <c r="B199" s="1" t="s">
        <v>54</v>
      </c>
      <c r="C199" s="1" t="s">
        <v>50</v>
      </c>
      <c r="D199" s="1" t="s">
        <v>39</v>
      </c>
      <c r="E199" s="1" t="s">
        <v>40</v>
      </c>
      <c r="F199" s="1" t="s">
        <v>42</v>
      </c>
      <c r="G199" s="1">
        <v>27591</v>
      </c>
      <c r="H199" s="1">
        <f>'1_Departamento_n'!C5</f>
        <v>1284077</v>
      </c>
      <c r="I199" s="1">
        <f>'1_Departamento_n'!H5</f>
        <v>1312</v>
      </c>
      <c r="J199" s="1">
        <f>'0_Parametros'!B7</f>
        <v>10</v>
      </c>
      <c r="K199" s="3">
        <f>(I199-SUM($J$170:$J$225))*G199/H199</f>
        <v>16.158245961885463</v>
      </c>
      <c r="L199" s="1">
        <f>INT(K199)</f>
        <v>16</v>
      </c>
      <c r="M199" s="3">
        <f>K199-L199</f>
        <v>0.1582459618854628</v>
      </c>
      <c r="N199" s="1">
        <f>COUNTIF($M$170:$M$225,"&gt;"&amp;M199)+COUNTIF($M$170:M199,M199)</f>
        <v>44</v>
      </c>
      <c r="O199" s="1">
        <f>J199+L199+IF(N199&lt;=I199-SUM($J$170:$J$225)-SUM($L$170:$L$225),1,0)</f>
        <v>26</v>
      </c>
    </row>
    <row r="200" spans="1:15">
      <c r="A200" s="1" t="s">
        <v>51</v>
      </c>
      <c r="B200" s="1" t="s">
        <v>54</v>
      </c>
      <c r="C200" s="1" t="s">
        <v>50</v>
      </c>
      <c r="D200" s="1" t="s">
        <v>39</v>
      </c>
      <c r="E200" s="1" t="s">
        <v>43</v>
      </c>
      <c r="F200" s="1" t="s">
        <v>41</v>
      </c>
      <c r="G200" s="1">
        <v>66057</v>
      </c>
      <c r="H200" s="1">
        <f>'1_Departamento_n'!C5</f>
        <v>1284077</v>
      </c>
      <c r="I200" s="1">
        <f>'1_Departamento_n'!H5</f>
        <v>1312</v>
      </c>
      <c r="J200" s="1">
        <f>'0_Parametros'!B7</f>
        <v>10</v>
      </c>
      <c r="K200" s="3">
        <f>(I200-SUM($J$170:$J$225))*G200/H200</f>
        <v>38.68526887406285</v>
      </c>
      <c r="L200" s="1">
        <f>INT(K200)</f>
        <v>38</v>
      </c>
      <c r="M200" s="3">
        <f>K200-L200</f>
        <v>0.6852688740628494</v>
      </c>
      <c r="N200" s="1">
        <f>COUNTIF($M$170:$M$225,"&gt;"&amp;M200)+COUNTIF($M$170:M200,M200)</f>
        <v>14</v>
      </c>
      <c r="O200" s="1">
        <f>J200+L200+IF(N200&lt;=I200-SUM($J$170:$J$225)-SUM($L$170:$L$225),1,0)</f>
        <v>49</v>
      </c>
    </row>
    <row r="201" spans="1:15">
      <c r="A201" s="1" t="s">
        <v>51</v>
      </c>
      <c r="B201" s="1" t="s">
        <v>54</v>
      </c>
      <c r="C201" s="1" t="s">
        <v>50</v>
      </c>
      <c r="D201" s="1" t="s">
        <v>39</v>
      </c>
      <c r="E201" s="1" t="s">
        <v>43</v>
      </c>
      <c r="F201" s="1" t="s">
        <v>42</v>
      </c>
      <c r="G201" s="1">
        <v>29079</v>
      </c>
      <c r="H201" s="1">
        <f>'1_Departamento_n'!C5</f>
        <v>1284077</v>
      </c>
      <c r="I201" s="1">
        <f>'1_Departamento_n'!H5</f>
        <v>1312</v>
      </c>
      <c r="J201" s="1">
        <f>'0_Parametros'!B7</f>
        <v>10</v>
      </c>
      <c r="K201" s="3">
        <f>(I201-SUM($J$170:$J$225))*G201/H201</f>
        <v>17.029670339084028</v>
      </c>
      <c r="L201" s="1">
        <f>INT(K201)</f>
        <v>17</v>
      </c>
      <c r="M201" s="3">
        <f>K201-L201</f>
        <v>0.02967033908402783</v>
      </c>
      <c r="N201" s="1">
        <f>COUNTIF($M$170:$M$225,"&gt;"&amp;M201)+COUNTIF($M$170:M201,M201)</f>
        <v>54</v>
      </c>
      <c r="O201" s="1">
        <f>J201+L201+IF(N201&lt;=I201-SUM($J$170:$J$225)-SUM($L$170:$L$225),1,0)</f>
        <v>27</v>
      </c>
    </row>
    <row r="202" spans="1:15">
      <c r="A202" s="1" t="s">
        <v>51</v>
      </c>
      <c r="B202" s="1" t="s">
        <v>54</v>
      </c>
      <c r="C202" s="1" t="s">
        <v>50</v>
      </c>
      <c r="D202" s="1" t="s">
        <v>39</v>
      </c>
      <c r="E202" s="1" t="s">
        <v>44</v>
      </c>
      <c r="F202" s="1" t="s">
        <v>41</v>
      </c>
      <c r="G202" s="1">
        <v>58620</v>
      </c>
      <c r="H202" s="1">
        <f>'1_Departamento_n'!C5</f>
        <v>1284077</v>
      </c>
      <c r="I202" s="1">
        <f>'1_Departamento_n'!H5</f>
        <v>1312</v>
      </c>
      <c r="J202" s="1">
        <f>'0_Parametros'!B7</f>
        <v>10</v>
      </c>
      <c r="K202" s="3">
        <f>(I202-SUM($J$170:$J$225))*G202/H202</f>
        <v>34.329903892056315</v>
      </c>
      <c r="L202" s="1">
        <f>INT(K202)</f>
        <v>34</v>
      </c>
      <c r="M202" s="3">
        <f>K202-L202</f>
        <v>0.3299038920563149</v>
      </c>
      <c r="N202" s="1">
        <f>COUNTIF($M$170:$M$225,"&gt;"&amp;M202)+COUNTIF($M$170:M202,M202)</f>
        <v>34</v>
      </c>
      <c r="O202" s="1">
        <f>J202+L202+IF(N202&lt;=I202-SUM($J$170:$J$225)-SUM($L$170:$L$225),1,0)</f>
        <v>44</v>
      </c>
    </row>
    <row r="203" spans="1:15">
      <c r="A203" s="1" t="s">
        <v>51</v>
      </c>
      <c r="B203" s="1" t="s">
        <v>54</v>
      </c>
      <c r="C203" s="1" t="s">
        <v>50</v>
      </c>
      <c r="D203" s="1" t="s">
        <v>39</v>
      </c>
      <c r="E203" s="1" t="s">
        <v>44</v>
      </c>
      <c r="F203" s="1" t="s">
        <v>42</v>
      </c>
      <c r="G203" s="1">
        <v>24989</v>
      </c>
      <c r="H203" s="1">
        <f>'1_Departamento_n'!C5</f>
        <v>1284077</v>
      </c>
      <c r="I203" s="1">
        <f>'1_Departamento_n'!H5</f>
        <v>1312</v>
      </c>
      <c r="J203" s="1">
        <f>'0_Parametros'!B7</f>
        <v>10</v>
      </c>
      <c r="K203" s="3">
        <f>(I203-SUM($J$170:$J$225))*G203/H203</f>
        <v>14.634424571112168</v>
      </c>
      <c r="L203" s="1">
        <f>INT(K203)</f>
        <v>14</v>
      </c>
      <c r="M203" s="3">
        <f>K203-L203</f>
        <v>0.6344245711121683</v>
      </c>
      <c r="N203" s="1">
        <f>COUNTIF($M$170:$M$225,"&gt;"&amp;M203)+COUNTIF($M$170:M203,M203)</f>
        <v>18</v>
      </c>
      <c r="O203" s="1">
        <f>J203+L203+IF(N203&lt;=I203-SUM($J$170:$J$225)-SUM($L$170:$L$225),1,0)</f>
        <v>25</v>
      </c>
    </row>
    <row r="204" spans="1:15">
      <c r="A204" s="1" t="s">
        <v>51</v>
      </c>
      <c r="B204" s="1" t="s">
        <v>54</v>
      </c>
      <c r="C204" s="1" t="s">
        <v>50</v>
      </c>
      <c r="D204" s="1" t="s">
        <v>39</v>
      </c>
      <c r="E204" s="1" t="s">
        <v>45</v>
      </c>
      <c r="F204" s="1" t="s">
        <v>41</v>
      </c>
      <c r="G204" s="1">
        <v>51649</v>
      </c>
      <c r="H204" s="1">
        <f>'1_Departamento_n'!C5</f>
        <v>1284077</v>
      </c>
      <c r="I204" s="1">
        <f>'1_Departamento_n'!H5</f>
        <v>1312</v>
      </c>
      <c r="J204" s="1">
        <f>'0_Parametros'!B7</f>
        <v>10</v>
      </c>
      <c r="K204" s="3">
        <f>(I204-SUM($J$170:$J$225))*G204/H204</f>
        <v>30.247444662586435</v>
      </c>
      <c r="L204" s="1">
        <f>INT(K204)</f>
        <v>30</v>
      </c>
      <c r="M204" s="3">
        <f>K204-L204</f>
        <v>0.24744466258643527</v>
      </c>
      <c r="N204" s="1">
        <f>COUNTIF($M$170:$M$225,"&gt;"&amp;M204)+COUNTIF($M$170:M204,M204)</f>
        <v>42</v>
      </c>
      <c r="O204" s="1">
        <f>J204+L204+IF(N204&lt;=I204-SUM($J$170:$J$225)-SUM($L$170:$L$225),1,0)</f>
        <v>40</v>
      </c>
    </row>
    <row r="205" spans="1:15">
      <c r="A205" s="1" t="s">
        <v>51</v>
      </c>
      <c r="B205" s="1" t="s">
        <v>54</v>
      </c>
      <c r="C205" s="1" t="s">
        <v>50</v>
      </c>
      <c r="D205" s="1" t="s">
        <v>39</v>
      </c>
      <c r="E205" s="1" t="s">
        <v>45</v>
      </c>
      <c r="F205" s="1" t="s">
        <v>42</v>
      </c>
      <c r="G205" s="1">
        <v>18258</v>
      </c>
      <c r="H205" s="1">
        <f>'1_Departamento_n'!C5</f>
        <v>1284077</v>
      </c>
      <c r="I205" s="1">
        <f>'1_Departamento_n'!H5</f>
        <v>1312</v>
      </c>
      <c r="J205" s="1">
        <f>'0_Parametros'!B7</f>
        <v>10</v>
      </c>
      <c r="K205" s="3">
        <f>(I205-SUM($J$170:$J$225))*G205/H205</f>
        <v>10.69251766054528</v>
      </c>
      <c r="L205" s="1">
        <f>INT(K205)</f>
        <v>10</v>
      </c>
      <c r="M205" s="3">
        <f>K205-L205</f>
        <v>0.6925176605452794</v>
      </c>
      <c r="N205" s="1">
        <f>COUNTIF($M$170:$M$225,"&gt;"&amp;M205)+COUNTIF($M$170:M205,M205)</f>
        <v>13</v>
      </c>
      <c r="O205" s="1">
        <f>J205+L205+IF(N205&lt;=I205-SUM($J$170:$J$225)-SUM($L$170:$L$225),1,0)</f>
        <v>21</v>
      </c>
    </row>
    <row r="206" spans="1:15">
      <c r="A206" s="1" t="s">
        <v>51</v>
      </c>
      <c r="B206" s="1" t="s">
        <v>54</v>
      </c>
      <c r="C206" s="1" t="s">
        <v>50</v>
      </c>
      <c r="D206" s="1" t="s">
        <v>39</v>
      </c>
      <c r="E206" s="1" t="s">
        <v>46</v>
      </c>
      <c r="F206" s="1" t="s">
        <v>41</v>
      </c>
      <c r="G206" s="1">
        <v>43218</v>
      </c>
      <c r="H206" s="1">
        <f>'1_Departamento_n'!C5</f>
        <v>1284077</v>
      </c>
      <c r="I206" s="1">
        <f>'1_Departamento_n'!H5</f>
        <v>1312</v>
      </c>
      <c r="J206" s="1">
        <f>'0_Parametros'!B7</f>
        <v>10</v>
      </c>
      <c r="K206" s="3">
        <f>(I206-SUM($J$170:$J$225))*G206/H206</f>
        <v>25.30995882645667</v>
      </c>
      <c r="L206" s="1">
        <f>INT(K206)</f>
        <v>25</v>
      </c>
      <c r="M206" s="3">
        <f>K206-L206</f>
        <v>0.3099588264566684</v>
      </c>
      <c r="N206" s="1">
        <f>COUNTIF($M$170:$M$225,"&gt;"&amp;M206)+COUNTIF($M$170:M206,M206)</f>
        <v>38</v>
      </c>
      <c r="O206" s="1">
        <f>J206+L206+IF(N206&lt;=I206-SUM($J$170:$J$225)-SUM($L$170:$L$225),1,0)</f>
        <v>35</v>
      </c>
    </row>
    <row r="207" spans="1:15">
      <c r="A207" s="1" t="s">
        <v>51</v>
      </c>
      <c r="B207" s="1" t="s">
        <v>54</v>
      </c>
      <c r="C207" s="1" t="s">
        <v>50</v>
      </c>
      <c r="D207" s="1" t="s">
        <v>39</v>
      </c>
      <c r="E207" s="1" t="s">
        <v>46</v>
      </c>
      <c r="F207" s="1" t="s">
        <v>42</v>
      </c>
      <c r="G207" s="1">
        <v>14690</v>
      </c>
      <c r="H207" s="1">
        <f>'1_Departamento_n'!C5</f>
        <v>1284077</v>
      </c>
      <c r="I207" s="1">
        <f>'1_Departamento_n'!H5</f>
        <v>1312</v>
      </c>
      <c r="J207" s="1">
        <f>'0_Parametros'!B7</f>
        <v>10</v>
      </c>
      <c r="K207" s="3">
        <f>(I207-SUM($J$170:$J$225))*G207/H207</f>
        <v>8.602973186187432</v>
      </c>
      <c r="L207" s="1">
        <f>INT(K207)</f>
        <v>8</v>
      </c>
      <c r="M207" s="3">
        <f>K207-L207</f>
        <v>0.6029731861874321</v>
      </c>
      <c r="N207" s="1">
        <f>COUNTIF($M$170:$M$225,"&gt;"&amp;M207)+COUNTIF($M$170:M207,M207)</f>
        <v>21</v>
      </c>
      <c r="O207" s="1">
        <f>J207+L207+IF(N207&lt;=I207-SUM($J$170:$J$225)-SUM($L$170:$L$225),1,0)</f>
        <v>19</v>
      </c>
    </row>
    <row r="208" spans="1:15">
      <c r="A208" s="1" t="s">
        <v>51</v>
      </c>
      <c r="B208" s="1" t="s">
        <v>54</v>
      </c>
      <c r="C208" s="1" t="s">
        <v>50</v>
      </c>
      <c r="D208" s="1" t="s">
        <v>39</v>
      </c>
      <c r="E208" s="1" t="s">
        <v>47</v>
      </c>
      <c r="F208" s="1" t="s">
        <v>41</v>
      </c>
      <c r="G208" s="1">
        <v>36607</v>
      </c>
      <c r="H208" s="1">
        <f>'1_Departamento_n'!C5</f>
        <v>1284077</v>
      </c>
      <c r="I208" s="1">
        <f>'1_Departamento_n'!H5</f>
        <v>1312</v>
      </c>
      <c r="J208" s="1">
        <f>'0_Parametros'!B7</f>
        <v>10</v>
      </c>
      <c r="K208" s="3">
        <f>(I208-SUM($J$170:$J$225))*G208/H208</f>
        <v>21.438328075341275</v>
      </c>
      <c r="L208" s="1">
        <f>INT(K208)</f>
        <v>21</v>
      </c>
      <c r="M208" s="3">
        <f>K208-L208</f>
        <v>0.4383280753412748</v>
      </c>
      <c r="N208" s="1">
        <f>COUNTIF($M$170:$M$225,"&gt;"&amp;M208)+COUNTIF($M$170:M208,M208)</f>
        <v>31</v>
      </c>
      <c r="O208" s="1">
        <f>J208+L208+IF(N208&lt;=I208-SUM($J$170:$J$225)-SUM($L$170:$L$225),1,0)</f>
        <v>31</v>
      </c>
    </row>
    <row r="209" spans="1:15">
      <c r="A209" s="1" t="s">
        <v>51</v>
      </c>
      <c r="B209" s="1" t="s">
        <v>54</v>
      </c>
      <c r="C209" s="1" t="s">
        <v>50</v>
      </c>
      <c r="D209" s="1" t="s">
        <v>39</v>
      </c>
      <c r="E209" s="1" t="s">
        <v>47</v>
      </c>
      <c r="F209" s="1" t="s">
        <v>42</v>
      </c>
      <c r="G209" s="1">
        <v>11023</v>
      </c>
      <c r="H209" s="1">
        <f>'1_Departamento_n'!C5</f>
        <v>1284077</v>
      </c>
      <c r="I209" s="1">
        <f>'1_Departamento_n'!H5</f>
        <v>1312</v>
      </c>
      <c r="J209" s="1">
        <f>'0_Parametros'!B7</f>
        <v>10</v>
      </c>
      <c r="K209" s="3">
        <f>(I209-SUM($J$170:$J$225))*G209/H209</f>
        <v>6.455450880282101</v>
      </c>
      <c r="L209" s="1">
        <f>INT(K209)</f>
        <v>6</v>
      </c>
      <c r="M209" s="3">
        <f>K209-L209</f>
        <v>0.45545088028210134</v>
      </c>
      <c r="N209" s="1">
        <f>COUNTIF($M$170:$M$225,"&gt;"&amp;M209)+COUNTIF($M$170:M209,M209)</f>
        <v>30</v>
      </c>
      <c r="O209" s="1">
        <f>J209+L209+IF(N209&lt;=I209-SUM($J$170:$J$225)-SUM($L$170:$L$225),1,0)</f>
        <v>16</v>
      </c>
    </row>
    <row r="210" spans="1:15">
      <c r="A210" s="1" t="s">
        <v>51</v>
      </c>
      <c r="B210" s="1" t="s">
        <v>54</v>
      </c>
      <c r="C210" s="1" t="s">
        <v>50</v>
      </c>
      <c r="D210" s="1" t="s">
        <v>39</v>
      </c>
      <c r="E210" s="1" t="s">
        <v>48</v>
      </c>
      <c r="F210" s="1" t="s">
        <v>41</v>
      </c>
      <c r="G210" s="1">
        <v>48880</v>
      </c>
      <c r="H210" s="1">
        <f>'1_Departamento_n'!C5</f>
        <v>1284077</v>
      </c>
      <c r="I210" s="1">
        <f>'1_Departamento_n'!H5</f>
        <v>1312</v>
      </c>
      <c r="J210" s="1">
        <f>'0_Parametros'!B7</f>
        <v>10</v>
      </c>
      <c r="K210" s="3">
        <f>(I210-SUM($J$170:$J$225))*G210/H210</f>
        <v>28.62582228324314</v>
      </c>
      <c r="L210" s="1">
        <f>INT(K210)</f>
        <v>28</v>
      </c>
      <c r="M210" s="3">
        <f>K210-L210</f>
        <v>0.6258222832431386</v>
      </c>
      <c r="N210" s="1">
        <f>COUNTIF($M$170:$M$225,"&gt;"&amp;M210)+COUNTIF($M$170:M210,M210)</f>
        <v>19</v>
      </c>
      <c r="O210" s="1">
        <f>J210+L210+IF(N210&lt;=I210-SUM($J$170:$J$225)-SUM($L$170:$L$225),1,0)</f>
        <v>39</v>
      </c>
    </row>
    <row r="211" spans="1:15">
      <c r="A211" s="1" t="s">
        <v>51</v>
      </c>
      <c r="B211" s="1" t="s">
        <v>54</v>
      </c>
      <c r="C211" s="1" t="s">
        <v>50</v>
      </c>
      <c r="D211" s="1" t="s">
        <v>39</v>
      </c>
      <c r="E211" s="1" t="s">
        <v>48</v>
      </c>
      <c r="F211" s="1" t="s">
        <v>42</v>
      </c>
      <c r="G211" s="1">
        <v>14482</v>
      </c>
      <c r="H211" s="1">
        <f>'1_Departamento_n'!C5</f>
        <v>1284077</v>
      </c>
      <c r="I211" s="1">
        <f>'1_Departamento_n'!H5</f>
        <v>1312</v>
      </c>
      <c r="J211" s="1">
        <f>'0_Parametros'!B7</f>
        <v>10</v>
      </c>
      <c r="K211" s="3">
        <f>(I211-SUM($J$170:$J$225))*G211/H211</f>
        <v>8.481161176471504</v>
      </c>
      <c r="L211" s="1">
        <f>INT(K211)</f>
        <v>8</v>
      </c>
      <c r="M211" s="3">
        <f>K211-L211</f>
        <v>0.48116117647150425</v>
      </c>
      <c r="N211" s="1">
        <f>COUNTIF($M$170:$M$225,"&gt;"&amp;M211)+COUNTIF($M$170:M211,M211)</f>
        <v>28</v>
      </c>
      <c r="O211" s="1">
        <f>J211+L211+IF(N211&lt;=I211-SUM($J$170:$J$225)-SUM($L$170:$L$225),1,0)</f>
        <v>18</v>
      </c>
    </row>
    <row r="212" spans="1:15">
      <c r="A212" s="1" t="s">
        <v>51</v>
      </c>
      <c r="B212" s="1" t="s">
        <v>54</v>
      </c>
      <c r="C212" s="1" t="s">
        <v>50</v>
      </c>
      <c r="D212" s="1" t="s">
        <v>49</v>
      </c>
      <c r="E212" s="1" t="s">
        <v>40</v>
      </c>
      <c r="F212" s="1" t="s">
        <v>41</v>
      </c>
      <c r="G212" s="1">
        <v>55516</v>
      </c>
      <c r="H212" s="1">
        <f>'1_Departamento_n'!C5</f>
        <v>1284077</v>
      </c>
      <c r="I212" s="1">
        <f>'1_Departamento_n'!H5</f>
        <v>1312</v>
      </c>
      <c r="J212" s="1">
        <f>'0_Parametros'!B7</f>
        <v>10</v>
      </c>
      <c r="K212" s="3">
        <f>(I212-SUM($J$170:$J$225))*G212/H212</f>
        <v>32.512093900910926</v>
      </c>
      <c r="L212" s="1">
        <f>INT(K212)</f>
        <v>32</v>
      </c>
      <c r="M212" s="3">
        <f>K212-L212</f>
        <v>0.5120939009109264</v>
      </c>
      <c r="N212" s="1">
        <f>COUNTIF($M$170:$M$225,"&gt;"&amp;M212)+COUNTIF($M$170:M212,M212)</f>
        <v>26</v>
      </c>
      <c r="O212" s="1">
        <f>J212+L212+IF(N212&lt;=I212-SUM($J$170:$J$225)-SUM($L$170:$L$225),1,0)</f>
        <v>43</v>
      </c>
    </row>
    <row r="213" spans="1:15">
      <c r="A213" s="1" t="s">
        <v>51</v>
      </c>
      <c r="B213" s="1" t="s">
        <v>54</v>
      </c>
      <c r="C213" s="1" t="s">
        <v>50</v>
      </c>
      <c r="D213" s="1" t="s">
        <v>49</v>
      </c>
      <c r="E213" s="1" t="s">
        <v>40</v>
      </c>
      <c r="F213" s="1" t="s">
        <v>42</v>
      </c>
      <c r="G213" s="1">
        <v>29209</v>
      </c>
      <c r="H213" s="1">
        <f>'1_Departamento_n'!C5</f>
        <v>1284077</v>
      </c>
      <c r="I213" s="1">
        <f>'1_Departamento_n'!H5</f>
        <v>1312</v>
      </c>
      <c r="J213" s="1">
        <f>'0_Parametros'!B7</f>
        <v>10</v>
      </c>
      <c r="K213" s="3">
        <f>(I213-SUM($J$170:$J$225))*G213/H213</f>
        <v>17.105802845156482</v>
      </c>
      <c r="L213" s="1">
        <f>INT(K213)</f>
        <v>17</v>
      </c>
      <c r="M213" s="3">
        <f>K213-L213</f>
        <v>0.1058028451564823</v>
      </c>
      <c r="N213" s="1">
        <f>COUNTIF($M$170:$M$225,"&gt;"&amp;M213)+COUNTIF($M$170:M213,M213)</f>
        <v>47</v>
      </c>
      <c r="O213" s="1">
        <f>J213+L213+IF(N213&lt;=I213-SUM($J$170:$J$225)-SUM($L$170:$L$225),1,0)</f>
        <v>27</v>
      </c>
    </row>
    <row r="214" spans="1:15">
      <c r="A214" s="1" t="s">
        <v>51</v>
      </c>
      <c r="B214" s="1" t="s">
        <v>54</v>
      </c>
      <c r="C214" s="1" t="s">
        <v>50</v>
      </c>
      <c r="D214" s="1" t="s">
        <v>49</v>
      </c>
      <c r="E214" s="1" t="s">
        <v>43</v>
      </c>
      <c r="F214" s="1" t="s">
        <v>41</v>
      </c>
      <c r="G214" s="1">
        <v>67127</v>
      </c>
      <c r="H214" s="1">
        <f>'1_Departamento_n'!C5</f>
        <v>1284077</v>
      </c>
      <c r="I214" s="1">
        <f>'1_Departamento_n'!H5</f>
        <v>1312</v>
      </c>
      <c r="J214" s="1">
        <f>'0_Parametros'!B7</f>
        <v>10</v>
      </c>
      <c r="K214" s="3">
        <f>(I214-SUM($J$170:$J$225))*G214/H214</f>
        <v>39.31189796250536</v>
      </c>
      <c r="L214" s="1">
        <f>INT(K214)</f>
        <v>39</v>
      </c>
      <c r="M214" s="3">
        <f>K214-L214</f>
        <v>0.3118979625053626</v>
      </c>
      <c r="N214" s="1">
        <f>COUNTIF($M$170:$M$225,"&gt;"&amp;M214)+COUNTIF($M$170:M214,M214)</f>
        <v>36</v>
      </c>
      <c r="O214" s="1">
        <f>J214+L214+IF(N214&lt;=I214-SUM($J$170:$J$225)-SUM($L$170:$L$225),1,0)</f>
        <v>49</v>
      </c>
    </row>
    <row r="215" spans="1:15">
      <c r="A215" s="1" t="s">
        <v>51</v>
      </c>
      <c r="B215" s="1" t="s">
        <v>54</v>
      </c>
      <c r="C215" s="1" t="s">
        <v>50</v>
      </c>
      <c r="D215" s="1" t="s">
        <v>49</v>
      </c>
      <c r="E215" s="1" t="s">
        <v>43</v>
      </c>
      <c r="F215" s="1" t="s">
        <v>42</v>
      </c>
      <c r="G215" s="1">
        <v>28539</v>
      </c>
      <c r="H215" s="1">
        <f>'1_Departamento_n'!C5</f>
        <v>1284077</v>
      </c>
      <c r="I215" s="1">
        <f>'1_Departamento_n'!H5</f>
        <v>1312</v>
      </c>
      <c r="J215" s="1">
        <f>'0_Parametros'!B7</f>
        <v>10</v>
      </c>
      <c r="K215" s="3">
        <f>(I215-SUM($J$170:$J$225))*G215/H215</f>
        <v>16.71342762155229</v>
      </c>
      <c r="L215" s="1">
        <f>INT(K215)</f>
        <v>16</v>
      </c>
      <c r="M215" s="3">
        <f>K215-L215</f>
        <v>0.7134276215522917</v>
      </c>
      <c r="N215" s="1">
        <f>COUNTIF($M$170:$M$225,"&gt;"&amp;M215)+COUNTIF($M$170:M215,M215)</f>
        <v>10</v>
      </c>
      <c r="O215" s="1">
        <f>J215+L215+IF(N215&lt;=I215-SUM($J$170:$J$225)-SUM($L$170:$L$225),1,0)</f>
        <v>27</v>
      </c>
    </row>
    <row r="216" spans="1:15">
      <c r="A216" s="1" t="s">
        <v>51</v>
      </c>
      <c r="B216" s="1" t="s">
        <v>54</v>
      </c>
      <c r="C216" s="1" t="s">
        <v>50</v>
      </c>
      <c r="D216" s="1" t="s">
        <v>49</v>
      </c>
      <c r="E216" s="1" t="s">
        <v>44</v>
      </c>
      <c r="F216" s="1" t="s">
        <v>41</v>
      </c>
      <c r="G216" s="1">
        <v>46349</v>
      </c>
      <c r="H216" s="1">
        <f>'1_Departamento_n'!C5</f>
        <v>1284077</v>
      </c>
      <c r="I216" s="1">
        <f>'1_Departamento_n'!H5</f>
        <v>1312</v>
      </c>
      <c r="J216" s="1">
        <f>'0_Parametros'!B7</f>
        <v>10</v>
      </c>
      <c r="K216" s="3">
        <f>(I216-SUM($J$170:$J$225))*G216/H216</f>
        <v>27.143580953478647</v>
      </c>
      <c r="L216" s="1">
        <f>INT(K216)</f>
        <v>27</v>
      </c>
      <c r="M216" s="3">
        <f>K216-L216</f>
        <v>0.1435809534786472</v>
      </c>
      <c r="N216" s="1">
        <f>COUNTIF($M$170:$M$225,"&gt;"&amp;M216)+COUNTIF($M$170:M216,M216)</f>
        <v>45</v>
      </c>
      <c r="O216" s="1">
        <f>J216+L216+IF(N216&lt;=I216-SUM($J$170:$J$225)-SUM($L$170:$L$225),1,0)</f>
        <v>37</v>
      </c>
    </row>
    <row r="217" spans="1:15">
      <c r="A217" s="1" t="s">
        <v>51</v>
      </c>
      <c r="B217" s="1" t="s">
        <v>54</v>
      </c>
      <c r="C217" s="1" t="s">
        <v>50</v>
      </c>
      <c r="D217" s="1" t="s">
        <v>49</v>
      </c>
      <c r="E217" s="1" t="s">
        <v>44</v>
      </c>
      <c r="F217" s="1" t="s">
        <v>42</v>
      </c>
      <c r="G217" s="1">
        <v>19474</v>
      </c>
      <c r="H217" s="1">
        <f>'1_Departamento_n'!C5</f>
        <v>1284077</v>
      </c>
      <c r="I217" s="1">
        <f>'1_Departamento_n'!H5</f>
        <v>1312</v>
      </c>
      <c r="J217" s="1">
        <f>'0_Parametros'!B7</f>
        <v>10</v>
      </c>
      <c r="K217" s="3">
        <f>(I217-SUM($J$170:$J$225))*G217/H217</f>
        <v>11.404649409653782</v>
      </c>
      <c r="L217" s="1">
        <f>INT(K217)</f>
        <v>11</v>
      </c>
      <c r="M217" s="3">
        <f>K217-L217</f>
        <v>0.40464940965378204</v>
      </c>
      <c r="N217" s="1">
        <f>COUNTIF($M$170:$M$225,"&gt;"&amp;M217)+COUNTIF($M$170:M217,M217)</f>
        <v>32</v>
      </c>
      <c r="O217" s="1">
        <f>J217+L217+IF(N217&lt;=I217-SUM($J$170:$J$225)-SUM($L$170:$L$225),1,0)</f>
        <v>21</v>
      </c>
    </row>
    <row r="218" spans="1:15">
      <c r="A218" s="1" t="s">
        <v>51</v>
      </c>
      <c r="B218" s="1" t="s">
        <v>54</v>
      </c>
      <c r="C218" s="1" t="s">
        <v>50</v>
      </c>
      <c r="D218" s="1" t="s">
        <v>49</v>
      </c>
      <c r="E218" s="1" t="s">
        <v>45</v>
      </c>
      <c r="F218" s="1" t="s">
        <v>41</v>
      </c>
      <c r="G218" s="1">
        <v>39790</v>
      </c>
      <c r="H218" s="1">
        <f>'1_Departamento_n'!C5</f>
        <v>1284077</v>
      </c>
      <c r="I218" s="1">
        <f>'1_Departamento_n'!H5</f>
        <v>1312</v>
      </c>
      <c r="J218" s="1">
        <f>'0_Parametros'!B7</f>
        <v>10</v>
      </c>
      <c r="K218" s="3">
        <f>(I218-SUM($J$170:$J$225))*G218/H218</f>
        <v>23.302403204792235</v>
      </c>
      <c r="L218" s="1">
        <f>INT(K218)</f>
        <v>23</v>
      </c>
      <c r="M218" s="3">
        <f>K218-L218</f>
        <v>0.3024032047922347</v>
      </c>
      <c r="N218" s="1">
        <f>COUNTIF($M$170:$M$225,"&gt;"&amp;M218)+COUNTIF($M$170:M218,M218)</f>
        <v>39</v>
      </c>
      <c r="O218" s="1">
        <f>J218+L218+IF(N218&lt;=I218-SUM($J$170:$J$225)-SUM($L$170:$L$225),1,0)</f>
        <v>33</v>
      </c>
    </row>
    <row r="219" spans="1:15">
      <c r="A219" s="1" t="s">
        <v>51</v>
      </c>
      <c r="B219" s="1" t="s">
        <v>54</v>
      </c>
      <c r="C219" s="1" t="s">
        <v>50</v>
      </c>
      <c r="D219" s="1" t="s">
        <v>49</v>
      </c>
      <c r="E219" s="1" t="s">
        <v>45</v>
      </c>
      <c r="F219" s="1" t="s">
        <v>42</v>
      </c>
      <c r="G219" s="1">
        <v>15488</v>
      </c>
      <c r="H219" s="1">
        <f>'1_Departamento_n'!C5</f>
        <v>1284077</v>
      </c>
      <c r="I219" s="1">
        <f>'1_Departamento_n'!H5</f>
        <v>1312</v>
      </c>
      <c r="J219" s="1">
        <f>'0_Parametros'!B7</f>
        <v>10</v>
      </c>
      <c r="K219" s="3">
        <f>(I219-SUM($J$170:$J$225))*G219/H219</f>
        <v>9.070309646539888</v>
      </c>
      <c r="L219" s="1">
        <f>INT(K219)</f>
        <v>9</v>
      </c>
      <c r="M219" s="3">
        <f>K219-L219</f>
        <v>0.07030964653988825</v>
      </c>
      <c r="N219" s="1">
        <f>COUNTIF($M$170:$M$225,"&gt;"&amp;M219)+COUNTIF($M$170:M219,M219)</f>
        <v>52</v>
      </c>
      <c r="O219" s="1">
        <f>J219+L219+IF(N219&lt;=I219-SUM($J$170:$J$225)-SUM($L$170:$L$225),1,0)</f>
        <v>19</v>
      </c>
    </row>
    <row r="220" spans="1:15">
      <c r="A220" s="1" t="s">
        <v>51</v>
      </c>
      <c r="B220" s="1" t="s">
        <v>54</v>
      </c>
      <c r="C220" s="1" t="s">
        <v>50</v>
      </c>
      <c r="D220" s="1" t="s">
        <v>49</v>
      </c>
      <c r="E220" s="1" t="s">
        <v>46</v>
      </c>
      <c r="F220" s="1" t="s">
        <v>41</v>
      </c>
      <c r="G220" s="1">
        <v>35491</v>
      </c>
      <c r="H220" s="1">
        <f>'1_Departamento_n'!C5</f>
        <v>1284077</v>
      </c>
      <c r="I220" s="1">
        <f>'1_Departamento_n'!H5</f>
        <v>1312</v>
      </c>
      <c r="J220" s="1">
        <f>'0_Parametros'!B7</f>
        <v>10</v>
      </c>
      <c r="K220" s="3">
        <f>(I220-SUM($J$170:$J$225))*G220/H220</f>
        <v>20.784759792442355</v>
      </c>
      <c r="L220" s="1">
        <f>INT(K220)</f>
        <v>20</v>
      </c>
      <c r="M220" s="3">
        <f>K220-L220</f>
        <v>0.7847597924423546</v>
      </c>
      <c r="N220" s="1">
        <f>COUNTIF($M$170:$M$225,"&gt;"&amp;M220)+COUNTIF($M$170:M220,M220)</f>
        <v>9</v>
      </c>
      <c r="O220" s="1">
        <f>J220+L220+IF(N220&lt;=I220-SUM($J$170:$J$225)-SUM($L$170:$L$225),1,0)</f>
        <v>31</v>
      </c>
    </row>
    <row r="221" spans="1:15">
      <c r="A221" s="1" t="s">
        <v>51</v>
      </c>
      <c r="B221" s="1" t="s">
        <v>54</v>
      </c>
      <c r="C221" s="1" t="s">
        <v>50</v>
      </c>
      <c r="D221" s="1" t="s">
        <v>49</v>
      </c>
      <c r="E221" s="1" t="s">
        <v>46</v>
      </c>
      <c r="F221" s="1" t="s">
        <v>42</v>
      </c>
      <c r="G221" s="1">
        <v>13444</v>
      </c>
      <c r="H221" s="1">
        <f>'1_Departamento_n'!C5</f>
        <v>1284077</v>
      </c>
      <c r="I221" s="1">
        <f>'1_Departamento_n'!H5</f>
        <v>1312</v>
      </c>
      <c r="J221" s="1">
        <f>'0_Parametros'!B7</f>
        <v>10</v>
      </c>
      <c r="K221" s="3">
        <f>(I221-SUM($J$170:$J$225))*G221/H221</f>
        <v>7.873272397216055</v>
      </c>
      <c r="L221" s="1">
        <f>INT(K221)</f>
        <v>7</v>
      </c>
      <c r="M221" s="3">
        <f>K221-L221</f>
        <v>0.8732723972160548</v>
      </c>
      <c r="N221" s="1">
        <f>COUNTIF($M$170:$M$225,"&gt;"&amp;M221)+COUNTIF($M$170:M221,M221)</f>
        <v>7</v>
      </c>
      <c r="O221" s="1">
        <f>J221+L221+IF(N221&lt;=I221-SUM($J$170:$J$225)-SUM($L$170:$L$225),1,0)</f>
        <v>18</v>
      </c>
    </row>
    <row r="222" spans="1:15">
      <c r="A222" s="1" t="s">
        <v>51</v>
      </c>
      <c r="B222" s="1" t="s">
        <v>54</v>
      </c>
      <c r="C222" s="1" t="s">
        <v>50</v>
      </c>
      <c r="D222" s="1" t="s">
        <v>49</v>
      </c>
      <c r="E222" s="1" t="s">
        <v>47</v>
      </c>
      <c r="F222" s="1" t="s">
        <v>41</v>
      </c>
      <c r="G222" s="1">
        <v>31287</v>
      </c>
      <c r="H222" s="1">
        <f>'1_Departamento_n'!C5</f>
        <v>1284077</v>
      </c>
      <c r="I222" s="1">
        <f>'1_Departamento_n'!H5</f>
        <v>1312</v>
      </c>
      <c r="J222" s="1">
        <f>'0_Parametros'!B7</f>
        <v>10</v>
      </c>
      <c r="K222" s="3">
        <f>(I222-SUM($J$170:$J$225))*G222/H222</f>
        <v>18.322751672991572</v>
      </c>
      <c r="L222" s="1">
        <f>INT(K222)</f>
        <v>18</v>
      </c>
      <c r="M222" s="3">
        <f>K222-L222</f>
        <v>0.32275167299157204</v>
      </c>
      <c r="N222" s="1">
        <f>COUNTIF($M$170:$M$225,"&gt;"&amp;M222)+COUNTIF($M$170:M222,M222)</f>
        <v>35</v>
      </c>
      <c r="O222" s="1">
        <f>J222+L222+IF(N222&lt;=I222-SUM($J$170:$J$225)-SUM($L$170:$L$225),1,0)</f>
        <v>28</v>
      </c>
    </row>
    <row r="223" spans="1:15">
      <c r="A223" s="1" t="s">
        <v>51</v>
      </c>
      <c r="B223" s="1" t="s">
        <v>54</v>
      </c>
      <c r="C223" s="1" t="s">
        <v>50</v>
      </c>
      <c r="D223" s="1" t="s">
        <v>49</v>
      </c>
      <c r="E223" s="1" t="s">
        <v>47</v>
      </c>
      <c r="F223" s="1" t="s">
        <v>42</v>
      </c>
      <c r="G223" s="1">
        <v>11460</v>
      </c>
      <c r="H223" s="1">
        <f>'1_Departamento_n'!C5</f>
        <v>1284077</v>
      </c>
      <c r="I223" s="1">
        <f>'1_Departamento_n'!H5</f>
        <v>1312</v>
      </c>
      <c r="J223" s="1">
        <f>'0_Parametros'!B7</f>
        <v>10</v>
      </c>
      <c r="K223" s="3">
        <f>(I223-SUM($J$170:$J$225))*G223/H223</f>
        <v>6.71137322761797</v>
      </c>
      <c r="L223" s="1">
        <f>INT(K223)</f>
        <v>6</v>
      </c>
      <c r="M223" s="3">
        <f>K223-L223</f>
        <v>0.7113732276179698</v>
      </c>
      <c r="N223" s="1">
        <f>COUNTIF($M$170:$M$225,"&gt;"&amp;M223)+COUNTIF($M$170:M223,M223)</f>
        <v>11</v>
      </c>
      <c r="O223" s="1">
        <f>J223+L223+IF(N223&lt;=I223-SUM($J$170:$J$225)-SUM($L$170:$L$225),1,0)</f>
        <v>17</v>
      </c>
    </row>
    <row r="224" spans="1:15">
      <c r="A224" s="1" t="s">
        <v>51</v>
      </c>
      <c r="B224" s="1" t="s">
        <v>54</v>
      </c>
      <c r="C224" s="1" t="s">
        <v>50</v>
      </c>
      <c r="D224" s="1" t="s">
        <v>49</v>
      </c>
      <c r="E224" s="1" t="s">
        <v>48</v>
      </c>
      <c r="F224" s="1" t="s">
        <v>41</v>
      </c>
      <c r="G224" s="1">
        <v>44892</v>
      </c>
      <c r="H224" s="1">
        <f>'1_Departamento_n'!C5</f>
        <v>1284077</v>
      </c>
      <c r="I224" s="1">
        <f>'1_Departamento_n'!H5</f>
        <v>1312</v>
      </c>
      <c r="J224" s="1">
        <f>'0_Parametros'!B7</f>
        <v>10</v>
      </c>
      <c r="K224" s="3">
        <f>(I224-SUM($J$170:$J$225))*G224/H224</f>
        <v>26.290311250805054</v>
      </c>
      <c r="L224" s="1">
        <f>INT(K224)</f>
        <v>26</v>
      </c>
      <c r="M224" s="3">
        <f>K224-L224</f>
        <v>0.29031125080505404</v>
      </c>
      <c r="N224" s="1">
        <f>COUNTIF($M$170:$M$225,"&gt;"&amp;M224)+COUNTIF($M$170:M224,M224)</f>
        <v>40</v>
      </c>
      <c r="O224" s="1">
        <f>J224+L224+IF(N224&lt;=I224-SUM($J$170:$J$225)-SUM($L$170:$L$225),1,0)</f>
        <v>36</v>
      </c>
    </row>
    <row r="225" spans="1:15">
      <c r="A225" s="1" t="s">
        <v>51</v>
      </c>
      <c r="B225" s="1" t="s">
        <v>54</v>
      </c>
      <c r="C225" s="1" t="s">
        <v>50</v>
      </c>
      <c r="D225" s="1" t="s">
        <v>49</v>
      </c>
      <c r="E225" s="1" t="s">
        <v>48</v>
      </c>
      <c r="F225" s="1" t="s">
        <v>42</v>
      </c>
      <c r="G225" s="1">
        <v>16871</v>
      </c>
      <c r="H225" s="1">
        <f>'1_Departamento_n'!C5</f>
        <v>1284077</v>
      </c>
      <c r="I225" s="1">
        <f>'1_Departamento_n'!H5</f>
        <v>1312</v>
      </c>
      <c r="J225" s="1">
        <f>'0_Parametros'!B7</f>
        <v>10</v>
      </c>
      <c r="K225" s="3">
        <f>(I225-SUM($J$170:$J$225))*G225/H225</f>
        <v>9.880242384218391</v>
      </c>
      <c r="L225" s="1">
        <f>INT(K225)</f>
        <v>9</v>
      </c>
      <c r="M225" s="3">
        <f>K225-L225</f>
        <v>0.8802423842183913</v>
      </c>
      <c r="N225" s="1">
        <f>COUNTIF($M$170:$M$225,"&gt;"&amp;M225)+COUNTIF($M$170:M225,M225)</f>
        <v>6</v>
      </c>
      <c r="O225" s="1">
        <f>J225+L225+IF(N225&lt;=I225-SUM($J$170:$J$225)-SUM($L$170:$L$225),1,0)</f>
        <v>20</v>
      </c>
    </row>
    <row r="226" spans="1:15">
      <c r="A226" s="1" t="s">
        <v>51</v>
      </c>
      <c r="B226" s="1" t="s">
        <v>55</v>
      </c>
      <c r="C226" s="1" t="s">
        <v>38</v>
      </c>
      <c r="D226" s="1" t="s">
        <v>39</v>
      </c>
      <c r="E226" s="1" t="s">
        <v>40</v>
      </c>
      <c r="F226" s="1" t="s">
        <v>41</v>
      </c>
      <c r="G226" s="1">
        <v>16363</v>
      </c>
      <c r="H226" s="1">
        <f>'1_Departamento_n'!C6</f>
        <v>1670770</v>
      </c>
      <c r="I226" s="1">
        <f>'1_Departamento_n'!H6</f>
        <v>1312</v>
      </c>
      <c r="J226" s="1">
        <f>'0_Parametros'!B7</f>
        <v>10</v>
      </c>
      <c r="K226" s="3">
        <f>(I226-SUM($J$226:$J$281))*G226/H226</f>
        <v>7.364853331098835</v>
      </c>
      <c r="L226" s="1">
        <f>INT(K226)</f>
        <v>7</v>
      </c>
      <c r="M226" s="3">
        <f>K226-L226</f>
        <v>0.36485333109883467</v>
      </c>
      <c r="N226" s="1">
        <f>COUNTIF($M$226:$M$281,"&gt;"&amp;M226)+COUNTIF($M$226:M226,M226)</f>
        <v>38</v>
      </c>
      <c r="O226" s="1">
        <f>J226+L226+IF(N226&lt;=I226-SUM($J$226:$J$281)-SUM($L$226:$L$281),1,0)</f>
        <v>17</v>
      </c>
    </row>
    <row r="227" spans="1:15">
      <c r="A227" s="1" t="s">
        <v>51</v>
      </c>
      <c r="B227" s="1" t="s">
        <v>55</v>
      </c>
      <c r="C227" s="1" t="s">
        <v>38</v>
      </c>
      <c r="D227" s="1" t="s">
        <v>39</v>
      </c>
      <c r="E227" s="1" t="s">
        <v>40</v>
      </c>
      <c r="F227" s="1" t="s">
        <v>42</v>
      </c>
      <c r="G227" s="1">
        <v>3675</v>
      </c>
      <c r="H227" s="1">
        <f>'1_Departamento_n'!C6</f>
        <v>1670770</v>
      </c>
      <c r="I227" s="1">
        <f>'1_Departamento_n'!H6</f>
        <v>1312</v>
      </c>
      <c r="J227" s="1">
        <f>'0_Parametros'!B7</f>
        <v>10</v>
      </c>
      <c r="K227" s="3">
        <f>(I227-SUM($J$226:$J$281))*G227/H227</f>
        <v>1.6540876362395782</v>
      </c>
      <c r="L227" s="1">
        <f>INT(K227)</f>
        <v>1</v>
      </c>
      <c r="M227" s="3">
        <f>K227-L227</f>
        <v>0.6540876362395782</v>
      </c>
      <c r="N227" s="1">
        <f>COUNTIF($M$226:$M$281,"&gt;"&amp;M227)+COUNTIF($M$226:M227,M227)</f>
        <v>18</v>
      </c>
      <c r="O227" s="1">
        <f>J227+L227+IF(N227&lt;=I227-SUM($J$226:$J$281)-SUM($L$226:$L$281),1,0)</f>
        <v>12</v>
      </c>
    </row>
    <row r="228" spans="1:15">
      <c r="A228" s="1" t="s">
        <v>51</v>
      </c>
      <c r="B228" s="1" t="s">
        <v>55</v>
      </c>
      <c r="C228" s="1" t="s">
        <v>38</v>
      </c>
      <c r="D228" s="1" t="s">
        <v>39</v>
      </c>
      <c r="E228" s="1" t="s">
        <v>43</v>
      </c>
      <c r="F228" s="1" t="s">
        <v>41</v>
      </c>
      <c r="G228" s="1">
        <v>20099</v>
      </c>
      <c r="H228" s="1">
        <f>'1_Departamento_n'!C6</f>
        <v>1670770</v>
      </c>
      <c r="I228" s="1">
        <f>'1_Departamento_n'!H6</f>
        <v>1312</v>
      </c>
      <c r="J228" s="1">
        <f>'0_Parametros'!B7</f>
        <v>10</v>
      </c>
      <c r="K228" s="3">
        <f>(I228-SUM($J$226:$J$281))*G228/H228</f>
        <v>9.04639657164062</v>
      </c>
      <c r="L228" s="1">
        <f>INT(K228)</f>
        <v>9</v>
      </c>
      <c r="M228" s="3">
        <f>K228-L228</f>
        <v>0.04639657164062072</v>
      </c>
      <c r="N228" s="1">
        <f>COUNTIF($M$226:$M$281,"&gt;"&amp;M228)+COUNTIF($M$226:M228,M228)</f>
        <v>56</v>
      </c>
      <c r="O228" s="1">
        <f>J228+L228+IF(N228&lt;=I228-SUM($J$226:$J$281)-SUM($L$226:$L$281),1,0)</f>
        <v>19</v>
      </c>
    </row>
    <row r="229" spans="1:15">
      <c r="A229" s="1" t="s">
        <v>51</v>
      </c>
      <c r="B229" s="1" t="s">
        <v>55</v>
      </c>
      <c r="C229" s="1" t="s">
        <v>38</v>
      </c>
      <c r="D229" s="1" t="s">
        <v>39</v>
      </c>
      <c r="E229" s="1" t="s">
        <v>43</v>
      </c>
      <c r="F229" s="1" t="s">
        <v>42</v>
      </c>
      <c r="G229" s="1">
        <v>3285</v>
      </c>
      <c r="H229" s="1">
        <f>'1_Departamento_n'!C6</f>
        <v>1670770</v>
      </c>
      <c r="I229" s="1">
        <f>'1_Departamento_n'!H6</f>
        <v>1312</v>
      </c>
      <c r="J229" s="1">
        <f>'0_Parametros'!B7</f>
        <v>10</v>
      </c>
      <c r="K229" s="3">
        <f>(I229-SUM($J$226:$J$281))*G229/H229</f>
        <v>1.4785518054549698</v>
      </c>
      <c r="L229" s="1">
        <f>INT(K229)</f>
        <v>1</v>
      </c>
      <c r="M229" s="3">
        <f>K229-L229</f>
        <v>0.4785518054549698</v>
      </c>
      <c r="N229" s="1">
        <f>COUNTIF($M$226:$M$281,"&gt;"&amp;M229)+COUNTIF($M$226:M229,M229)</f>
        <v>29</v>
      </c>
      <c r="O229" s="1">
        <f>J229+L229+IF(N229&lt;=I229-SUM($J$226:$J$281)-SUM($L$226:$L$281),1,0)</f>
        <v>12</v>
      </c>
    </row>
    <row r="230" spans="1:15">
      <c r="A230" s="1" t="s">
        <v>51</v>
      </c>
      <c r="B230" s="1" t="s">
        <v>55</v>
      </c>
      <c r="C230" s="1" t="s">
        <v>38</v>
      </c>
      <c r="D230" s="1" t="s">
        <v>39</v>
      </c>
      <c r="E230" s="1" t="s">
        <v>44</v>
      </c>
      <c r="F230" s="1" t="s">
        <v>41</v>
      </c>
      <c r="G230" s="1">
        <v>22171</v>
      </c>
      <c r="H230" s="1">
        <f>'1_Departamento_n'!C6</f>
        <v>1670770</v>
      </c>
      <c r="I230" s="1">
        <f>'1_Departamento_n'!H6</f>
        <v>1312</v>
      </c>
      <c r="J230" s="1">
        <f>'0_Parametros'!B7</f>
        <v>10</v>
      </c>
      <c r="K230" s="3">
        <f>(I230-SUM($J$226:$J$281))*G230/H230</f>
        <v>9.978986934168079</v>
      </c>
      <c r="L230" s="1">
        <f>INT(K230)</f>
        <v>9</v>
      </c>
      <c r="M230" s="3">
        <f>K230-L230</f>
        <v>0.9789869341680788</v>
      </c>
      <c r="N230" s="1">
        <f>COUNTIF($M$226:$M$281,"&gt;"&amp;M230)+COUNTIF($M$226:M230,M230)</f>
        <v>3</v>
      </c>
      <c r="O230" s="1">
        <f>J230+L230+IF(N230&lt;=I230-SUM($J$226:$J$281)-SUM($L$226:$L$281),1,0)</f>
        <v>20</v>
      </c>
    </row>
    <row r="231" spans="1:15">
      <c r="A231" s="1" t="s">
        <v>51</v>
      </c>
      <c r="B231" s="1" t="s">
        <v>55</v>
      </c>
      <c r="C231" s="1" t="s">
        <v>38</v>
      </c>
      <c r="D231" s="1" t="s">
        <v>39</v>
      </c>
      <c r="E231" s="1" t="s">
        <v>44</v>
      </c>
      <c r="F231" s="1" t="s">
        <v>42</v>
      </c>
      <c r="G231" s="1">
        <v>5452</v>
      </c>
      <c r="H231" s="1">
        <f>'1_Departamento_n'!C6</f>
        <v>1670770</v>
      </c>
      <c r="I231" s="1">
        <f>'1_Departamento_n'!H6</f>
        <v>1312</v>
      </c>
      <c r="J231" s="1">
        <f>'0_Parametros'!B7</f>
        <v>10</v>
      </c>
      <c r="K231" s="3">
        <f>(I231-SUM($J$226:$J$281))*G231/H231</f>
        <v>2.4539008959940625</v>
      </c>
      <c r="L231" s="1">
        <f>INT(K231)</f>
        <v>2</v>
      </c>
      <c r="M231" s="3">
        <f>K231-L231</f>
        <v>0.45390089599406247</v>
      </c>
      <c r="N231" s="1">
        <f>COUNTIF($M$226:$M$281,"&gt;"&amp;M231)+COUNTIF($M$226:M231,M231)</f>
        <v>32</v>
      </c>
      <c r="O231" s="1">
        <f>J231+L231+IF(N231&lt;=I231-SUM($J$226:$J$281)-SUM($L$226:$L$281),1,0)</f>
        <v>12</v>
      </c>
    </row>
    <row r="232" spans="1:15">
      <c r="A232" s="1" t="s">
        <v>51</v>
      </c>
      <c r="B232" s="1" t="s">
        <v>55</v>
      </c>
      <c r="C232" s="1" t="s">
        <v>38</v>
      </c>
      <c r="D232" s="1" t="s">
        <v>39</v>
      </c>
      <c r="E232" s="1" t="s">
        <v>45</v>
      </c>
      <c r="F232" s="1" t="s">
        <v>41</v>
      </c>
      <c r="G232" s="1">
        <v>27466</v>
      </c>
      <c r="H232" s="1">
        <f>'1_Departamento_n'!C6</f>
        <v>1670770</v>
      </c>
      <c r="I232" s="1">
        <f>'1_Departamento_n'!H6</f>
        <v>1312</v>
      </c>
      <c r="J232" s="1">
        <f>'0_Parametros'!B7</f>
        <v>10</v>
      </c>
      <c r="K232" s="3">
        <f>(I232-SUM($J$226:$J$281))*G232/H232</f>
        <v>12.362223405974492</v>
      </c>
      <c r="L232" s="1">
        <f>INT(K232)</f>
        <v>12</v>
      </c>
      <c r="M232" s="3">
        <f>K232-L232</f>
        <v>0.36222340597449154</v>
      </c>
      <c r="N232" s="1">
        <f>COUNTIF($M$226:$M$281,"&gt;"&amp;M232)+COUNTIF($M$226:M232,M232)</f>
        <v>40</v>
      </c>
      <c r="O232" s="1">
        <f>J232+L232+IF(N232&lt;=I232-SUM($J$226:$J$281)-SUM($L$226:$L$281),1,0)</f>
        <v>22</v>
      </c>
    </row>
    <row r="233" spans="1:15">
      <c r="A233" s="1" t="s">
        <v>51</v>
      </c>
      <c r="B233" s="1" t="s">
        <v>55</v>
      </c>
      <c r="C233" s="1" t="s">
        <v>38</v>
      </c>
      <c r="D233" s="1" t="s">
        <v>39</v>
      </c>
      <c r="E233" s="1" t="s">
        <v>45</v>
      </c>
      <c r="F233" s="1" t="s">
        <v>42</v>
      </c>
      <c r="G233" s="1">
        <v>4860</v>
      </c>
      <c r="H233" s="1">
        <f>'1_Departamento_n'!C6</f>
        <v>1670770</v>
      </c>
      <c r="I233" s="1">
        <f>'1_Departamento_n'!H6</f>
        <v>1312</v>
      </c>
      <c r="J233" s="1">
        <f>'0_Parametros'!B7</f>
        <v>10</v>
      </c>
      <c r="K233" s="3">
        <f>(I233-SUM($J$226:$J$281))*G233/H233</f>
        <v>2.1874465067005033</v>
      </c>
      <c r="L233" s="1">
        <f>INT(K233)</f>
        <v>2</v>
      </c>
      <c r="M233" s="3">
        <f>K233-L233</f>
        <v>0.18744650670050333</v>
      </c>
      <c r="N233" s="1">
        <f>COUNTIF($M$226:$M$281,"&gt;"&amp;M233)+COUNTIF($M$226:M233,M233)</f>
        <v>50</v>
      </c>
      <c r="O233" s="1">
        <f>J233+L233+IF(N233&lt;=I233-SUM($J$226:$J$281)-SUM($L$226:$L$281),1,0)</f>
        <v>12</v>
      </c>
    </row>
    <row r="234" spans="1:15">
      <c r="A234" s="1" t="s">
        <v>51</v>
      </c>
      <c r="B234" s="1" t="s">
        <v>55</v>
      </c>
      <c r="C234" s="1" t="s">
        <v>38</v>
      </c>
      <c r="D234" s="1" t="s">
        <v>39</v>
      </c>
      <c r="E234" s="1" t="s">
        <v>46</v>
      </c>
      <c r="F234" s="1" t="s">
        <v>41</v>
      </c>
      <c r="G234" s="1">
        <v>23023</v>
      </c>
      <c r="H234" s="1">
        <f>'1_Departamento_n'!C6</f>
        <v>1670770</v>
      </c>
      <c r="I234" s="1">
        <f>'1_Departamento_n'!H6</f>
        <v>1312</v>
      </c>
      <c r="J234" s="1">
        <f>'0_Parametros'!B7</f>
        <v>10</v>
      </c>
      <c r="K234" s="3">
        <f>(I234-SUM($J$226:$J$281))*G234/H234</f>
        <v>10.362465210651376</v>
      </c>
      <c r="L234" s="1">
        <f>INT(K234)</f>
        <v>10</v>
      </c>
      <c r="M234" s="3">
        <f>K234-L234</f>
        <v>0.3624652106513757</v>
      </c>
      <c r="N234" s="1">
        <f>COUNTIF($M$226:$M$281,"&gt;"&amp;M234)+COUNTIF($M$226:M234,M234)</f>
        <v>39</v>
      </c>
      <c r="O234" s="1">
        <f>J234+L234+IF(N234&lt;=I234-SUM($J$226:$J$281)-SUM($L$226:$L$281),1,0)</f>
        <v>20</v>
      </c>
    </row>
    <row r="235" spans="1:15">
      <c r="A235" s="1" t="s">
        <v>51</v>
      </c>
      <c r="B235" s="1" t="s">
        <v>55</v>
      </c>
      <c r="C235" s="1" t="s">
        <v>38</v>
      </c>
      <c r="D235" s="1" t="s">
        <v>39</v>
      </c>
      <c r="E235" s="1" t="s">
        <v>46</v>
      </c>
      <c r="F235" s="1" t="s">
        <v>42</v>
      </c>
      <c r="G235" s="1">
        <v>3217</v>
      </c>
      <c r="H235" s="1">
        <f>'1_Departamento_n'!C6</f>
        <v>1670770</v>
      </c>
      <c r="I235" s="1">
        <f>'1_Departamento_n'!H6</f>
        <v>1312</v>
      </c>
      <c r="J235" s="1">
        <f>'0_Parametros'!B7</f>
        <v>10</v>
      </c>
      <c r="K235" s="3">
        <f>(I235-SUM($J$226:$J$281))*G235/H235</f>
        <v>1.4479455580361151</v>
      </c>
      <c r="L235" s="1">
        <f>INT(K235)</f>
        <v>1</v>
      </c>
      <c r="M235" s="3">
        <f>K235-L235</f>
        <v>0.44794555803611513</v>
      </c>
      <c r="N235" s="1">
        <f>COUNTIF($M$226:$M$281,"&gt;"&amp;M235)+COUNTIF($M$226:M235,M235)</f>
        <v>34</v>
      </c>
      <c r="O235" s="1">
        <f>J235+L235+IF(N235&lt;=I235-SUM($J$226:$J$281)-SUM($L$226:$L$281),1,0)</f>
        <v>11</v>
      </c>
    </row>
    <row r="236" spans="1:15">
      <c r="A236" s="1" t="s">
        <v>51</v>
      </c>
      <c r="B236" s="1" t="s">
        <v>55</v>
      </c>
      <c r="C236" s="1" t="s">
        <v>38</v>
      </c>
      <c r="D236" s="1" t="s">
        <v>39</v>
      </c>
      <c r="E236" s="1" t="s">
        <v>47</v>
      </c>
      <c r="F236" s="1" t="s">
        <v>41</v>
      </c>
      <c r="G236" s="1">
        <v>15266</v>
      </c>
      <c r="H236" s="1">
        <f>'1_Departamento_n'!C6</f>
        <v>1670770</v>
      </c>
      <c r="I236" s="1">
        <f>'1_Departamento_n'!H6</f>
        <v>1312</v>
      </c>
      <c r="J236" s="1">
        <f>'0_Parametros'!B7</f>
        <v>10</v>
      </c>
      <c r="K236" s="3">
        <f>(I236-SUM($J$226:$J$281))*G236/H236</f>
        <v>6.871102545532898</v>
      </c>
      <c r="L236" s="1">
        <f>INT(K236)</f>
        <v>6</v>
      </c>
      <c r="M236" s="3">
        <f>K236-L236</f>
        <v>0.8711025455328976</v>
      </c>
      <c r="N236" s="1">
        <f>COUNTIF($M$226:$M$281,"&gt;"&amp;M236)+COUNTIF($M$226:M236,M236)</f>
        <v>6</v>
      </c>
      <c r="O236" s="1">
        <f>J236+L236+IF(N236&lt;=I236-SUM($J$226:$J$281)-SUM($L$226:$L$281),1,0)</f>
        <v>17</v>
      </c>
    </row>
    <row r="237" spans="1:15">
      <c r="A237" s="1" t="s">
        <v>51</v>
      </c>
      <c r="B237" s="1" t="s">
        <v>55</v>
      </c>
      <c r="C237" s="1" t="s">
        <v>38</v>
      </c>
      <c r="D237" s="1" t="s">
        <v>39</v>
      </c>
      <c r="E237" s="1" t="s">
        <v>47</v>
      </c>
      <c r="F237" s="1" t="s">
        <v>42</v>
      </c>
      <c r="G237" s="1">
        <v>1850</v>
      </c>
      <c r="H237" s="1">
        <f>'1_Departamento_n'!C6</f>
        <v>1670770</v>
      </c>
      <c r="I237" s="1">
        <f>'1_Departamento_n'!H6</f>
        <v>1312</v>
      </c>
      <c r="J237" s="1">
        <f>'0_Parametros'!B7</f>
        <v>10</v>
      </c>
      <c r="K237" s="3">
        <f>(I237-SUM($J$226:$J$281))*G237/H237</f>
        <v>0.8326699665423727</v>
      </c>
      <c r="L237" s="1">
        <f>INT(K237)</f>
        <v>0</v>
      </c>
      <c r="M237" s="3">
        <f>K237-L237</f>
        <v>0.8326699665423727</v>
      </c>
      <c r="N237" s="1">
        <f>COUNTIF($M$226:$M$281,"&gt;"&amp;M237)+COUNTIF($M$226:M237,M237)</f>
        <v>7</v>
      </c>
      <c r="O237" s="1">
        <f>J237+L237+IF(N237&lt;=I237-SUM($J$226:$J$281)-SUM($L$226:$L$281),1,0)</f>
        <v>11</v>
      </c>
    </row>
    <row r="238" spans="1:15">
      <c r="A238" s="1" t="s">
        <v>51</v>
      </c>
      <c r="B238" s="1" t="s">
        <v>55</v>
      </c>
      <c r="C238" s="1" t="s">
        <v>38</v>
      </c>
      <c r="D238" s="1" t="s">
        <v>39</v>
      </c>
      <c r="E238" s="1" t="s">
        <v>48</v>
      </c>
      <c r="F238" s="1" t="s">
        <v>41</v>
      </c>
      <c r="G238" s="1">
        <v>23052</v>
      </c>
      <c r="H238" s="1">
        <f>'1_Departamento_n'!C6</f>
        <v>1670770</v>
      </c>
      <c r="I238" s="1">
        <f>'1_Departamento_n'!H6</f>
        <v>1312</v>
      </c>
      <c r="J238" s="1">
        <f>'0_Parametros'!B7</f>
        <v>10</v>
      </c>
      <c r="K238" s="3">
        <f>(I238-SUM($J$226:$J$281))*G238/H238</f>
        <v>10.37551787499177</v>
      </c>
      <c r="L238" s="1">
        <f>INT(K238)</f>
        <v>10</v>
      </c>
      <c r="M238" s="3">
        <f>K238-L238</f>
        <v>0.37551787499177003</v>
      </c>
      <c r="N238" s="1">
        <f>COUNTIF($M$226:$M$281,"&gt;"&amp;M238)+COUNTIF($M$226:M238,M238)</f>
        <v>36</v>
      </c>
      <c r="O238" s="1">
        <f>J238+L238+IF(N238&lt;=I238-SUM($J$226:$J$281)-SUM($L$226:$L$281),1,0)</f>
        <v>20</v>
      </c>
    </row>
    <row r="239" spans="1:15">
      <c r="A239" s="1" t="s">
        <v>51</v>
      </c>
      <c r="B239" s="1" t="s">
        <v>55</v>
      </c>
      <c r="C239" s="1" t="s">
        <v>38</v>
      </c>
      <c r="D239" s="1" t="s">
        <v>39</v>
      </c>
      <c r="E239" s="1" t="s">
        <v>48</v>
      </c>
      <c r="F239" s="1" t="s">
        <v>42</v>
      </c>
      <c r="G239" s="1">
        <v>1336</v>
      </c>
      <c r="H239" s="1">
        <f>'1_Departamento_n'!C6</f>
        <v>1670770</v>
      </c>
      <c r="I239" s="1">
        <f>'1_Departamento_n'!H6</f>
        <v>1312</v>
      </c>
      <c r="J239" s="1">
        <f>'0_Parametros'!B7</f>
        <v>10</v>
      </c>
      <c r="K239" s="3">
        <f>(I239-SUM($J$226:$J$281))*G239/H239</f>
        <v>0.6013227434057351</v>
      </c>
      <c r="L239" s="1">
        <f>INT(K239)</f>
        <v>0</v>
      </c>
      <c r="M239" s="3">
        <f>K239-L239</f>
        <v>0.6013227434057351</v>
      </c>
      <c r="N239" s="1">
        <f>COUNTIF($M$226:$M$281,"&gt;"&amp;M239)+COUNTIF($M$226:M239,M239)</f>
        <v>22</v>
      </c>
      <c r="O239" s="1">
        <f>J239+L239+IF(N239&lt;=I239-SUM($J$226:$J$281)-SUM($L$226:$L$281),1,0)</f>
        <v>11</v>
      </c>
    </row>
    <row r="240" spans="1:15">
      <c r="A240" s="1" t="s">
        <v>51</v>
      </c>
      <c r="B240" s="1" t="s">
        <v>55</v>
      </c>
      <c r="C240" s="1" t="s">
        <v>38</v>
      </c>
      <c r="D240" s="1" t="s">
        <v>49</v>
      </c>
      <c r="E240" s="1" t="s">
        <v>40</v>
      </c>
      <c r="F240" s="1" t="s">
        <v>41</v>
      </c>
      <c r="G240" s="1">
        <v>17154</v>
      </c>
      <c r="H240" s="1">
        <f>'1_Departamento_n'!C6</f>
        <v>1670770</v>
      </c>
      <c r="I240" s="1">
        <f>'1_Departamento_n'!H6</f>
        <v>1312</v>
      </c>
      <c r="J240" s="1">
        <f>'0_Parametros'!B7</f>
        <v>10</v>
      </c>
      <c r="K240" s="3">
        <f>(I240-SUM($J$226:$J$281))*G240/H240</f>
        <v>7.720876003279924</v>
      </c>
      <c r="L240" s="1">
        <f>INT(K240)</f>
        <v>7</v>
      </c>
      <c r="M240" s="3">
        <f>K240-L240</f>
        <v>0.7208760032799244</v>
      </c>
      <c r="N240" s="1">
        <f>COUNTIF($M$226:$M$281,"&gt;"&amp;M240)+COUNTIF($M$226:M240,M240)</f>
        <v>14</v>
      </c>
      <c r="O240" s="1">
        <f>J240+L240+IF(N240&lt;=I240-SUM($J$226:$J$281)-SUM($L$226:$L$281),1,0)</f>
        <v>18</v>
      </c>
    </row>
    <row r="241" spans="1:15">
      <c r="A241" s="1" t="s">
        <v>51</v>
      </c>
      <c r="B241" s="1" t="s">
        <v>55</v>
      </c>
      <c r="C241" s="1" t="s">
        <v>38</v>
      </c>
      <c r="D241" s="1" t="s">
        <v>49</v>
      </c>
      <c r="E241" s="1" t="s">
        <v>40</v>
      </c>
      <c r="F241" s="1" t="s">
        <v>42</v>
      </c>
      <c r="G241" s="1">
        <v>3769</v>
      </c>
      <c r="H241" s="1">
        <f>'1_Departamento_n'!C6</f>
        <v>1670770</v>
      </c>
      <c r="I241" s="1">
        <f>'1_Departamento_n'!H6</f>
        <v>1312</v>
      </c>
      <c r="J241" s="1">
        <f>'0_Parametros'!B7</f>
        <v>10</v>
      </c>
      <c r="K241" s="3">
        <f>(I241-SUM($J$226:$J$281))*G241/H241</f>
        <v>1.6963962723774069</v>
      </c>
      <c r="L241" s="1">
        <f>INT(K241)</f>
        <v>1</v>
      </c>
      <c r="M241" s="3">
        <f>K241-L241</f>
        <v>0.6963962723774069</v>
      </c>
      <c r="N241" s="1">
        <f>COUNTIF($M$226:$M$281,"&gt;"&amp;M241)+COUNTIF($M$226:M241,M241)</f>
        <v>16</v>
      </c>
      <c r="O241" s="1">
        <f>J241+L241+IF(N241&lt;=I241-SUM($J$226:$J$281)-SUM($L$226:$L$281),1,0)</f>
        <v>12</v>
      </c>
    </row>
    <row r="242" spans="1:15">
      <c r="A242" s="1" t="s">
        <v>51</v>
      </c>
      <c r="B242" s="1" t="s">
        <v>55</v>
      </c>
      <c r="C242" s="1" t="s">
        <v>38</v>
      </c>
      <c r="D242" s="1" t="s">
        <v>49</v>
      </c>
      <c r="E242" s="1" t="s">
        <v>43</v>
      </c>
      <c r="F242" s="1" t="s">
        <v>41</v>
      </c>
      <c r="G242" s="1">
        <v>21105</v>
      </c>
      <c r="H242" s="1">
        <f>'1_Departamento_n'!C6</f>
        <v>1670770</v>
      </c>
      <c r="I242" s="1">
        <f>'1_Departamento_n'!H6</f>
        <v>1312</v>
      </c>
      <c r="J242" s="1">
        <f>'0_Parametros'!B7</f>
        <v>10</v>
      </c>
      <c r="K242" s="3">
        <f>(I242-SUM($J$226:$J$281))*G242/H242</f>
        <v>9.49918899669015</v>
      </c>
      <c r="L242" s="1">
        <f>INT(K242)</f>
        <v>9</v>
      </c>
      <c r="M242" s="3">
        <f>K242-L242</f>
        <v>0.49918899669014927</v>
      </c>
      <c r="N242" s="1">
        <f>COUNTIF($M$226:$M$281,"&gt;"&amp;M242)+COUNTIF($M$226:M242,M242)</f>
        <v>28</v>
      </c>
      <c r="O242" s="1">
        <f>J242+L242+IF(N242&lt;=I242-SUM($J$226:$J$281)-SUM($L$226:$L$281),1,0)</f>
        <v>20</v>
      </c>
    </row>
    <row r="243" spans="1:15">
      <c r="A243" s="1" t="s">
        <v>51</v>
      </c>
      <c r="B243" s="1" t="s">
        <v>55</v>
      </c>
      <c r="C243" s="1" t="s">
        <v>38</v>
      </c>
      <c r="D243" s="1" t="s">
        <v>49</v>
      </c>
      <c r="E243" s="1" t="s">
        <v>43</v>
      </c>
      <c r="F243" s="1" t="s">
        <v>42</v>
      </c>
      <c r="G243" s="1">
        <v>3590</v>
      </c>
      <c r="H243" s="1">
        <f>'1_Departamento_n'!C6</f>
        <v>1670770</v>
      </c>
      <c r="I243" s="1">
        <f>'1_Departamento_n'!H6</f>
        <v>1312</v>
      </c>
      <c r="J243" s="1">
        <f>'0_Parametros'!B7</f>
        <v>10</v>
      </c>
      <c r="K243" s="3">
        <f>(I243-SUM($J$226:$J$281))*G243/H243</f>
        <v>1.6158298269660096</v>
      </c>
      <c r="L243" s="1">
        <f>INT(K243)</f>
        <v>1</v>
      </c>
      <c r="M243" s="3">
        <f>K243-L243</f>
        <v>0.6158298269660096</v>
      </c>
      <c r="N243" s="1">
        <f>COUNTIF($M$226:$M$281,"&gt;"&amp;M243)+COUNTIF($M$226:M243,M243)</f>
        <v>20</v>
      </c>
      <c r="O243" s="1">
        <f>J243+L243+IF(N243&lt;=I243-SUM($J$226:$J$281)-SUM($L$226:$L$281),1,0)</f>
        <v>12</v>
      </c>
    </row>
    <row r="244" spans="1:15">
      <c r="A244" s="1" t="s">
        <v>51</v>
      </c>
      <c r="B244" s="1" t="s">
        <v>55</v>
      </c>
      <c r="C244" s="1" t="s">
        <v>38</v>
      </c>
      <c r="D244" s="1" t="s">
        <v>49</v>
      </c>
      <c r="E244" s="1" t="s">
        <v>44</v>
      </c>
      <c r="F244" s="1" t="s">
        <v>41</v>
      </c>
      <c r="G244" s="1">
        <v>23569</v>
      </c>
      <c r="H244" s="1">
        <f>'1_Departamento_n'!C6</f>
        <v>1670770</v>
      </c>
      <c r="I244" s="1">
        <f>'1_Departamento_n'!H6</f>
        <v>1312</v>
      </c>
      <c r="J244" s="1">
        <f>'0_Parametros'!B7</f>
        <v>10</v>
      </c>
      <c r="K244" s="3">
        <f>(I244-SUM($J$226:$J$281))*G244/H244</f>
        <v>10.608215373749827</v>
      </c>
      <c r="L244" s="1">
        <f>INT(K244)</f>
        <v>10</v>
      </c>
      <c r="M244" s="3">
        <f>K244-L244</f>
        <v>0.608215373749827</v>
      </c>
      <c r="N244" s="1">
        <f>COUNTIF($M$226:$M$281,"&gt;"&amp;M244)+COUNTIF($M$226:M244,M244)</f>
        <v>21</v>
      </c>
      <c r="O244" s="1">
        <f>J244+L244+IF(N244&lt;=I244-SUM($J$226:$J$281)-SUM($L$226:$L$281),1,0)</f>
        <v>21</v>
      </c>
    </row>
    <row r="245" spans="1:15">
      <c r="A245" s="1" t="s">
        <v>51</v>
      </c>
      <c r="B245" s="1" t="s">
        <v>55</v>
      </c>
      <c r="C245" s="1" t="s">
        <v>38</v>
      </c>
      <c r="D245" s="1" t="s">
        <v>49</v>
      </c>
      <c r="E245" s="1" t="s">
        <v>44</v>
      </c>
      <c r="F245" s="1" t="s">
        <v>42</v>
      </c>
      <c r="G245" s="1">
        <v>7244</v>
      </c>
      <c r="H245" s="1">
        <f>'1_Departamento_n'!C6</f>
        <v>1670770</v>
      </c>
      <c r="I245" s="1">
        <f>'1_Departamento_n'!H6</f>
        <v>1312</v>
      </c>
      <c r="J245" s="1">
        <f>'0_Parametros'!B7</f>
        <v>10</v>
      </c>
      <c r="K245" s="3">
        <f>(I245-SUM($J$226:$J$281))*G245/H245</f>
        <v>3.260465533855647</v>
      </c>
      <c r="L245" s="1">
        <f>INT(K245)</f>
        <v>3</v>
      </c>
      <c r="M245" s="3">
        <f>K245-L245</f>
        <v>0.2604655338556472</v>
      </c>
      <c r="N245" s="1">
        <f>COUNTIF($M$226:$M$281,"&gt;"&amp;M245)+COUNTIF($M$226:M245,M245)</f>
        <v>47</v>
      </c>
      <c r="O245" s="1">
        <f>J245+L245+IF(N245&lt;=I245-SUM($J$226:$J$281)-SUM($L$226:$L$281),1,0)</f>
        <v>13</v>
      </c>
    </row>
    <row r="246" spans="1:15">
      <c r="A246" s="1" t="s">
        <v>51</v>
      </c>
      <c r="B246" s="1" t="s">
        <v>55</v>
      </c>
      <c r="C246" s="1" t="s">
        <v>38</v>
      </c>
      <c r="D246" s="1" t="s">
        <v>49</v>
      </c>
      <c r="E246" s="1" t="s">
        <v>45</v>
      </c>
      <c r="F246" s="1" t="s">
        <v>41</v>
      </c>
      <c r="G246" s="1">
        <v>28100</v>
      </c>
      <c r="H246" s="1">
        <f>'1_Departamento_n'!C6</f>
        <v>1670770</v>
      </c>
      <c r="I246" s="1">
        <f>'1_Departamento_n'!H6</f>
        <v>1312</v>
      </c>
      <c r="J246" s="1">
        <f>'0_Parametros'!B7</f>
        <v>10</v>
      </c>
      <c r="K246" s="3">
        <f>(I246-SUM($J$226:$J$281))*G246/H246</f>
        <v>12.647581653967931</v>
      </c>
      <c r="L246" s="1">
        <f>INT(K246)</f>
        <v>12</v>
      </c>
      <c r="M246" s="3">
        <f>K246-L246</f>
        <v>0.6475816539679311</v>
      </c>
      <c r="N246" s="1">
        <f>COUNTIF($M$226:$M$281,"&gt;"&amp;M246)+COUNTIF($M$226:M246,M246)</f>
        <v>19</v>
      </c>
      <c r="O246" s="1">
        <f>J246+L246+IF(N246&lt;=I246-SUM($J$226:$J$281)-SUM($L$226:$L$281),1,0)</f>
        <v>23</v>
      </c>
    </row>
    <row r="247" spans="1:15">
      <c r="A247" s="1" t="s">
        <v>51</v>
      </c>
      <c r="B247" s="1" t="s">
        <v>55</v>
      </c>
      <c r="C247" s="1" t="s">
        <v>38</v>
      </c>
      <c r="D247" s="1" t="s">
        <v>49</v>
      </c>
      <c r="E247" s="1" t="s">
        <v>45</v>
      </c>
      <c r="F247" s="1" t="s">
        <v>42</v>
      </c>
      <c r="G247" s="1">
        <v>6521</v>
      </c>
      <c r="H247" s="1">
        <f>'1_Departamento_n'!C6</f>
        <v>1670770</v>
      </c>
      <c r="I247" s="1">
        <f>'1_Departamento_n'!H6</f>
        <v>1312</v>
      </c>
      <c r="J247" s="1">
        <f>'0_Parametros'!B7</f>
        <v>10</v>
      </c>
      <c r="K247" s="3">
        <f>(I247-SUM($J$226:$J$281))*G247/H247</f>
        <v>2.935049109093412</v>
      </c>
      <c r="L247" s="1">
        <f>INT(K247)</f>
        <v>2</v>
      </c>
      <c r="M247" s="3">
        <f>K247-L247</f>
        <v>0.9350491090934119</v>
      </c>
      <c r="N247" s="1">
        <f>COUNTIF($M$226:$M$281,"&gt;"&amp;M247)+COUNTIF($M$226:M247,M247)</f>
        <v>5</v>
      </c>
      <c r="O247" s="1">
        <f>J247+L247+IF(N247&lt;=I247-SUM($J$226:$J$281)-SUM($L$226:$L$281),1,0)</f>
        <v>13</v>
      </c>
    </row>
    <row r="248" spans="1:15">
      <c r="A248" s="1" t="s">
        <v>51</v>
      </c>
      <c r="B248" s="1" t="s">
        <v>55</v>
      </c>
      <c r="C248" s="1" t="s">
        <v>38</v>
      </c>
      <c r="D248" s="1" t="s">
        <v>49</v>
      </c>
      <c r="E248" s="1" t="s">
        <v>46</v>
      </c>
      <c r="F248" s="1" t="s">
        <v>41</v>
      </c>
      <c r="G248" s="1">
        <v>23429</v>
      </c>
      <c r="H248" s="1">
        <f>'1_Departamento_n'!C6</f>
        <v>1670770</v>
      </c>
      <c r="I248" s="1">
        <f>'1_Departamento_n'!H6</f>
        <v>1312</v>
      </c>
      <c r="J248" s="1">
        <f>'0_Parametros'!B7</f>
        <v>10</v>
      </c>
      <c r="K248" s="3">
        <f>(I248-SUM($J$226:$J$281))*G248/H248</f>
        <v>10.54520251141689</v>
      </c>
      <c r="L248" s="1">
        <f>INT(K248)</f>
        <v>10</v>
      </c>
      <c r="M248" s="3">
        <f>K248-L248</f>
        <v>0.5452025114168908</v>
      </c>
      <c r="N248" s="1">
        <f>COUNTIF($M$226:$M$281,"&gt;"&amp;M248)+COUNTIF($M$226:M248,M248)</f>
        <v>26</v>
      </c>
      <c r="O248" s="1">
        <f>J248+L248+IF(N248&lt;=I248-SUM($J$226:$J$281)-SUM($L$226:$L$281),1,0)</f>
        <v>21</v>
      </c>
    </row>
    <row r="249" spans="1:15">
      <c r="A249" s="1" t="s">
        <v>51</v>
      </c>
      <c r="B249" s="1" t="s">
        <v>55</v>
      </c>
      <c r="C249" s="1" t="s">
        <v>38</v>
      </c>
      <c r="D249" s="1" t="s">
        <v>49</v>
      </c>
      <c r="E249" s="1" t="s">
        <v>46</v>
      </c>
      <c r="F249" s="1" t="s">
        <v>42</v>
      </c>
      <c r="G249" s="1">
        <v>4415</v>
      </c>
      <c r="H249" s="1">
        <f>'1_Departamento_n'!C6</f>
        <v>1670770</v>
      </c>
      <c r="I249" s="1">
        <f>'1_Departamento_n'!H6</f>
        <v>1312</v>
      </c>
      <c r="J249" s="1">
        <f>'0_Parametros'!B7</f>
        <v>10</v>
      </c>
      <c r="K249" s="3">
        <f>(I249-SUM($J$226:$J$281))*G249/H249</f>
        <v>1.9871556228565272</v>
      </c>
      <c r="L249" s="1">
        <f>INT(K249)</f>
        <v>1</v>
      </c>
      <c r="M249" s="3">
        <f>K249-L249</f>
        <v>0.9871556228565272</v>
      </c>
      <c r="N249" s="1">
        <f>COUNTIF($M$226:$M$281,"&gt;"&amp;M249)+COUNTIF($M$226:M249,M249)</f>
        <v>2</v>
      </c>
      <c r="O249" s="1">
        <f>J249+L249+IF(N249&lt;=I249-SUM($J$226:$J$281)-SUM($L$226:$L$281),1,0)</f>
        <v>12</v>
      </c>
    </row>
    <row r="250" spans="1:15">
      <c r="A250" s="1" t="s">
        <v>51</v>
      </c>
      <c r="B250" s="1" t="s">
        <v>55</v>
      </c>
      <c r="C250" s="1" t="s">
        <v>38</v>
      </c>
      <c r="D250" s="1" t="s">
        <v>49</v>
      </c>
      <c r="E250" s="1" t="s">
        <v>47</v>
      </c>
      <c r="F250" s="1" t="s">
        <v>41</v>
      </c>
      <c r="G250" s="1">
        <v>14911</v>
      </c>
      <c r="H250" s="1">
        <f>'1_Departamento_n'!C6</f>
        <v>1670770</v>
      </c>
      <c r="I250" s="1">
        <f>'1_Departamento_n'!H6</f>
        <v>1312</v>
      </c>
      <c r="J250" s="1">
        <f>'0_Parametros'!B7</f>
        <v>10</v>
      </c>
      <c r="K250" s="3">
        <f>(I250-SUM($J$226:$J$281))*G250/H250</f>
        <v>6.711319930331523</v>
      </c>
      <c r="L250" s="1">
        <f>INT(K250)</f>
        <v>6</v>
      </c>
      <c r="M250" s="3">
        <f>K250-L250</f>
        <v>0.7113199303315234</v>
      </c>
      <c r="N250" s="1">
        <f>COUNTIF($M$226:$M$281,"&gt;"&amp;M250)+COUNTIF($M$226:M250,M250)</f>
        <v>15</v>
      </c>
      <c r="O250" s="1">
        <f>J250+L250+IF(N250&lt;=I250-SUM($J$226:$J$281)-SUM($L$226:$L$281),1,0)</f>
        <v>17</v>
      </c>
    </row>
    <row r="251" spans="1:15">
      <c r="A251" s="1" t="s">
        <v>51</v>
      </c>
      <c r="B251" s="1" t="s">
        <v>55</v>
      </c>
      <c r="C251" s="1" t="s">
        <v>38</v>
      </c>
      <c r="D251" s="1" t="s">
        <v>49</v>
      </c>
      <c r="E251" s="1" t="s">
        <v>47</v>
      </c>
      <c r="F251" s="1" t="s">
        <v>42</v>
      </c>
      <c r="G251" s="1">
        <v>2627</v>
      </c>
      <c r="H251" s="1">
        <f>'1_Departamento_n'!C6</f>
        <v>1670770</v>
      </c>
      <c r="I251" s="1">
        <f>'1_Departamento_n'!H6</f>
        <v>1312</v>
      </c>
      <c r="J251" s="1">
        <f>'0_Parametros'!B7</f>
        <v>10</v>
      </c>
      <c r="K251" s="3">
        <f>(I251-SUM($J$226:$J$281))*G251/H251</f>
        <v>1.1823913524901692</v>
      </c>
      <c r="L251" s="1">
        <f>INT(K251)</f>
        <v>1</v>
      </c>
      <c r="M251" s="3">
        <f>K251-L251</f>
        <v>0.18239135249016925</v>
      </c>
      <c r="N251" s="1">
        <f>COUNTIF($M$226:$M$281,"&gt;"&amp;M251)+COUNTIF($M$226:M251,M251)</f>
        <v>52</v>
      </c>
      <c r="O251" s="1">
        <f>J251+L251+IF(N251&lt;=I251-SUM($J$226:$J$281)-SUM($L$226:$L$281),1,0)</f>
        <v>11</v>
      </c>
    </row>
    <row r="252" spans="1:15">
      <c r="A252" s="1" t="s">
        <v>51</v>
      </c>
      <c r="B252" s="1" t="s">
        <v>55</v>
      </c>
      <c r="C252" s="1" t="s">
        <v>38</v>
      </c>
      <c r="D252" s="1" t="s">
        <v>49</v>
      </c>
      <c r="E252" s="1" t="s">
        <v>48</v>
      </c>
      <c r="F252" s="1" t="s">
        <v>41</v>
      </c>
      <c r="G252" s="1">
        <v>19097</v>
      </c>
      <c r="H252" s="1">
        <f>'1_Departamento_n'!C6</f>
        <v>1670770</v>
      </c>
      <c r="I252" s="1">
        <f>'1_Departamento_n'!H6</f>
        <v>1312</v>
      </c>
      <c r="J252" s="1">
        <f>'0_Parametros'!B7</f>
        <v>10</v>
      </c>
      <c r="K252" s="3">
        <f>(I252-SUM($J$226:$J$281))*G252/H252</f>
        <v>8.595404514086319</v>
      </c>
      <c r="L252" s="1">
        <f>INT(K252)</f>
        <v>8</v>
      </c>
      <c r="M252" s="3">
        <f>K252-L252</f>
        <v>0.5954045140863187</v>
      </c>
      <c r="N252" s="1">
        <f>COUNTIF($M$226:$M$281,"&gt;"&amp;M252)+COUNTIF($M$226:M252,M252)</f>
        <v>23</v>
      </c>
      <c r="O252" s="1">
        <f>J252+L252+IF(N252&lt;=I252-SUM($J$226:$J$281)-SUM($L$226:$L$281),1,0)</f>
        <v>19</v>
      </c>
    </row>
    <row r="253" spans="1:15">
      <c r="A253" s="1" t="s">
        <v>51</v>
      </c>
      <c r="B253" s="1" t="s">
        <v>55</v>
      </c>
      <c r="C253" s="1" t="s">
        <v>38</v>
      </c>
      <c r="D253" s="1" t="s">
        <v>49</v>
      </c>
      <c r="E253" s="1" t="s">
        <v>48</v>
      </c>
      <c r="F253" s="1" t="s">
        <v>42</v>
      </c>
      <c r="G253" s="1">
        <v>1735</v>
      </c>
      <c r="H253" s="1">
        <f>'1_Departamento_n'!C6</f>
        <v>1670770</v>
      </c>
      <c r="I253" s="1">
        <f>'1_Departamento_n'!H6</f>
        <v>1312</v>
      </c>
      <c r="J253" s="1">
        <f>'0_Parametros'!B7</f>
        <v>10</v>
      </c>
      <c r="K253" s="3">
        <f>(I253-SUM($J$226:$J$281))*G253/H253</f>
        <v>0.7809094010546036</v>
      </c>
      <c r="L253" s="1">
        <f>INT(K253)</f>
        <v>0</v>
      </c>
      <c r="M253" s="3">
        <f>K253-L253</f>
        <v>0.7809094010546036</v>
      </c>
      <c r="N253" s="1">
        <f>COUNTIF($M$226:$M$281,"&gt;"&amp;M253)+COUNTIF($M$226:M253,M253)</f>
        <v>12</v>
      </c>
      <c r="O253" s="1">
        <f>J253+L253+IF(N253&lt;=I253-SUM($J$226:$J$281)-SUM($L$226:$L$281),1,0)</f>
        <v>11</v>
      </c>
    </row>
    <row r="254" spans="1:15">
      <c r="A254" s="1" t="s">
        <v>51</v>
      </c>
      <c r="B254" s="1" t="s">
        <v>55</v>
      </c>
      <c r="C254" s="1" t="s">
        <v>50</v>
      </c>
      <c r="D254" s="1" t="s">
        <v>39</v>
      </c>
      <c r="E254" s="1" t="s">
        <v>40</v>
      </c>
      <c r="F254" s="1" t="s">
        <v>41</v>
      </c>
      <c r="G254" s="1">
        <v>47236</v>
      </c>
      <c r="H254" s="1">
        <f>'1_Departamento_n'!C6</f>
        <v>1670770</v>
      </c>
      <c r="I254" s="1">
        <f>'1_Departamento_n'!H6</f>
        <v>1312</v>
      </c>
      <c r="J254" s="1">
        <f>'0_Parametros'!B7</f>
        <v>10</v>
      </c>
      <c r="K254" s="3">
        <f>(I254-SUM($J$226:$J$281))*G254/H254</f>
        <v>21.26053975113271</v>
      </c>
      <c r="L254" s="1">
        <f>INT(K254)</f>
        <v>21</v>
      </c>
      <c r="M254" s="3">
        <f>K254-L254</f>
        <v>0.2605397511327112</v>
      </c>
      <c r="N254" s="1">
        <f>COUNTIF($M$226:$M$281,"&gt;"&amp;M254)+COUNTIF($M$226:M254,M254)</f>
        <v>46</v>
      </c>
      <c r="O254" s="1">
        <f>J254+L254+IF(N254&lt;=I254-SUM($J$226:$J$281)-SUM($L$226:$L$281),1,0)</f>
        <v>31</v>
      </c>
    </row>
    <row r="255" spans="1:15">
      <c r="A255" s="1" t="s">
        <v>51</v>
      </c>
      <c r="B255" s="1" t="s">
        <v>55</v>
      </c>
      <c r="C255" s="1" t="s">
        <v>50</v>
      </c>
      <c r="D255" s="1" t="s">
        <v>39</v>
      </c>
      <c r="E255" s="1" t="s">
        <v>40</v>
      </c>
      <c r="F255" s="1" t="s">
        <v>42</v>
      </c>
      <c r="G255" s="1">
        <v>42635</v>
      </c>
      <c r="H255" s="1">
        <f>'1_Departamento_n'!C6</f>
        <v>1670770</v>
      </c>
      <c r="I255" s="1">
        <f>'1_Departamento_n'!H6</f>
        <v>1312</v>
      </c>
      <c r="J255" s="1">
        <f>'0_Parametros'!B7</f>
        <v>10</v>
      </c>
      <c r="K255" s="3">
        <f>(I255-SUM($J$226:$J$281))*G255/H255</f>
        <v>19.18966703974814</v>
      </c>
      <c r="L255" s="1">
        <f>INT(K255)</f>
        <v>19</v>
      </c>
      <c r="M255" s="3">
        <f>K255-L255</f>
        <v>0.1896670397481408</v>
      </c>
      <c r="N255" s="1">
        <f>COUNTIF($M$226:$M$281,"&gt;"&amp;M255)+COUNTIF($M$226:M255,M255)</f>
        <v>49</v>
      </c>
      <c r="O255" s="1">
        <f>J255+L255+IF(N255&lt;=I255-SUM($J$226:$J$281)-SUM($L$226:$L$281),1,0)</f>
        <v>29</v>
      </c>
    </row>
    <row r="256" spans="1:15">
      <c r="A256" s="1" t="s">
        <v>51</v>
      </c>
      <c r="B256" s="1" t="s">
        <v>55</v>
      </c>
      <c r="C256" s="1" t="s">
        <v>50</v>
      </c>
      <c r="D256" s="1" t="s">
        <v>39</v>
      </c>
      <c r="E256" s="1" t="s">
        <v>43</v>
      </c>
      <c r="F256" s="1" t="s">
        <v>41</v>
      </c>
      <c r="G256" s="1">
        <v>63666</v>
      </c>
      <c r="H256" s="1">
        <f>'1_Departamento_n'!C6</f>
        <v>1670770</v>
      </c>
      <c r="I256" s="1">
        <f>'1_Departamento_n'!H6</f>
        <v>1312</v>
      </c>
      <c r="J256" s="1">
        <f>'0_Parametros'!B7</f>
        <v>10</v>
      </c>
      <c r="K256" s="3">
        <f>(I256-SUM($J$226:$J$281))*G256/H256</f>
        <v>28.655549237776594</v>
      </c>
      <c r="L256" s="1">
        <f>INT(K256)</f>
        <v>28</v>
      </c>
      <c r="M256" s="3">
        <f>K256-L256</f>
        <v>0.6555492377765937</v>
      </c>
      <c r="N256" s="1">
        <f>COUNTIF($M$226:$M$281,"&gt;"&amp;M256)+COUNTIF($M$226:M256,M256)</f>
        <v>17</v>
      </c>
      <c r="O256" s="1">
        <f>J256+L256+IF(N256&lt;=I256-SUM($J$226:$J$281)-SUM($L$226:$L$281),1,0)</f>
        <v>39</v>
      </c>
    </row>
    <row r="257" spans="1:15">
      <c r="A257" s="1" t="s">
        <v>51</v>
      </c>
      <c r="B257" s="1" t="s">
        <v>55</v>
      </c>
      <c r="C257" s="1" t="s">
        <v>50</v>
      </c>
      <c r="D257" s="1" t="s">
        <v>39</v>
      </c>
      <c r="E257" s="1" t="s">
        <v>43</v>
      </c>
      <c r="F257" s="1" t="s">
        <v>42</v>
      </c>
      <c r="G257" s="1">
        <v>55671</v>
      </c>
      <c r="H257" s="1">
        <f>'1_Departamento_n'!C6</f>
        <v>1670770</v>
      </c>
      <c r="I257" s="1">
        <f>'1_Departamento_n'!H6</f>
        <v>1312</v>
      </c>
      <c r="J257" s="1">
        <f>'0_Parametros'!B7</f>
        <v>10</v>
      </c>
      <c r="K257" s="3">
        <f>(I257-SUM($J$226:$J$281))*G257/H257</f>
        <v>25.057064706692124</v>
      </c>
      <c r="L257" s="1">
        <f>INT(K257)</f>
        <v>25</v>
      </c>
      <c r="M257" s="3">
        <f>K257-L257</f>
        <v>0.057064706692123934</v>
      </c>
      <c r="N257" s="1">
        <f>COUNTIF($M$226:$M$281,"&gt;"&amp;M257)+COUNTIF($M$226:M257,M257)</f>
        <v>55</v>
      </c>
      <c r="O257" s="1">
        <f>J257+L257+IF(N257&lt;=I257-SUM($J$226:$J$281)-SUM($L$226:$L$281),1,0)</f>
        <v>35</v>
      </c>
    </row>
    <row r="258" spans="1:15">
      <c r="A258" s="1" t="s">
        <v>51</v>
      </c>
      <c r="B258" s="1" t="s">
        <v>55</v>
      </c>
      <c r="C258" s="1" t="s">
        <v>50</v>
      </c>
      <c r="D258" s="1" t="s">
        <v>39</v>
      </c>
      <c r="E258" s="1" t="s">
        <v>44</v>
      </c>
      <c r="F258" s="1" t="s">
        <v>41</v>
      </c>
      <c r="G258" s="1">
        <v>58488</v>
      </c>
      <c r="H258" s="1">
        <f>'1_Departamento_n'!C6</f>
        <v>1670770</v>
      </c>
      <c r="I258" s="1">
        <f>'1_Departamento_n'!H6</f>
        <v>1312</v>
      </c>
      <c r="J258" s="1">
        <f>'0_Parametros'!B7</f>
        <v>10</v>
      </c>
      <c r="K258" s="3">
        <f>(I258-SUM($J$226:$J$281))*G258/H258</f>
        <v>26.324973515205564</v>
      </c>
      <c r="L258" s="1">
        <f>INT(K258)</f>
        <v>26</v>
      </c>
      <c r="M258" s="3">
        <f>K258-L258</f>
        <v>0.3249735152055635</v>
      </c>
      <c r="N258" s="1">
        <f>COUNTIF($M$226:$M$281,"&gt;"&amp;M258)+COUNTIF($M$226:M258,M258)</f>
        <v>42</v>
      </c>
      <c r="O258" s="1">
        <f>J258+L258+IF(N258&lt;=I258-SUM($J$226:$J$281)-SUM($L$226:$L$281),1,0)</f>
        <v>36</v>
      </c>
    </row>
    <row r="259" spans="1:15">
      <c r="A259" s="1" t="s">
        <v>51</v>
      </c>
      <c r="B259" s="1" t="s">
        <v>55</v>
      </c>
      <c r="C259" s="1" t="s">
        <v>50</v>
      </c>
      <c r="D259" s="1" t="s">
        <v>39</v>
      </c>
      <c r="E259" s="1" t="s">
        <v>44</v>
      </c>
      <c r="F259" s="1" t="s">
        <v>42</v>
      </c>
      <c r="G259" s="1">
        <v>49286</v>
      </c>
      <c r="H259" s="1">
        <f>'1_Departamento_n'!C6</f>
        <v>1670770</v>
      </c>
      <c r="I259" s="1">
        <f>'1_Departamento_n'!H6</f>
        <v>1312</v>
      </c>
      <c r="J259" s="1">
        <f>'0_Parametros'!B7</f>
        <v>10</v>
      </c>
      <c r="K259" s="3">
        <f>(I259-SUM($J$226:$J$281))*G259/H259</f>
        <v>22.183228092436423</v>
      </c>
      <c r="L259" s="1">
        <f>INT(K259)</f>
        <v>22</v>
      </c>
      <c r="M259" s="3">
        <f>K259-L259</f>
        <v>0.18322809243642268</v>
      </c>
      <c r="N259" s="1">
        <f>COUNTIF($M$226:$M$281,"&gt;"&amp;M259)+COUNTIF($M$226:M259,M259)</f>
        <v>51</v>
      </c>
      <c r="O259" s="1">
        <f>J259+L259+IF(N259&lt;=I259-SUM($J$226:$J$281)-SUM($L$226:$L$281),1,0)</f>
        <v>32</v>
      </c>
    </row>
    <row r="260" spans="1:15">
      <c r="A260" s="1" t="s">
        <v>51</v>
      </c>
      <c r="B260" s="1" t="s">
        <v>55</v>
      </c>
      <c r="C260" s="1" t="s">
        <v>50</v>
      </c>
      <c r="D260" s="1" t="s">
        <v>39</v>
      </c>
      <c r="E260" s="1" t="s">
        <v>45</v>
      </c>
      <c r="F260" s="1" t="s">
        <v>41</v>
      </c>
      <c r="G260" s="1">
        <v>52142</v>
      </c>
      <c r="H260" s="1">
        <f>'1_Departamento_n'!C6</f>
        <v>1670770</v>
      </c>
      <c r="I260" s="1">
        <f>'1_Departamento_n'!H6</f>
        <v>1312</v>
      </c>
      <c r="J260" s="1">
        <f>'0_Parametros'!B7</f>
        <v>10</v>
      </c>
      <c r="K260" s="3">
        <f>(I260-SUM($J$226:$J$281))*G260/H260</f>
        <v>23.468690484028322</v>
      </c>
      <c r="L260" s="1">
        <f>INT(K260)</f>
        <v>23</v>
      </c>
      <c r="M260" s="3">
        <f>K260-L260</f>
        <v>0.4686904840283219</v>
      </c>
      <c r="N260" s="1">
        <f>COUNTIF($M$226:$M$281,"&gt;"&amp;M260)+COUNTIF($M$226:M260,M260)</f>
        <v>30</v>
      </c>
      <c r="O260" s="1">
        <f>J260+L260+IF(N260&lt;=I260-SUM($J$226:$J$281)-SUM($L$226:$L$281),1,0)</f>
        <v>33</v>
      </c>
    </row>
    <row r="261" spans="1:15">
      <c r="A261" s="1" t="s">
        <v>51</v>
      </c>
      <c r="B261" s="1" t="s">
        <v>55</v>
      </c>
      <c r="C261" s="1" t="s">
        <v>50</v>
      </c>
      <c r="D261" s="1" t="s">
        <v>39</v>
      </c>
      <c r="E261" s="1" t="s">
        <v>45</v>
      </c>
      <c r="F261" s="1" t="s">
        <v>42</v>
      </c>
      <c r="G261" s="1">
        <v>39973</v>
      </c>
      <c r="H261" s="1">
        <f>'1_Departamento_n'!C6</f>
        <v>1670770</v>
      </c>
      <c r="I261" s="1">
        <f>'1_Departamento_n'!H6</f>
        <v>1312</v>
      </c>
      <c r="J261" s="1">
        <f>'0_Parametros'!B7</f>
        <v>10</v>
      </c>
      <c r="K261" s="3">
        <f>(I261-SUM($J$226:$J$281))*G261/H261</f>
        <v>17.991522471674738</v>
      </c>
      <c r="L261" s="1">
        <f>INT(K261)</f>
        <v>17</v>
      </c>
      <c r="M261" s="3">
        <f>K261-L261</f>
        <v>0.9915224716747382</v>
      </c>
      <c r="N261" s="1">
        <f>COUNTIF($M$226:$M$281,"&gt;"&amp;M261)+COUNTIF($M$226:M261,M261)</f>
        <v>1</v>
      </c>
      <c r="O261" s="1">
        <f>J261+L261+IF(N261&lt;=I261-SUM($J$226:$J$281)-SUM($L$226:$L$281),1,0)</f>
        <v>28</v>
      </c>
    </row>
    <row r="262" spans="1:15">
      <c r="A262" s="1" t="s">
        <v>51</v>
      </c>
      <c r="B262" s="1" t="s">
        <v>55</v>
      </c>
      <c r="C262" s="1" t="s">
        <v>50</v>
      </c>
      <c r="D262" s="1" t="s">
        <v>39</v>
      </c>
      <c r="E262" s="1" t="s">
        <v>46</v>
      </c>
      <c r="F262" s="1" t="s">
        <v>41</v>
      </c>
      <c r="G262" s="1">
        <v>47681</v>
      </c>
      <c r="H262" s="1">
        <f>'1_Departamento_n'!C6</f>
        <v>1670770</v>
      </c>
      <c r="I262" s="1">
        <f>'1_Departamento_n'!H6</f>
        <v>1312</v>
      </c>
      <c r="J262" s="1">
        <f>'0_Parametros'!B7</f>
        <v>10</v>
      </c>
      <c r="K262" s="3">
        <f>(I262-SUM($J$226:$J$281))*G262/H262</f>
        <v>21.460830634976688</v>
      </c>
      <c r="L262" s="1">
        <f>INT(K262)</f>
        <v>21</v>
      </c>
      <c r="M262" s="3">
        <f>K262-L262</f>
        <v>0.46083063497668775</v>
      </c>
      <c r="N262" s="1">
        <f>COUNTIF($M$226:$M$281,"&gt;"&amp;M262)+COUNTIF($M$226:M262,M262)</f>
        <v>31</v>
      </c>
      <c r="O262" s="1">
        <f>J262+L262+IF(N262&lt;=I262-SUM($J$226:$J$281)-SUM($L$226:$L$281),1,0)</f>
        <v>31</v>
      </c>
    </row>
    <row r="263" spans="1:15">
      <c r="A263" s="1" t="s">
        <v>51</v>
      </c>
      <c r="B263" s="1" t="s">
        <v>55</v>
      </c>
      <c r="C263" s="1" t="s">
        <v>50</v>
      </c>
      <c r="D263" s="1" t="s">
        <v>39</v>
      </c>
      <c r="E263" s="1" t="s">
        <v>46</v>
      </c>
      <c r="F263" s="1" t="s">
        <v>42</v>
      </c>
      <c r="G263" s="1">
        <v>35060</v>
      </c>
      <c r="H263" s="1">
        <f>'1_Departamento_n'!C6</f>
        <v>1670770</v>
      </c>
      <c r="I263" s="1">
        <f>'1_Departamento_n'!H6</f>
        <v>1312</v>
      </c>
      <c r="J263" s="1">
        <f>'0_Parametros'!B7</f>
        <v>10</v>
      </c>
      <c r="K263" s="3">
        <f>(I263-SUM($J$226:$J$281))*G263/H263</f>
        <v>15.78022109566248</v>
      </c>
      <c r="L263" s="1">
        <f>INT(K263)</f>
        <v>15</v>
      </c>
      <c r="M263" s="3">
        <f>K263-L263</f>
        <v>0.7802210956624798</v>
      </c>
      <c r="N263" s="1">
        <f>COUNTIF($M$226:$M$281,"&gt;"&amp;M263)+COUNTIF($M$226:M263,M263)</f>
        <v>13</v>
      </c>
      <c r="O263" s="1">
        <f>J263+L263+IF(N263&lt;=I263-SUM($J$226:$J$281)-SUM($L$226:$L$281),1,0)</f>
        <v>26</v>
      </c>
    </row>
    <row r="264" spans="1:15">
      <c r="A264" s="1" t="s">
        <v>51</v>
      </c>
      <c r="B264" s="1" t="s">
        <v>55</v>
      </c>
      <c r="C264" s="1" t="s">
        <v>50</v>
      </c>
      <c r="D264" s="1" t="s">
        <v>39</v>
      </c>
      <c r="E264" s="1" t="s">
        <v>47</v>
      </c>
      <c r="F264" s="1" t="s">
        <v>41</v>
      </c>
      <c r="G264" s="1">
        <v>43464</v>
      </c>
      <c r="H264" s="1">
        <f>'1_Departamento_n'!C6</f>
        <v>1670770</v>
      </c>
      <c r="I264" s="1">
        <f>'1_Departamento_n'!H6</f>
        <v>1312</v>
      </c>
      <c r="J264" s="1">
        <f>'0_Parametros'!B7</f>
        <v>10</v>
      </c>
      <c r="K264" s="3">
        <f>(I264-SUM($J$226:$J$281))*G264/H264</f>
        <v>19.562793203133886</v>
      </c>
      <c r="L264" s="1">
        <f>INT(K264)</f>
        <v>19</v>
      </c>
      <c r="M264" s="3">
        <f>K264-L264</f>
        <v>0.5627932031338858</v>
      </c>
      <c r="N264" s="1">
        <f>COUNTIF($M$226:$M$281,"&gt;"&amp;M264)+COUNTIF($M$226:M264,M264)</f>
        <v>25</v>
      </c>
      <c r="O264" s="1">
        <f>J264+L264+IF(N264&lt;=I264-SUM($J$226:$J$281)-SUM($L$226:$L$281),1,0)</f>
        <v>30</v>
      </c>
    </row>
    <row r="265" spans="1:15">
      <c r="A265" s="1" t="s">
        <v>51</v>
      </c>
      <c r="B265" s="1" t="s">
        <v>55</v>
      </c>
      <c r="C265" s="1" t="s">
        <v>50</v>
      </c>
      <c r="D265" s="1" t="s">
        <v>39</v>
      </c>
      <c r="E265" s="1" t="s">
        <v>47</v>
      </c>
      <c r="F265" s="1" t="s">
        <v>42</v>
      </c>
      <c r="G265" s="1">
        <v>31707</v>
      </c>
      <c r="H265" s="1">
        <f>'1_Departamento_n'!C6</f>
        <v>1670770</v>
      </c>
      <c r="I265" s="1">
        <f>'1_Departamento_n'!H6</f>
        <v>1312</v>
      </c>
      <c r="J265" s="1">
        <f>'0_Parametros'!B7</f>
        <v>10</v>
      </c>
      <c r="K265" s="3">
        <f>(I265-SUM($J$226:$J$281))*G265/H265</f>
        <v>14.271063042788654</v>
      </c>
      <c r="L265" s="1">
        <f>INT(K265)</f>
        <v>14</v>
      </c>
      <c r="M265" s="3">
        <f>K265-L265</f>
        <v>0.27106304278865423</v>
      </c>
      <c r="N265" s="1">
        <f>COUNTIF($M$226:$M$281,"&gt;"&amp;M265)+COUNTIF($M$226:M265,M265)</f>
        <v>45</v>
      </c>
      <c r="O265" s="1">
        <f>J265+L265+IF(N265&lt;=I265-SUM($J$226:$J$281)-SUM($L$226:$L$281),1,0)</f>
        <v>24</v>
      </c>
    </row>
    <row r="266" spans="1:15">
      <c r="A266" s="1" t="s">
        <v>51</v>
      </c>
      <c r="B266" s="1" t="s">
        <v>55</v>
      </c>
      <c r="C266" s="1" t="s">
        <v>50</v>
      </c>
      <c r="D266" s="1" t="s">
        <v>39</v>
      </c>
      <c r="E266" s="1" t="s">
        <v>48</v>
      </c>
      <c r="F266" s="1" t="s">
        <v>41</v>
      </c>
      <c r="G266" s="1">
        <v>66261</v>
      </c>
      <c r="H266" s="1">
        <f>'1_Departamento_n'!C6</f>
        <v>1670770</v>
      </c>
      <c r="I266" s="1">
        <f>'1_Departamento_n'!H6</f>
        <v>1312</v>
      </c>
      <c r="J266" s="1">
        <f>'0_Parametros'!B7</f>
        <v>10</v>
      </c>
      <c r="K266" s="3">
        <f>(I266-SUM($J$226:$J$281))*G266/H266</f>
        <v>29.82353765030495</v>
      </c>
      <c r="L266" s="1">
        <f>INT(K266)</f>
        <v>29</v>
      </c>
      <c r="M266" s="3">
        <f>K266-L266</f>
        <v>0.8235376503049494</v>
      </c>
      <c r="N266" s="1">
        <f>COUNTIF($M$226:$M$281,"&gt;"&amp;M266)+COUNTIF($M$226:M266,M266)</f>
        <v>8</v>
      </c>
      <c r="O266" s="1">
        <f>J266+L266+IF(N266&lt;=I266-SUM($J$226:$J$281)-SUM($L$226:$L$281),1,0)</f>
        <v>40</v>
      </c>
    </row>
    <row r="267" spans="1:15">
      <c r="A267" s="1" t="s">
        <v>51</v>
      </c>
      <c r="B267" s="1" t="s">
        <v>55</v>
      </c>
      <c r="C267" s="1" t="s">
        <v>50</v>
      </c>
      <c r="D267" s="1" t="s">
        <v>39</v>
      </c>
      <c r="E267" s="1" t="s">
        <v>48</v>
      </c>
      <c r="F267" s="1" t="s">
        <v>42</v>
      </c>
      <c r="G267" s="1">
        <v>49585</v>
      </c>
      <c r="H267" s="1">
        <f>'1_Departamento_n'!C6</f>
        <v>1670770</v>
      </c>
      <c r="I267" s="1">
        <f>'1_Departamento_n'!H6</f>
        <v>1312</v>
      </c>
      <c r="J267" s="1">
        <f>'0_Parametros'!B7</f>
        <v>10</v>
      </c>
      <c r="K267" s="3">
        <f>(I267-SUM($J$226:$J$281))*G267/H267</f>
        <v>22.31780556270462</v>
      </c>
      <c r="L267" s="1">
        <f>INT(K267)</f>
        <v>22</v>
      </c>
      <c r="M267" s="3">
        <f>K267-L267</f>
        <v>0.31780556270462057</v>
      </c>
      <c r="N267" s="1">
        <f>COUNTIF($M$226:$M$281,"&gt;"&amp;M267)+COUNTIF($M$226:M267,M267)</f>
        <v>43</v>
      </c>
      <c r="O267" s="1">
        <f>J267+L267+IF(N267&lt;=I267-SUM($J$226:$J$281)-SUM($L$226:$L$281),1,0)</f>
        <v>32</v>
      </c>
    </row>
    <row r="268" spans="1:15">
      <c r="A268" s="1" t="s">
        <v>51</v>
      </c>
      <c r="B268" s="1" t="s">
        <v>55</v>
      </c>
      <c r="C268" s="1" t="s">
        <v>50</v>
      </c>
      <c r="D268" s="1" t="s">
        <v>49</v>
      </c>
      <c r="E268" s="1" t="s">
        <v>40</v>
      </c>
      <c r="F268" s="1" t="s">
        <v>41</v>
      </c>
      <c r="G268" s="1">
        <v>49441</v>
      </c>
      <c r="H268" s="1">
        <f>'1_Departamento_n'!C6</f>
        <v>1670770</v>
      </c>
      <c r="I268" s="1">
        <f>'1_Departamento_n'!H6</f>
        <v>1312</v>
      </c>
      <c r="J268" s="1">
        <f>'0_Parametros'!B7</f>
        <v>10</v>
      </c>
      <c r="K268" s="3">
        <f>(I268-SUM($J$226:$J$281))*G268/H268</f>
        <v>22.25299233287646</v>
      </c>
      <c r="L268" s="1">
        <f>INT(K268)</f>
        <v>22</v>
      </c>
      <c r="M268" s="3">
        <f>K268-L268</f>
        <v>0.2529923328764596</v>
      </c>
      <c r="N268" s="1">
        <f>COUNTIF($M$226:$M$281,"&gt;"&amp;M268)+COUNTIF($M$226:M268,M268)</f>
        <v>48</v>
      </c>
      <c r="O268" s="1">
        <f>J268+L268+IF(N268&lt;=I268-SUM($J$226:$J$281)-SUM($L$226:$L$281),1,0)</f>
        <v>32</v>
      </c>
    </row>
    <row r="269" spans="1:15">
      <c r="A269" s="1" t="s">
        <v>51</v>
      </c>
      <c r="B269" s="1" t="s">
        <v>55</v>
      </c>
      <c r="C269" s="1" t="s">
        <v>50</v>
      </c>
      <c r="D269" s="1" t="s">
        <v>49</v>
      </c>
      <c r="E269" s="1" t="s">
        <v>40</v>
      </c>
      <c r="F269" s="1" t="s">
        <v>42</v>
      </c>
      <c r="G269" s="1">
        <v>45436</v>
      </c>
      <c r="H269" s="1">
        <f>'1_Departamento_n'!C6</f>
        <v>1670770</v>
      </c>
      <c r="I269" s="1">
        <f>'1_Departamento_n'!H6</f>
        <v>1312</v>
      </c>
      <c r="J269" s="1">
        <f>'0_Parametros'!B7</f>
        <v>10</v>
      </c>
      <c r="K269" s="3">
        <f>(I269-SUM($J$226:$J$281))*G269/H269</f>
        <v>20.450374378280674</v>
      </c>
      <c r="L269" s="1">
        <f>INT(K269)</f>
        <v>20</v>
      </c>
      <c r="M269" s="3">
        <f>K269-L269</f>
        <v>0.4503743782806744</v>
      </c>
      <c r="N269" s="1">
        <f>COUNTIF($M$226:$M$281,"&gt;"&amp;M269)+COUNTIF($M$226:M269,M269)</f>
        <v>33</v>
      </c>
      <c r="O269" s="1">
        <f>J269+L269+IF(N269&lt;=I269-SUM($J$226:$J$281)-SUM($L$226:$L$281),1,0)</f>
        <v>30</v>
      </c>
    </row>
    <row r="270" spans="1:15">
      <c r="A270" s="1" t="s">
        <v>51</v>
      </c>
      <c r="B270" s="1" t="s">
        <v>55</v>
      </c>
      <c r="C270" s="1" t="s">
        <v>50</v>
      </c>
      <c r="D270" s="1" t="s">
        <v>49</v>
      </c>
      <c r="E270" s="1" t="s">
        <v>43</v>
      </c>
      <c r="F270" s="1" t="s">
        <v>41</v>
      </c>
      <c r="G270" s="1">
        <v>65358</v>
      </c>
      <c r="H270" s="1">
        <f>'1_Departamento_n'!C6</f>
        <v>1670770</v>
      </c>
      <c r="I270" s="1">
        <f>'1_Departamento_n'!H6</f>
        <v>1312</v>
      </c>
      <c r="J270" s="1">
        <f>'0_Parametros'!B7</f>
        <v>10</v>
      </c>
      <c r="K270" s="3">
        <f>(I270-SUM($J$226:$J$281))*G270/H270</f>
        <v>29.41710468825751</v>
      </c>
      <c r="L270" s="1">
        <f>INT(K270)</f>
        <v>29</v>
      </c>
      <c r="M270" s="3">
        <f>K270-L270</f>
        <v>0.4171046882575098</v>
      </c>
      <c r="N270" s="1">
        <f>COUNTIF($M$226:$M$281,"&gt;"&amp;M270)+COUNTIF($M$226:M270,M270)</f>
        <v>35</v>
      </c>
      <c r="O270" s="1">
        <f>J270+L270+IF(N270&lt;=I270-SUM($J$226:$J$281)-SUM($L$226:$L$281),1,0)</f>
        <v>39</v>
      </c>
    </row>
    <row r="271" spans="1:15">
      <c r="A271" s="1" t="s">
        <v>51</v>
      </c>
      <c r="B271" s="1" t="s">
        <v>55</v>
      </c>
      <c r="C271" s="1" t="s">
        <v>50</v>
      </c>
      <c r="D271" s="1" t="s">
        <v>49</v>
      </c>
      <c r="E271" s="1" t="s">
        <v>43</v>
      </c>
      <c r="F271" s="1" t="s">
        <v>42</v>
      </c>
      <c r="G271" s="1">
        <v>56732</v>
      </c>
      <c r="H271" s="1">
        <f>'1_Departamento_n'!C6</f>
        <v>1670770</v>
      </c>
      <c r="I271" s="1">
        <f>'1_Departamento_n'!H6</f>
        <v>1312</v>
      </c>
      <c r="J271" s="1">
        <f>'0_Parametros'!B7</f>
        <v>10</v>
      </c>
      <c r="K271" s="3">
        <f>(I271-SUM($J$226:$J$281))*G271/H271</f>
        <v>25.53461218480102</v>
      </c>
      <c r="L271" s="1">
        <f>INT(K271)</f>
        <v>25</v>
      </c>
      <c r="M271" s="3">
        <f>K271-L271</f>
        <v>0.5346121848010199</v>
      </c>
      <c r="N271" s="1">
        <f>COUNTIF($M$226:$M$281,"&gt;"&amp;M271)+COUNTIF($M$226:M271,M271)</f>
        <v>27</v>
      </c>
      <c r="O271" s="1">
        <f>J271+L271+IF(N271&lt;=I271-SUM($J$226:$J$281)-SUM($L$226:$L$281),1,0)</f>
        <v>36</v>
      </c>
    </row>
    <row r="272" spans="1:15">
      <c r="A272" s="1" t="s">
        <v>51</v>
      </c>
      <c r="B272" s="1" t="s">
        <v>55</v>
      </c>
      <c r="C272" s="1" t="s">
        <v>50</v>
      </c>
      <c r="D272" s="1" t="s">
        <v>49</v>
      </c>
      <c r="E272" s="1" t="s">
        <v>44</v>
      </c>
      <c r="F272" s="1" t="s">
        <v>41</v>
      </c>
      <c r="G272" s="1">
        <v>48438</v>
      </c>
      <c r="H272" s="1">
        <f>'1_Departamento_n'!C6</f>
        <v>1670770</v>
      </c>
      <c r="I272" s="1">
        <f>'1_Departamento_n'!H6</f>
        <v>1312</v>
      </c>
      <c r="J272" s="1">
        <f>'0_Parametros'!B7</f>
        <v>10</v>
      </c>
      <c r="K272" s="3">
        <f>(I272-SUM($J$226:$J$281))*G272/H272</f>
        <v>21.80155018344835</v>
      </c>
      <c r="L272" s="1">
        <f>INT(K272)</f>
        <v>21</v>
      </c>
      <c r="M272" s="3">
        <f>K272-L272</f>
        <v>0.8015501834483487</v>
      </c>
      <c r="N272" s="1">
        <f>COUNTIF($M$226:$M$281,"&gt;"&amp;M272)+COUNTIF($M$226:M272,M272)</f>
        <v>10</v>
      </c>
      <c r="O272" s="1">
        <f>J272+L272+IF(N272&lt;=I272-SUM($J$226:$J$281)-SUM($L$226:$L$281),1,0)</f>
        <v>32</v>
      </c>
    </row>
    <row r="273" spans="1:15">
      <c r="A273" s="1" t="s">
        <v>51</v>
      </c>
      <c r="B273" s="1" t="s">
        <v>55</v>
      </c>
      <c r="C273" s="1" t="s">
        <v>50</v>
      </c>
      <c r="D273" s="1" t="s">
        <v>49</v>
      </c>
      <c r="E273" s="1" t="s">
        <v>44</v>
      </c>
      <c r="F273" s="1" t="s">
        <v>42</v>
      </c>
      <c r="G273" s="1">
        <v>37897</v>
      </c>
      <c r="H273" s="1">
        <f>'1_Departamento_n'!C6</f>
        <v>1670770</v>
      </c>
      <c r="I273" s="1">
        <f>'1_Departamento_n'!H6</f>
        <v>1312</v>
      </c>
      <c r="J273" s="1">
        <f>'0_Parametros'!B7</f>
        <v>10</v>
      </c>
      <c r="K273" s="3">
        <f>(I273-SUM($J$226:$J$281))*G273/H273</f>
        <v>17.057131741652054</v>
      </c>
      <c r="L273" s="1">
        <f>INT(K273)</f>
        <v>17</v>
      </c>
      <c r="M273" s="3">
        <f>K273-L273</f>
        <v>0.05713174165205359</v>
      </c>
      <c r="N273" s="1">
        <f>COUNTIF($M$226:$M$281,"&gt;"&amp;M273)+COUNTIF($M$226:M273,M273)</f>
        <v>54</v>
      </c>
      <c r="O273" s="1">
        <f>J273+L273+IF(N273&lt;=I273-SUM($J$226:$J$281)-SUM($L$226:$L$281),1,0)</f>
        <v>27</v>
      </c>
    </row>
    <row r="274" spans="1:15">
      <c r="A274" s="1" t="s">
        <v>51</v>
      </c>
      <c r="B274" s="1" t="s">
        <v>55</v>
      </c>
      <c r="C274" s="1" t="s">
        <v>50</v>
      </c>
      <c r="D274" s="1" t="s">
        <v>49</v>
      </c>
      <c r="E274" s="1" t="s">
        <v>45</v>
      </c>
      <c r="F274" s="1" t="s">
        <v>41</v>
      </c>
      <c r="G274" s="1">
        <v>41820</v>
      </c>
      <c r="H274" s="1">
        <f>'1_Departamento_n'!C6</f>
        <v>1670770</v>
      </c>
      <c r="I274" s="1">
        <f>'1_Departamento_n'!H6</f>
        <v>1312</v>
      </c>
      <c r="J274" s="1">
        <f>'0_Parametros'!B7</f>
        <v>10</v>
      </c>
      <c r="K274" s="3">
        <f>(I274-SUM($J$226:$J$281))*G274/H274</f>
        <v>18.822842162595688</v>
      </c>
      <c r="L274" s="1">
        <f>INT(K274)</f>
        <v>18</v>
      </c>
      <c r="M274" s="3">
        <f>K274-L274</f>
        <v>0.8228421625956877</v>
      </c>
      <c r="N274" s="1">
        <f>COUNTIF($M$226:$M$281,"&gt;"&amp;M274)+COUNTIF($M$226:M274,M274)</f>
        <v>9</v>
      </c>
      <c r="O274" s="1">
        <f>J274+L274+IF(N274&lt;=I274-SUM($J$226:$J$281)-SUM($L$226:$L$281),1,0)</f>
        <v>29</v>
      </c>
    </row>
    <row r="275" spans="1:15">
      <c r="A275" s="1" t="s">
        <v>51</v>
      </c>
      <c r="B275" s="1" t="s">
        <v>55</v>
      </c>
      <c r="C275" s="1" t="s">
        <v>50</v>
      </c>
      <c r="D275" s="1" t="s">
        <v>49</v>
      </c>
      <c r="E275" s="1" t="s">
        <v>45</v>
      </c>
      <c r="F275" s="1" t="s">
        <v>42</v>
      </c>
      <c r="G275" s="1">
        <v>31769</v>
      </c>
      <c r="H275" s="1">
        <f>'1_Departamento_n'!C6</f>
        <v>1670770</v>
      </c>
      <c r="I275" s="1">
        <f>'1_Departamento_n'!H6</f>
        <v>1312</v>
      </c>
      <c r="J275" s="1">
        <f>'0_Parametros'!B7</f>
        <v>10</v>
      </c>
      <c r="K275" s="3">
        <f>(I275-SUM($J$226:$J$281))*G275/H275</f>
        <v>14.29896873896467</v>
      </c>
      <c r="L275" s="1">
        <f>INT(K275)</f>
        <v>14</v>
      </c>
      <c r="M275" s="3">
        <f>K275-L275</f>
        <v>0.29896873896466936</v>
      </c>
      <c r="N275" s="1">
        <f>COUNTIF($M$226:$M$281,"&gt;"&amp;M275)+COUNTIF($M$226:M275,M275)</f>
        <v>44</v>
      </c>
      <c r="O275" s="1">
        <f>J275+L275+IF(N275&lt;=I275-SUM($J$226:$J$281)-SUM($L$226:$L$281),1,0)</f>
        <v>24</v>
      </c>
    </row>
    <row r="276" spans="1:15">
      <c r="A276" s="1" t="s">
        <v>51</v>
      </c>
      <c r="B276" s="1" t="s">
        <v>55</v>
      </c>
      <c r="C276" s="1" t="s">
        <v>50</v>
      </c>
      <c r="D276" s="1" t="s">
        <v>49</v>
      </c>
      <c r="E276" s="1" t="s">
        <v>46</v>
      </c>
      <c r="F276" s="1" t="s">
        <v>41</v>
      </c>
      <c r="G276" s="1">
        <v>40811</v>
      </c>
      <c r="H276" s="1">
        <f>'1_Departamento_n'!C6</f>
        <v>1670770</v>
      </c>
      <c r="I276" s="1">
        <f>'1_Departamento_n'!H6</f>
        <v>1312</v>
      </c>
      <c r="J276" s="1">
        <f>'0_Parametros'!B7</f>
        <v>10</v>
      </c>
      <c r="K276" s="3">
        <f>(I276-SUM($J$226:$J$281))*G276/H276</f>
        <v>18.36869946192474</v>
      </c>
      <c r="L276" s="1">
        <f>INT(K276)</f>
        <v>18</v>
      </c>
      <c r="M276" s="3">
        <f>K276-L276</f>
        <v>0.36869946192474146</v>
      </c>
      <c r="N276" s="1">
        <f>COUNTIF($M$226:$M$281,"&gt;"&amp;M276)+COUNTIF($M$226:M276,M276)</f>
        <v>37</v>
      </c>
      <c r="O276" s="1">
        <f>J276+L276+IF(N276&lt;=I276-SUM($J$226:$J$281)-SUM($L$226:$L$281),1,0)</f>
        <v>28</v>
      </c>
    </row>
    <row r="277" spans="1:15">
      <c r="A277" s="1" t="s">
        <v>51</v>
      </c>
      <c r="B277" s="1" t="s">
        <v>55</v>
      </c>
      <c r="C277" s="1" t="s">
        <v>50</v>
      </c>
      <c r="D277" s="1" t="s">
        <v>49</v>
      </c>
      <c r="E277" s="1" t="s">
        <v>46</v>
      </c>
      <c r="F277" s="1" t="s">
        <v>42</v>
      </c>
      <c r="G277" s="1">
        <v>31848</v>
      </c>
      <c r="H277" s="1">
        <f>'1_Departamento_n'!C6</f>
        <v>1670770</v>
      </c>
      <c r="I277" s="1">
        <f>'1_Departamento_n'!H6</f>
        <v>1312</v>
      </c>
      <c r="J277" s="1">
        <f>'0_Parametros'!B7</f>
        <v>10</v>
      </c>
      <c r="K277" s="3">
        <f>(I277-SUM($J$226:$J$281))*G277/H277</f>
        <v>14.334525996995398</v>
      </c>
      <c r="L277" s="1">
        <f>INT(K277)</f>
        <v>14</v>
      </c>
      <c r="M277" s="3">
        <f>K277-L277</f>
        <v>0.33452599699539753</v>
      </c>
      <c r="N277" s="1">
        <f>COUNTIF($M$226:$M$281,"&gt;"&amp;M277)+COUNTIF($M$226:M277,M277)</f>
        <v>41</v>
      </c>
      <c r="O277" s="1">
        <f>J277+L277+IF(N277&lt;=I277-SUM($J$226:$J$281)-SUM($L$226:$L$281),1,0)</f>
        <v>24</v>
      </c>
    </row>
    <row r="278" spans="1:15">
      <c r="A278" s="1" t="s">
        <v>51</v>
      </c>
      <c r="B278" s="1" t="s">
        <v>55</v>
      </c>
      <c r="C278" s="1" t="s">
        <v>50</v>
      </c>
      <c r="D278" s="1" t="s">
        <v>49</v>
      </c>
      <c r="E278" s="1" t="s">
        <v>47</v>
      </c>
      <c r="F278" s="1" t="s">
        <v>41</v>
      </c>
      <c r="G278" s="1">
        <v>39938</v>
      </c>
      <c r="H278" s="1">
        <f>'1_Departamento_n'!C6</f>
        <v>1670770</v>
      </c>
      <c r="I278" s="1">
        <f>'1_Departamento_n'!H6</f>
        <v>1312</v>
      </c>
      <c r="J278" s="1">
        <f>'0_Parametros'!B7</f>
        <v>10</v>
      </c>
      <c r="K278" s="3">
        <f>(I278-SUM($J$226:$J$281))*G278/H278</f>
        <v>17.975769256091503</v>
      </c>
      <c r="L278" s="1">
        <f>INT(K278)</f>
        <v>17</v>
      </c>
      <c r="M278" s="3">
        <f>K278-L278</f>
        <v>0.9757692560915032</v>
      </c>
      <c r="N278" s="1">
        <f>COUNTIF($M$226:$M$281,"&gt;"&amp;M278)+COUNTIF($M$226:M278,M278)</f>
        <v>4</v>
      </c>
      <c r="O278" s="1">
        <f>J278+L278+IF(N278&lt;=I278-SUM($J$226:$J$281)-SUM($L$226:$L$281),1,0)</f>
        <v>28</v>
      </c>
    </row>
    <row r="279" spans="1:15">
      <c r="A279" s="1" t="s">
        <v>51</v>
      </c>
      <c r="B279" s="1" t="s">
        <v>55</v>
      </c>
      <c r="C279" s="1" t="s">
        <v>50</v>
      </c>
      <c r="D279" s="1" t="s">
        <v>49</v>
      </c>
      <c r="E279" s="1" t="s">
        <v>47</v>
      </c>
      <c r="F279" s="1" t="s">
        <v>42</v>
      </c>
      <c r="G279" s="1">
        <v>32865</v>
      </c>
      <c r="H279" s="1">
        <f>'1_Departamento_n'!C6</f>
        <v>1670770</v>
      </c>
      <c r="I279" s="1">
        <f>'1_Departamento_n'!H6</f>
        <v>1312</v>
      </c>
      <c r="J279" s="1">
        <f>'0_Parametros'!B7</f>
        <v>10</v>
      </c>
      <c r="K279" s="3">
        <f>(I279-SUM($J$226:$J$281))*G279/H279</f>
        <v>14.792269432656799</v>
      </c>
      <c r="L279" s="1">
        <f>INT(K279)</f>
        <v>14</v>
      </c>
      <c r="M279" s="3">
        <f>K279-L279</f>
        <v>0.7922694326567985</v>
      </c>
      <c r="N279" s="1">
        <f>COUNTIF($M$226:$M$281,"&gt;"&amp;M279)+COUNTIF($M$226:M279,M279)</f>
        <v>11</v>
      </c>
      <c r="O279" s="1">
        <f>J279+L279+IF(N279&lt;=I279-SUM($J$226:$J$281)-SUM($L$226:$L$281),1,0)</f>
        <v>25</v>
      </c>
    </row>
    <row r="280" spans="1:15">
      <c r="A280" s="1" t="s">
        <v>51</v>
      </c>
      <c r="B280" s="1" t="s">
        <v>55</v>
      </c>
      <c r="C280" s="1" t="s">
        <v>50</v>
      </c>
      <c r="D280" s="1" t="s">
        <v>49</v>
      </c>
      <c r="E280" s="1" t="s">
        <v>48</v>
      </c>
      <c r="F280" s="1" t="s">
        <v>41</v>
      </c>
      <c r="G280" s="1">
        <v>61285</v>
      </c>
      <c r="H280" s="1">
        <f>'1_Departamento_n'!C6</f>
        <v>1670770</v>
      </c>
      <c r="I280" s="1">
        <f>'1_Departamento_n'!H6</f>
        <v>1312</v>
      </c>
      <c r="J280" s="1">
        <f>'0_Parametros'!B7</f>
        <v>10</v>
      </c>
      <c r="K280" s="3">
        <f>(I280-SUM($J$226:$J$281))*G280/H280</f>
        <v>27.58388048624287</v>
      </c>
      <c r="L280" s="1">
        <f>INT(K280)</f>
        <v>27</v>
      </c>
      <c r="M280" s="3">
        <f>K280-L280</f>
        <v>0.5838804862428688</v>
      </c>
      <c r="N280" s="1">
        <f>COUNTIF($M$226:$M$281,"&gt;"&amp;M280)+COUNTIF($M$226:M280,M280)</f>
        <v>24</v>
      </c>
      <c r="O280" s="1">
        <f>J280+L280+IF(N280&lt;=I280-SUM($J$226:$J$281)-SUM($L$226:$L$281),1,0)</f>
        <v>38</v>
      </c>
    </row>
    <row r="281" spans="1:15">
      <c r="A281" s="1" t="s">
        <v>51</v>
      </c>
      <c r="B281" s="1" t="s">
        <v>55</v>
      </c>
      <c r="C281" s="1" t="s">
        <v>50</v>
      </c>
      <c r="D281" s="1" t="s">
        <v>49</v>
      </c>
      <c r="E281" s="1" t="s">
        <v>48</v>
      </c>
      <c r="F281" s="1" t="s">
        <v>42</v>
      </c>
      <c r="G281" s="1">
        <v>55896</v>
      </c>
      <c r="H281" s="1">
        <f>'1_Departamento_n'!C6</f>
        <v>1670770</v>
      </c>
      <c r="I281" s="1">
        <f>'1_Departamento_n'!H6</f>
        <v>1312</v>
      </c>
      <c r="J281" s="1">
        <f>'0_Parametros'!B7</f>
        <v>10</v>
      </c>
      <c r="K281" s="3">
        <f>(I281-SUM($J$226:$J$281))*G281/H281</f>
        <v>25.158335378298627</v>
      </c>
      <c r="L281" s="1">
        <f>INT(K281)</f>
        <v>25</v>
      </c>
      <c r="M281" s="3">
        <f>K281-L281</f>
        <v>0.1583353782986272</v>
      </c>
      <c r="N281" s="1">
        <f>COUNTIF($M$226:$M$281,"&gt;"&amp;M281)+COUNTIF($M$226:M281,M281)</f>
        <v>53</v>
      </c>
      <c r="O281" s="1">
        <f>J281+L281+IF(N281&lt;=I281-SUM($J$226:$J$281)-SUM($L$226:$L$281),1,0)</f>
        <v>35</v>
      </c>
    </row>
    <row r="282" spans="1:15">
      <c r="A282" s="1" t="s">
        <v>51</v>
      </c>
      <c r="B282" s="1" t="s">
        <v>56</v>
      </c>
      <c r="C282" s="1" t="s">
        <v>38</v>
      </c>
      <c r="D282" s="1" t="s">
        <v>39</v>
      </c>
      <c r="E282" s="1" t="s">
        <v>40</v>
      </c>
      <c r="F282" s="1" t="s">
        <v>41</v>
      </c>
      <c r="G282" s="1">
        <v>7657</v>
      </c>
      <c r="H282" s="1">
        <f>'1_Departamento_n'!C7</f>
        <v>1151490</v>
      </c>
      <c r="I282" s="1">
        <f>'1_Departamento_n'!H7</f>
        <v>1312</v>
      </c>
      <c r="J282" s="1">
        <f>'0_Parametros'!B7</f>
        <v>10</v>
      </c>
      <c r="K282" s="3">
        <f>(I282-SUM($J$282:$J$337))*G282/H282</f>
        <v>5.0005332221730106</v>
      </c>
      <c r="L282" s="1">
        <f>INT(K282)</f>
        <v>5</v>
      </c>
      <c r="M282" s="3">
        <f>K282-L282</f>
        <v>0.0005332221730105502</v>
      </c>
      <c r="N282" s="1">
        <f>COUNTIF($M$282:$M$337,"&gt;"&amp;M282)+COUNTIF($M$282:M282,M282)</f>
        <v>56</v>
      </c>
      <c r="O282" s="1">
        <f>J282+L282+IF(N282&lt;=I282-SUM($J$282:$J$337)-SUM($L$282:$L$337),1,0)</f>
        <v>15</v>
      </c>
    </row>
    <row r="283" spans="1:15">
      <c r="A283" s="1" t="s">
        <v>51</v>
      </c>
      <c r="B283" s="1" t="s">
        <v>56</v>
      </c>
      <c r="C283" s="1" t="s">
        <v>38</v>
      </c>
      <c r="D283" s="1" t="s">
        <v>39</v>
      </c>
      <c r="E283" s="1" t="s">
        <v>40</v>
      </c>
      <c r="F283" s="1" t="s">
        <v>42</v>
      </c>
      <c r="G283" s="1">
        <v>2230</v>
      </c>
      <c r="H283" s="1">
        <f>'1_Departamento_n'!C7</f>
        <v>1151490</v>
      </c>
      <c r="I283" s="1">
        <f>'1_Departamento_n'!H7</f>
        <v>1312</v>
      </c>
      <c r="J283" s="1">
        <f>'0_Parametros'!B7</f>
        <v>10</v>
      </c>
      <c r="K283" s="3">
        <f>(I283-SUM($J$282:$J$337))*G283/H283</f>
        <v>1.456339177934676</v>
      </c>
      <c r="L283" s="1">
        <f>INT(K283)</f>
        <v>1</v>
      </c>
      <c r="M283" s="3">
        <f>K283-L283</f>
        <v>0.45633917793467593</v>
      </c>
      <c r="N283" s="1">
        <f>COUNTIF($M$282:$M$337,"&gt;"&amp;M283)+COUNTIF($M$282:M283,M283)</f>
        <v>29</v>
      </c>
      <c r="O283" s="1">
        <f>J283+L283+IF(N283&lt;=I283-SUM($J$282:$J$337)-SUM($L$282:$L$337),1,0)</f>
        <v>12</v>
      </c>
    </row>
    <row r="284" spans="1:15">
      <c r="A284" s="1" t="s">
        <v>51</v>
      </c>
      <c r="B284" s="1" t="s">
        <v>56</v>
      </c>
      <c r="C284" s="1" t="s">
        <v>38</v>
      </c>
      <c r="D284" s="1" t="s">
        <v>39</v>
      </c>
      <c r="E284" s="1" t="s">
        <v>43</v>
      </c>
      <c r="F284" s="1" t="s">
        <v>41</v>
      </c>
      <c r="G284" s="1">
        <v>8964</v>
      </c>
      <c r="H284" s="1">
        <f>'1_Departamento_n'!C7</f>
        <v>1151490</v>
      </c>
      <c r="I284" s="1">
        <f>'1_Departamento_n'!H7</f>
        <v>1312</v>
      </c>
      <c r="J284" s="1">
        <f>'0_Parametros'!B7</f>
        <v>10</v>
      </c>
      <c r="K284" s="3">
        <f>(I284-SUM($J$282:$J$337))*G284/H284</f>
        <v>5.854091655159836</v>
      </c>
      <c r="L284" s="1">
        <f>INT(K284)</f>
        <v>5</v>
      </c>
      <c r="M284" s="3">
        <f>K284-L284</f>
        <v>0.8540916551598361</v>
      </c>
      <c r="N284" s="1">
        <f>COUNTIF($M$282:$M$337,"&gt;"&amp;M284)+COUNTIF($M$282:M284,M284)</f>
        <v>13</v>
      </c>
      <c r="O284" s="1">
        <f>J284+L284+IF(N284&lt;=I284-SUM($J$282:$J$337)-SUM($L$282:$L$337),1,0)</f>
        <v>16</v>
      </c>
    </row>
    <row r="285" spans="1:15">
      <c r="A285" s="1" t="s">
        <v>51</v>
      </c>
      <c r="B285" s="1" t="s">
        <v>56</v>
      </c>
      <c r="C285" s="1" t="s">
        <v>38</v>
      </c>
      <c r="D285" s="1" t="s">
        <v>39</v>
      </c>
      <c r="E285" s="1" t="s">
        <v>43</v>
      </c>
      <c r="F285" s="1" t="s">
        <v>42</v>
      </c>
      <c r="G285" s="1">
        <v>1323</v>
      </c>
      <c r="H285" s="1">
        <f>'1_Departamento_n'!C7</f>
        <v>1151490</v>
      </c>
      <c r="I285" s="1">
        <f>'1_Departamento_n'!H7</f>
        <v>1312</v>
      </c>
      <c r="J285" s="1">
        <f>'0_Parametros'!B7</f>
        <v>10</v>
      </c>
      <c r="K285" s="3">
        <f>(I285-SUM($J$282:$J$337))*G285/H285</f>
        <v>0.8640075033217831</v>
      </c>
      <c r="L285" s="1">
        <f>INT(K285)</f>
        <v>0</v>
      </c>
      <c r="M285" s="3">
        <f>K285-L285</f>
        <v>0.8640075033217831</v>
      </c>
      <c r="N285" s="1">
        <f>COUNTIF($M$282:$M$337,"&gt;"&amp;M285)+COUNTIF($M$282:M285,M285)</f>
        <v>12</v>
      </c>
      <c r="O285" s="1">
        <f>J285+L285+IF(N285&lt;=I285-SUM($J$282:$J$337)-SUM($L$282:$L$337),1,0)</f>
        <v>11</v>
      </c>
    </row>
    <row r="286" spans="1:15">
      <c r="A286" s="1" t="s">
        <v>51</v>
      </c>
      <c r="B286" s="1" t="s">
        <v>56</v>
      </c>
      <c r="C286" s="1" t="s">
        <v>38</v>
      </c>
      <c r="D286" s="1" t="s">
        <v>39</v>
      </c>
      <c r="E286" s="1" t="s">
        <v>44</v>
      </c>
      <c r="F286" s="1" t="s">
        <v>41</v>
      </c>
      <c r="G286" s="1">
        <v>8772</v>
      </c>
      <c r="H286" s="1">
        <f>'1_Departamento_n'!C7</f>
        <v>1151490</v>
      </c>
      <c r="I286" s="1">
        <f>'1_Departamento_n'!H7</f>
        <v>1312</v>
      </c>
      <c r="J286" s="1">
        <f>'0_Parametros'!B7</f>
        <v>10</v>
      </c>
      <c r="K286" s="3">
        <f>(I286-SUM($J$282:$J$337))*G286/H286</f>
        <v>5.728702811140349</v>
      </c>
      <c r="L286" s="1">
        <f>INT(K286)</f>
        <v>5</v>
      </c>
      <c r="M286" s="3">
        <f>K286-L286</f>
        <v>0.7287028111403488</v>
      </c>
      <c r="N286" s="1">
        <f>COUNTIF($M$282:$M$337,"&gt;"&amp;M286)+COUNTIF($M$282:M286,M286)</f>
        <v>19</v>
      </c>
      <c r="O286" s="1">
        <f>J286+L286+IF(N286&lt;=I286-SUM($J$282:$J$337)-SUM($L$282:$L$337),1,0)</f>
        <v>16</v>
      </c>
    </row>
    <row r="287" spans="1:15">
      <c r="A287" s="1" t="s">
        <v>51</v>
      </c>
      <c r="B287" s="1" t="s">
        <v>56</v>
      </c>
      <c r="C287" s="1" t="s">
        <v>38</v>
      </c>
      <c r="D287" s="1" t="s">
        <v>39</v>
      </c>
      <c r="E287" s="1" t="s">
        <v>44</v>
      </c>
      <c r="F287" s="1" t="s">
        <v>42</v>
      </c>
      <c r="G287" s="1">
        <v>2555</v>
      </c>
      <c r="H287" s="1">
        <f>'1_Departamento_n'!C7</f>
        <v>1151490</v>
      </c>
      <c r="I287" s="1">
        <f>'1_Departamento_n'!H7</f>
        <v>1312</v>
      </c>
      <c r="J287" s="1">
        <f>'0_Parametros'!B7</f>
        <v>10</v>
      </c>
      <c r="K287" s="3">
        <f>(I287-SUM($J$282:$J$337))*G287/H287</f>
        <v>1.6685859191134964</v>
      </c>
      <c r="L287" s="1">
        <f>INT(K287)</f>
        <v>1</v>
      </c>
      <c r="M287" s="3">
        <f>K287-L287</f>
        <v>0.6685859191134964</v>
      </c>
      <c r="N287" s="1">
        <f>COUNTIF($M$282:$M$337,"&gt;"&amp;M287)+COUNTIF($M$282:M287,M287)</f>
        <v>23</v>
      </c>
      <c r="O287" s="1">
        <f>J287+L287+IF(N287&lt;=I287-SUM($J$282:$J$337)-SUM($L$282:$L$337),1,0)</f>
        <v>12</v>
      </c>
    </row>
    <row r="288" spans="1:15">
      <c r="A288" s="1" t="s">
        <v>51</v>
      </c>
      <c r="B288" s="1" t="s">
        <v>56</v>
      </c>
      <c r="C288" s="1" t="s">
        <v>38</v>
      </c>
      <c r="D288" s="1" t="s">
        <v>39</v>
      </c>
      <c r="E288" s="1" t="s">
        <v>45</v>
      </c>
      <c r="F288" s="1" t="s">
        <v>41</v>
      </c>
      <c r="G288" s="1">
        <v>11324</v>
      </c>
      <c r="H288" s="1">
        <f>'1_Departamento_n'!C7</f>
        <v>1151490</v>
      </c>
      <c r="I288" s="1">
        <f>'1_Departamento_n'!H7</f>
        <v>1312</v>
      </c>
      <c r="J288" s="1">
        <f>'0_Parametros'!B7</f>
        <v>10</v>
      </c>
      <c r="K288" s="3">
        <f>(I288-SUM($J$282:$J$337))*G288/H288</f>
        <v>7.39532952956604</v>
      </c>
      <c r="L288" s="1">
        <f>INT(K288)</f>
        <v>7</v>
      </c>
      <c r="M288" s="3">
        <f>K288-L288</f>
        <v>0.39532952956604017</v>
      </c>
      <c r="N288" s="1">
        <f>COUNTIF($M$282:$M$337,"&gt;"&amp;M288)+COUNTIF($M$282:M288,M288)</f>
        <v>32</v>
      </c>
      <c r="O288" s="1">
        <f>J288+L288+IF(N288&lt;=I288-SUM($J$282:$J$337)-SUM($L$282:$L$337),1,0)</f>
        <v>17</v>
      </c>
    </row>
    <row r="289" spans="1:15">
      <c r="A289" s="1" t="s">
        <v>51</v>
      </c>
      <c r="B289" s="1" t="s">
        <v>56</v>
      </c>
      <c r="C289" s="1" t="s">
        <v>38</v>
      </c>
      <c r="D289" s="1" t="s">
        <v>39</v>
      </c>
      <c r="E289" s="1" t="s">
        <v>45</v>
      </c>
      <c r="F289" s="1" t="s">
        <v>42</v>
      </c>
      <c r="G289" s="1">
        <v>2367</v>
      </c>
      <c r="H289" s="1">
        <f>'1_Departamento_n'!C7</f>
        <v>1151490</v>
      </c>
      <c r="I289" s="1">
        <f>'1_Departamento_n'!H7</f>
        <v>1312</v>
      </c>
      <c r="J289" s="1">
        <f>'0_Parametros'!B7</f>
        <v>10</v>
      </c>
      <c r="K289" s="3">
        <f>(I289-SUM($J$282:$J$337))*G289/H289</f>
        <v>1.545809342677748</v>
      </c>
      <c r="L289" s="1">
        <f>INT(K289)</f>
        <v>1</v>
      </c>
      <c r="M289" s="3">
        <f>K289-L289</f>
        <v>0.5458093426777479</v>
      </c>
      <c r="N289" s="1">
        <f>COUNTIF($M$282:$M$337,"&gt;"&amp;M289)+COUNTIF($M$282:M289,M289)</f>
        <v>27</v>
      </c>
      <c r="O289" s="1">
        <f>J289+L289+IF(N289&lt;=I289-SUM($J$282:$J$337)-SUM($L$282:$L$337),1,0)</f>
        <v>12</v>
      </c>
    </row>
    <row r="290" spans="1:15">
      <c r="A290" s="1" t="s">
        <v>51</v>
      </c>
      <c r="B290" s="1" t="s">
        <v>56</v>
      </c>
      <c r="C290" s="1" t="s">
        <v>38</v>
      </c>
      <c r="D290" s="1" t="s">
        <v>39</v>
      </c>
      <c r="E290" s="1" t="s">
        <v>46</v>
      </c>
      <c r="F290" s="1" t="s">
        <v>41</v>
      </c>
      <c r="G290" s="1">
        <v>9722</v>
      </c>
      <c r="H290" s="1">
        <f>'1_Departamento_n'!C7</f>
        <v>1151490</v>
      </c>
      <c r="I290" s="1">
        <f>'1_Departamento_n'!H7</f>
        <v>1312</v>
      </c>
      <c r="J290" s="1">
        <f>'0_Parametros'!B7</f>
        <v>10</v>
      </c>
      <c r="K290" s="3">
        <f>(I290-SUM($J$282:$J$337))*G290/H290</f>
        <v>6.34911636227844</v>
      </c>
      <c r="L290" s="1">
        <f>INT(K290)</f>
        <v>6</v>
      </c>
      <c r="M290" s="3">
        <f>K290-L290</f>
        <v>0.3491163622784397</v>
      </c>
      <c r="N290" s="1">
        <f>COUNTIF($M$282:$M$337,"&gt;"&amp;M290)+COUNTIF($M$282:M290,M290)</f>
        <v>34</v>
      </c>
      <c r="O290" s="1">
        <f>J290+L290+IF(N290&lt;=I290-SUM($J$282:$J$337)-SUM($L$282:$L$337),1,0)</f>
        <v>16</v>
      </c>
    </row>
    <row r="291" spans="1:15">
      <c r="A291" s="1" t="s">
        <v>51</v>
      </c>
      <c r="B291" s="1" t="s">
        <v>56</v>
      </c>
      <c r="C291" s="1" t="s">
        <v>38</v>
      </c>
      <c r="D291" s="1" t="s">
        <v>39</v>
      </c>
      <c r="E291" s="1" t="s">
        <v>46</v>
      </c>
      <c r="F291" s="1" t="s">
        <v>42</v>
      </c>
      <c r="G291" s="1">
        <v>1388</v>
      </c>
      <c r="H291" s="1">
        <f>'1_Departamento_n'!C7</f>
        <v>1151490</v>
      </c>
      <c r="I291" s="1">
        <f>'1_Departamento_n'!H7</f>
        <v>1312</v>
      </c>
      <c r="J291" s="1">
        <f>'0_Parametros'!B7</f>
        <v>10</v>
      </c>
      <c r="K291" s="3">
        <f>(I291-SUM($J$282:$J$337))*G291/H291</f>
        <v>0.9064568515575472</v>
      </c>
      <c r="L291" s="1">
        <f>INT(K291)</f>
        <v>0</v>
      </c>
      <c r="M291" s="3">
        <f>K291-L291</f>
        <v>0.9064568515575472</v>
      </c>
      <c r="N291" s="1">
        <f>COUNTIF($M$282:$M$337,"&gt;"&amp;M291)+COUNTIF($M$282:M291,M291)</f>
        <v>9</v>
      </c>
      <c r="O291" s="1">
        <f>J291+L291+IF(N291&lt;=I291-SUM($J$282:$J$337)-SUM($L$282:$L$337),1,0)</f>
        <v>11</v>
      </c>
    </row>
    <row r="292" spans="1:15">
      <c r="A292" s="1" t="s">
        <v>51</v>
      </c>
      <c r="B292" s="1" t="s">
        <v>56</v>
      </c>
      <c r="C292" s="1" t="s">
        <v>38</v>
      </c>
      <c r="D292" s="1" t="s">
        <v>39</v>
      </c>
      <c r="E292" s="1" t="s">
        <v>47</v>
      </c>
      <c r="F292" s="1" t="s">
        <v>41</v>
      </c>
      <c r="G292" s="1">
        <v>5942</v>
      </c>
      <c r="H292" s="1">
        <f>'1_Departamento_n'!C7</f>
        <v>1151490</v>
      </c>
      <c r="I292" s="1">
        <f>'1_Departamento_n'!H7</f>
        <v>1312</v>
      </c>
      <c r="J292" s="1">
        <f>'0_Parametros'!B7</f>
        <v>10</v>
      </c>
      <c r="K292" s="3">
        <f>(I292-SUM($J$282:$J$337))*G292/H292</f>
        <v>3.8805234956447734</v>
      </c>
      <c r="L292" s="1">
        <f>INT(K292)</f>
        <v>3</v>
      </c>
      <c r="M292" s="3">
        <f>K292-L292</f>
        <v>0.8805234956447734</v>
      </c>
      <c r="N292" s="1">
        <f>COUNTIF($M$282:$M$337,"&gt;"&amp;M292)+COUNTIF($M$282:M292,M292)</f>
        <v>10</v>
      </c>
      <c r="O292" s="1">
        <f>J292+L292+IF(N292&lt;=I292-SUM($J$282:$J$337)-SUM($L$282:$L$337),1,0)</f>
        <v>14</v>
      </c>
    </row>
    <row r="293" spans="1:15">
      <c r="A293" s="1" t="s">
        <v>51</v>
      </c>
      <c r="B293" s="1" t="s">
        <v>56</v>
      </c>
      <c r="C293" s="1" t="s">
        <v>38</v>
      </c>
      <c r="D293" s="1" t="s">
        <v>39</v>
      </c>
      <c r="E293" s="1" t="s">
        <v>47</v>
      </c>
      <c r="F293" s="1" t="s">
        <v>42</v>
      </c>
      <c r="G293" s="1">
        <v>643</v>
      </c>
      <c r="H293" s="1">
        <f>'1_Departamento_n'!C7</f>
        <v>1151490</v>
      </c>
      <c r="I293" s="1">
        <f>'1_Departamento_n'!H7</f>
        <v>1312</v>
      </c>
      <c r="J293" s="1">
        <f>'0_Parametros'!B7</f>
        <v>10</v>
      </c>
      <c r="K293" s="3">
        <f>(I293-SUM($J$282:$J$337))*G293/H293</f>
        <v>0.41992201408609714</v>
      </c>
      <c r="L293" s="1">
        <f>INT(K293)</f>
        <v>0</v>
      </c>
      <c r="M293" s="3">
        <f>K293-L293</f>
        <v>0.41992201408609714</v>
      </c>
      <c r="N293" s="1">
        <f>COUNTIF($M$282:$M$337,"&gt;"&amp;M293)+COUNTIF($M$282:M293,M293)</f>
        <v>30</v>
      </c>
      <c r="O293" s="1">
        <f>J293+L293+IF(N293&lt;=I293-SUM($J$282:$J$337)-SUM($L$282:$L$337),1,0)</f>
        <v>10</v>
      </c>
    </row>
    <row r="294" spans="1:15">
      <c r="A294" s="1" t="s">
        <v>51</v>
      </c>
      <c r="B294" s="1" t="s">
        <v>56</v>
      </c>
      <c r="C294" s="1" t="s">
        <v>38</v>
      </c>
      <c r="D294" s="1" t="s">
        <v>39</v>
      </c>
      <c r="E294" s="1" t="s">
        <v>48</v>
      </c>
      <c r="F294" s="1" t="s">
        <v>41</v>
      </c>
      <c r="G294" s="1">
        <v>7462</v>
      </c>
      <c r="H294" s="1">
        <f>'1_Departamento_n'!C7</f>
        <v>1151490</v>
      </c>
      <c r="I294" s="1">
        <f>'1_Departamento_n'!H7</f>
        <v>1312</v>
      </c>
      <c r="J294" s="1">
        <f>'0_Parametros'!B7</f>
        <v>10</v>
      </c>
      <c r="K294" s="3">
        <f>(I294-SUM($J$282:$J$337))*G294/H294</f>
        <v>4.873185177465718</v>
      </c>
      <c r="L294" s="1">
        <f>INT(K294)</f>
        <v>4</v>
      </c>
      <c r="M294" s="3">
        <f>K294-L294</f>
        <v>0.873185177465718</v>
      </c>
      <c r="N294" s="1">
        <f>COUNTIF($M$282:$M$337,"&gt;"&amp;M294)+COUNTIF($M$282:M294,M294)</f>
        <v>11</v>
      </c>
      <c r="O294" s="1">
        <f>J294+L294+IF(N294&lt;=I294-SUM($J$282:$J$337)-SUM($L$282:$L$337),1,0)</f>
        <v>15</v>
      </c>
    </row>
    <row r="295" spans="1:15">
      <c r="A295" s="1" t="s">
        <v>51</v>
      </c>
      <c r="B295" s="1" t="s">
        <v>56</v>
      </c>
      <c r="C295" s="1" t="s">
        <v>38</v>
      </c>
      <c r="D295" s="1" t="s">
        <v>39</v>
      </c>
      <c r="E295" s="1" t="s">
        <v>48</v>
      </c>
      <c r="F295" s="1" t="s">
        <v>42</v>
      </c>
      <c r="G295" s="1">
        <v>458</v>
      </c>
      <c r="H295" s="1">
        <f>'1_Departamento_n'!C7</f>
        <v>1151490</v>
      </c>
      <c r="I295" s="1">
        <f>'1_Departamento_n'!H7</f>
        <v>1312</v>
      </c>
      <c r="J295" s="1">
        <f>'0_Parametros'!B7</f>
        <v>10</v>
      </c>
      <c r="K295" s="3">
        <f>(I295-SUM($J$282:$J$337))*G295/H295</f>
        <v>0.29910463833815315</v>
      </c>
      <c r="L295" s="1">
        <f>INT(K295)</f>
        <v>0</v>
      </c>
      <c r="M295" s="3">
        <f>K295-L295</f>
        <v>0.29910463833815315</v>
      </c>
      <c r="N295" s="1">
        <f>COUNTIF($M$282:$M$337,"&gt;"&amp;M295)+COUNTIF($M$282:M295,M295)</f>
        <v>40</v>
      </c>
      <c r="O295" s="1">
        <f>J295+L295+IF(N295&lt;=I295-SUM($J$282:$J$337)-SUM($L$282:$L$337),1,0)</f>
        <v>10</v>
      </c>
    </row>
    <row r="296" spans="1:15">
      <c r="A296" s="1" t="s">
        <v>51</v>
      </c>
      <c r="B296" s="1" t="s">
        <v>56</v>
      </c>
      <c r="C296" s="1" t="s">
        <v>38</v>
      </c>
      <c r="D296" s="1" t="s">
        <v>49</v>
      </c>
      <c r="E296" s="1" t="s">
        <v>40</v>
      </c>
      <c r="F296" s="1" t="s">
        <v>41</v>
      </c>
      <c r="G296" s="1">
        <v>7920</v>
      </c>
      <c r="H296" s="1">
        <f>'1_Departamento_n'!C7</f>
        <v>1151490</v>
      </c>
      <c r="I296" s="1">
        <f>'1_Departamento_n'!H7</f>
        <v>1312</v>
      </c>
      <c r="J296" s="1">
        <f>'0_Parametros'!B7</f>
        <v>10</v>
      </c>
      <c r="K296" s="3">
        <f>(I296-SUM($J$282:$J$337))*G296/H296</f>
        <v>5.172289815803872</v>
      </c>
      <c r="L296" s="1">
        <f>INT(K296)</f>
        <v>5</v>
      </c>
      <c r="M296" s="3">
        <f>K296-L296</f>
        <v>0.1722898158038717</v>
      </c>
      <c r="N296" s="1">
        <f>COUNTIF($M$282:$M$337,"&gt;"&amp;M296)+COUNTIF($M$282:M296,M296)</f>
        <v>47</v>
      </c>
      <c r="O296" s="1">
        <f>J296+L296+IF(N296&lt;=I296-SUM($J$282:$J$337)-SUM($L$282:$L$337),1,0)</f>
        <v>15</v>
      </c>
    </row>
    <row r="297" spans="1:15">
      <c r="A297" s="1" t="s">
        <v>51</v>
      </c>
      <c r="B297" s="1" t="s">
        <v>56</v>
      </c>
      <c r="C297" s="1" t="s">
        <v>38</v>
      </c>
      <c r="D297" s="1" t="s">
        <v>49</v>
      </c>
      <c r="E297" s="1" t="s">
        <v>40</v>
      </c>
      <c r="F297" s="1" t="s">
        <v>42</v>
      </c>
      <c r="G297" s="1">
        <v>2381</v>
      </c>
      <c r="H297" s="1">
        <f>'1_Departamento_n'!C7</f>
        <v>1151490</v>
      </c>
      <c r="I297" s="1">
        <f>'1_Departamento_n'!H7</f>
        <v>1312</v>
      </c>
      <c r="J297" s="1">
        <f>'0_Parametros'!B7</f>
        <v>10</v>
      </c>
      <c r="K297" s="3">
        <f>(I297-SUM($J$282:$J$337))*G297/H297</f>
        <v>1.5549522792208357</v>
      </c>
      <c r="L297" s="1">
        <f>INT(K297)</f>
        <v>1</v>
      </c>
      <c r="M297" s="3">
        <f>K297-L297</f>
        <v>0.5549522792208357</v>
      </c>
      <c r="N297" s="1">
        <f>COUNTIF($M$282:$M$337,"&gt;"&amp;M297)+COUNTIF($M$282:M297,M297)</f>
        <v>26</v>
      </c>
      <c r="O297" s="1">
        <f>J297+L297+IF(N297&lt;=I297-SUM($J$282:$J$337)-SUM($L$282:$L$337),1,0)</f>
        <v>12</v>
      </c>
    </row>
    <row r="298" spans="1:15">
      <c r="A298" s="1" t="s">
        <v>51</v>
      </c>
      <c r="B298" s="1" t="s">
        <v>56</v>
      </c>
      <c r="C298" s="1" t="s">
        <v>38</v>
      </c>
      <c r="D298" s="1" t="s">
        <v>49</v>
      </c>
      <c r="E298" s="1" t="s">
        <v>43</v>
      </c>
      <c r="F298" s="1" t="s">
        <v>41</v>
      </c>
      <c r="G298" s="1">
        <v>9495</v>
      </c>
      <c r="H298" s="1">
        <f>'1_Departamento_n'!C7</f>
        <v>1151490</v>
      </c>
      <c r="I298" s="1">
        <f>'1_Departamento_n'!H7</f>
        <v>1312</v>
      </c>
      <c r="J298" s="1">
        <f>'0_Parametros'!B7</f>
        <v>10</v>
      </c>
      <c r="K298" s="3">
        <f>(I298-SUM($J$282:$J$337))*G298/H298</f>
        <v>6.200870176901232</v>
      </c>
      <c r="L298" s="1">
        <f>INT(K298)</f>
        <v>6</v>
      </c>
      <c r="M298" s="3">
        <f>K298-L298</f>
        <v>0.20087017690123243</v>
      </c>
      <c r="N298" s="1">
        <f>COUNTIF($M$282:$M$337,"&gt;"&amp;M298)+COUNTIF($M$282:M298,M298)</f>
        <v>46</v>
      </c>
      <c r="O298" s="1">
        <f>J298+L298+IF(N298&lt;=I298-SUM($J$282:$J$337)-SUM($L$282:$L$337),1,0)</f>
        <v>16</v>
      </c>
    </row>
    <row r="299" spans="1:15">
      <c r="A299" s="1" t="s">
        <v>51</v>
      </c>
      <c r="B299" s="1" t="s">
        <v>56</v>
      </c>
      <c r="C299" s="1" t="s">
        <v>38</v>
      </c>
      <c r="D299" s="1" t="s">
        <v>49</v>
      </c>
      <c r="E299" s="1" t="s">
        <v>43</v>
      </c>
      <c r="F299" s="1" t="s">
        <v>42</v>
      </c>
      <c r="G299" s="1">
        <v>1449</v>
      </c>
      <c r="H299" s="1">
        <f>'1_Departamento_n'!C7</f>
        <v>1151490</v>
      </c>
      <c r="I299" s="1">
        <f>'1_Departamento_n'!H7</f>
        <v>1312</v>
      </c>
      <c r="J299" s="1">
        <f>'0_Parametros'!B7</f>
        <v>10</v>
      </c>
      <c r="K299" s="3">
        <f>(I299-SUM($J$282:$J$337))*G299/H299</f>
        <v>0.9462939322095719</v>
      </c>
      <c r="L299" s="1">
        <f>INT(K299)</f>
        <v>0</v>
      </c>
      <c r="M299" s="3">
        <f>K299-L299</f>
        <v>0.9462939322095719</v>
      </c>
      <c r="N299" s="1">
        <f>COUNTIF($M$282:$M$337,"&gt;"&amp;M299)+COUNTIF($M$282:M299,M299)</f>
        <v>5</v>
      </c>
      <c r="O299" s="1">
        <f>J299+L299+IF(N299&lt;=I299-SUM($J$282:$J$337)-SUM($L$282:$L$337),1,0)</f>
        <v>11</v>
      </c>
    </row>
    <row r="300" spans="1:15">
      <c r="A300" s="1" t="s">
        <v>51</v>
      </c>
      <c r="B300" s="1" t="s">
        <v>56</v>
      </c>
      <c r="C300" s="1" t="s">
        <v>38</v>
      </c>
      <c r="D300" s="1" t="s">
        <v>49</v>
      </c>
      <c r="E300" s="1" t="s">
        <v>44</v>
      </c>
      <c r="F300" s="1" t="s">
        <v>41</v>
      </c>
      <c r="G300" s="1">
        <v>9732</v>
      </c>
      <c r="H300" s="1">
        <f>'1_Departamento_n'!C7</f>
        <v>1151490</v>
      </c>
      <c r="I300" s="1">
        <f>'1_Departamento_n'!H7</f>
        <v>1312</v>
      </c>
      <c r="J300" s="1">
        <f>'0_Parametros'!B7</f>
        <v>10</v>
      </c>
      <c r="K300" s="3">
        <f>(I300-SUM($J$282:$J$337))*G300/H300</f>
        <v>6.355647031237788</v>
      </c>
      <c r="L300" s="1">
        <f>INT(K300)</f>
        <v>6</v>
      </c>
      <c r="M300" s="3">
        <f>K300-L300</f>
        <v>0.35564703123778774</v>
      </c>
      <c r="N300" s="1">
        <f>COUNTIF($M$282:$M$337,"&gt;"&amp;M300)+COUNTIF($M$282:M300,M300)</f>
        <v>33</v>
      </c>
      <c r="O300" s="1">
        <f>J300+L300+IF(N300&lt;=I300-SUM($J$282:$J$337)-SUM($L$282:$L$337),1,0)</f>
        <v>16</v>
      </c>
    </row>
    <row r="301" spans="1:15">
      <c r="A301" s="1" t="s">
        <v>51</v>
      </c>
      <c r="B301" s="1" t="s">
        <v>56</v>
      </c>
      <c r="C301" s="1" t="s">
        <v>38</v>
      </c>
      <c r="D301" s="1" t="s">
        <v>49</v>
      </c>
      <c r="E301" s="1" t="s">
        <v>44</v>
      </c>
      <c r="F301" s="1" t="s">
        <v>42</v>
      </c>
      <c r="G301" s="1">
        <v>3251</v>
      </c>
      <c r="H301" s="1">
        <f>'1_Departamento_n'!C7</f>
        <v>1151490</v>
      </c>
      <c r="I301" s="1">
        <f>'1_Departamento_n'!H7</f>
        <v>1312</v>
      </c>
      <c r="J301" s="1">
        <f>'0_Parametros'!B7</f>
        <v>10</v>
      </c>
      <c r="K301" s="3">
        <f>(I301-SUM($J$282:$J$337))*G301/H301</f>
        <v>2.1231204786841396</v>
      </c>
      <c r="L301" s="1">
        <f>INT(K301)</f>
        <v>2</v>
      </c>
      <c r="M301" s="3">
        <f>K301-L301</f>
        <v>0.12312047868413956</v>
      </c>
      <c r="N301" s="1">
        <f>COUNTIF($M$282:$M$337,"&gt;"&amp;M301)+COUNTIF($M$282:M301,M301)</f>
        <v>49</v>
      </c>
      <c r="O301" s="1">
        <f>J301+L301+IF(N301&lt;=I301-SUM($J$282:$J$337)-SUM($L$282:$L$337),1,0)</f>
        <v>12</v>
      </c>
    </row>
    <row r="302" spans="1:15">
      <c r="A302" s="1" t="s">
        <v>51</v>
      </c>
      <c r="B302" s="1" t="s">
        <v>56</v>
      </c>
      <c r="C302" s="1" t="s">
        <v>38</v>
      </c>
      <c r="D302" s="1" t="s">
        <v>49</v>
      </c>
      <c r="E302" s="1" t="s">
        <v>45</v>
      </c>
      <c r="F302" s="1" t="s">
        <v>41</v>
      </c>
      <c r="G302" s="1">
        <v>11921</v>
      </c>
      <c r="H302" s="1">
        <f>'1_Departamento_n'!C7</f>
        <v>1151490</v>
      </c>
      <c r="I302" s="1">
        <f>'1_Departamento_n'!H7</f>
        <v>1312</v>
      </c>
      <c r="J302" s="1">
        <f>'0_Parametros'!B7</f>
        <v>10</v>
      </c>
      <c r="K302" s="3">
        <f>(I302-SUM($J$282:$J$337))*G302/H302</f>
        <v>7.7852104664391355</v>
      </c>
      <c r="L302" s="1">
        <f>INT(K302)</f>
        <v>7</v>
      </c>
      <c r="M302" s="3">
        <f>K302-L302</f>
        <v>0.7852104664391355</v>
      </c>
      <c r="N302" s="1">
        <f>COUNTIF($M$282:$M$337,"&gt;"&amp;M302)+COUNTIF($M$282:M302,M302)</f>
        <v>17</v>
      </c>
      <c r="O302" s="1">
        <f>J302+L302+IF(N302&lt;=I302-SUM($J$282:$J$337)-SUM($L$282:$L$337),1,0)</f>
        <v>18</v>
      </c>
    </row>
    <row r="303" spans="1:15">
      <c r="A303" s="1" t="s">
        <v>51</v>
      </c>
      <c r="B303" s="1" t="s">
        <v>56</v>
      </c>
      <c r="C303" s="1" t="s">
        <v>38</v>
      </c>
      <c r="D303" s="1" t="s">
        <v>49</v>
      </c>
      <c r="E303" s="1" t="s">
        <v>45</v>
      </c>
      <c r="F303" s="1" t="s">
        <v>42</v>
      </c>
      <c r="G303" s="1">
        <v>3167</v>
      </c>
      <c r="H303" s="1">
        <f>'1_Departamento_n'!C7</f>
        <v>1151490</v>
      </c>
      <c r="I303" s="1">
        <f>'1_Departamento_n'!H7</f>
        <v>1312</v>
      </c>
      <c r="J303" s="1">
        <f>'0_Parametros'!B7</f>
        <v>10</v>
      </c>
      <c r="K303" s="3">
        <f>(I303-SUM($J$282:$J$337))*G303/H303</f>
        <v>2.0682628594256136</v>
      </c>
      <c r="L303" s="1">
        <f>INT(K303)</f>
        <v>2</v>
      </c>
      <c r="M303" s="3">
        <f>K303-L303</f>
        <v>0.06826285942561361</v>
      </c>
      <c r="N303" s="1">
        <f>COUNTIF($M$282:$M$337,"&gt;"&amp;M303)+COUNTIF($M$282:M303,M303)</f>
        <v>54</v>
      </c>
      <c r="O303" s="1">
        <f>J303+L303+IF(N303&lt;=I303-SUM($J$282:$J$337)-SUM($L$282:$L$337),1,0)</f>
        <v>12</v>
      </c>
    </row>
    <row r="304" spans="1:15">
      <c r="A304" s="1" t="s">
        <v>51</v>
      </c>
      <c r="B304" s="1" t="s">
        <v>56</v>
      </c>
      <c r="C304" s="1" t="s">
        <v>38</v>
      </c>
      <c r="D304" s="1" t="s">
        <v>49</v>
      </c>
      <c r="E304" s="1" t="s">
        <v>46</v>
      </c>
      <c r="F304" s="1" t="s">
        <v>41</v>
      </c>
      <c r="G304" s="1">
        <v>10847</v>
      </c>
      <c r="H304" s="1">
        <f>'1_Departamento_n'!C7</f>
        <v>1151490</v>
      </c>
      <c r="I304" s="1">
        <f>'1_Departamento_n'!H7</f>
        <v>1312</v>
      </c>
      <c r="J304" s="1">
        <f>'0_Parametros'!B7</f>
        <v>10</v>
      </c>
      <c r="K304" s="3">
        <f>(I304-SUM($J$282:$J$337))*G304/H304</f>
        <v>7.083816620205125</v>
      </c>
      <c r="L304" s="1">
        <f>INT(K304)</f>
        <v>7</v>
      </c>
      <c r="M304" s="3">
        <f>K304-L304</f>
        <v>0.08381662020512515</v>
      </c>
      <c r="N304" s="1">
        <f>COUNTIF($M$282:$M$337,"&gt;"&amp;M304)+COUNTIF($M$282:M304,M304)</f>
        <v>52</v>
      </c>
      <c r="O304" s="1">
        <f>J304+L304+IF(N304&lt;=I304-SUM($J$282:$J$337)-SUM($L$282:$L$337),1,0)</f>
        <v>17</v>
      </c>
    </row>
    <row r="305" spans="1:15">
      <c r="A305" s="1" t="s">
        <v>51</v>
      </c>
      <c r="B305" s="1" t="s">
        <v>56</v>
      </c>
      <c r="C305" s="1" t="s">
        <v>38</v>
      </c>
      <c r="D305" s="1" t="s">
        <v>49</v>
      </c>
      <c r="E305" s="1" t="s">
        <v>46</v>
      </c>
      <c r="F305" s="1" t="s">
        <v>42</v>
      </c>
      <c r="G305" s="1">
        <v>2022</v>
      </c>
      <c r="H305" s="1">
        <f>'1_Departamento_n'!C7</f>
        <v>1151490</v>
      </c>
      <c r="I305" s="1">
        <f>'1_Departamento_n'!H7</f>
        <v>1312</v>
      </c>
      <c r="J305" s="1">
        <f>'0_Parametros'!B7</f>
        <v>10</v>
      </c>
      <c r="K305" s="3">
        <f>(I305-SUM($J$282:$J$337))*G305/H305</f>
        <v>1.320501263580231</v>
      </c>
      <c r="L305" s="1">
        <f>INT(K305)</f>
        <v>1</v>
      </c>
      <c r="M305" s="3">
        <f>K305-L305</f>
        <v>0.3205012635802309</v>
      </c>
      <c r="N305" s="1">
        <f>COUNTIF($M$282:$M$337,"&gt;"&amp;M305)+COUNTIF($M$282:M305,M305)</f>
        <v>38</v>
      </c>
      <c r="O305" s="1">
        <f>J305+L305+IF(N305&lt;=I305-SUM($J$282:$J$337)-SUM($L$282:$L$337),1,0)</f>
        <v>11</v>
      </c>
    </row>
    <row r="306" spans="1:15">
      <c r="A306" s="1" t="s">
        <v>51</v>
      </c>
      <c r="B306" s="1" t="s">
        <v>56</v>
      </c>
      <c r="C306" s="1" t="s">
        <v>38</v>
      </c>
      <c r="D306" s="1" t="s">
        <v>49</v>
      </c>
      <c r="E306" s="1" t="s">
        <v>47</v>
      </c>
      <c r="F306" s="1" t="s">
        <v>41</v>
      </c>
      <c r="G306" s="1">
        <v>6560</v>
      </c>
      <c r="H306" s="1">
        <f>'1_Departamento_n'!C7</f>
        <v>1151490</v>
      </c>
      <c r="I306" s="1">
        <f>'1_Departamento_n'!H7</f>
        <v>1312</v>
      </c>
      <c r="J306" s="1">
        <f>'0_Parametros'!B7</f>
        <v>10</v>
      </c>
      <c r="K306" s="3">
        <f>(I306-SUM($J$282:$J$337))*G306/H306</f>
        <v>4.2841188373325</v>
      </c>
      <c r="L306" s="1">
        <f>INT(K306)</f>
        <v>4</v>
      </c>
      <c r="M306" s="3">
        <f>K306-L306</f>
        <v>0.28411883733249965</v>
      </c>
      <c r="N306" s="1">
        <f>COUNTIF($M$282:$M$337,"&gt;"&amp;M306)+COUNTIF($M$282:M306,M306)</f>
        <v>42</v>
      </c>
      <c r="O306" s="1">
        <f>J306+L306+IF(N306&lt;=I306-SUM($J$282:$J$337)-SUM($L$282:$L$337),1,0)</f>
        <v>14</v>
      </c>
    </row>
    <row r="307" spans="1:15">
      <c r="A307" s="1" t="s">
        <v>51</v>
      </c>
      <c r="B307" s="1" t="s">
        <v>56</v>
      </c>
      <c r="C307" s="1" t="s">
        <v>38</v>
      </c>
      <c r="D307" s="1" t="s">
        <v>49</v>
      </c>
      <c r="E307" s="1" t="s">
        <v>47</v>
      </c>
      <c r="F307" s="1" t="s">
        <v>42</v>
      </c>
      <c r="G307" s="1">
        <v>873</v>
      </c>
      <c r="H307" s="1">
        <f>'1_Departamento_n'!C7</f>
        <v>1151490</v>
      </c>
      <c r="I307" s="1">
        <f>'1_Departamento_n'!H7</f>
        <v>1312</v>
      </c>
      <c r="J307" s="1">
        <f>'0_Parametros'!B7</f>
        <v>10</v>
      </c>
      <c r="K307" s="3">
        <f>(I307-SUM($J$282:$J$337))*G307/H307</f>
        <v>0.5701274001511085</v>
      </c>
      <c r="L307" s="1">
        <f>INT(K307)</f>
        <v>0</v>
      </c>
      <c r="M307" s="3">
        <f>K307-L307</f>
        <v>0.5701274001511085</v>
      </c>
      <c r="N307" s="1">
        <f>COUNTIF($M$282:$M$337,"&gt;"&amp;M307)+COUNTIF($M$282:M307,M307)</f>
        <v>25</v>
      </c>
      <c r="O307" s="1">
        <f>J307+L307+IF(N307&lt;=I307-SUM($J$282:$J$337)-SUM($L$282:$L$337),1,0)</f>
        <v>11</v>
      </c>
    </row>
    <row r="308" spans="1:15">
      <c r="A308" s="1" t="s">
        <v>51</v>
      </c>
      <c r="B308" s="1" t="s">
        <v>56</v>
      </c>
      <c r="C308" s="1" t="s">
        <v>38</v>
      </c>
      <c r="D308" s="1" t="s">
        <v>49</v>
      </c>
      <c r="E308" s="1" t="s">
        <v>48</v>
      </c>
      <c r="F308" s="1" t="s">
        <v>41</v>
      </c>
      <c r="G308" s="1">
        <v>6521</v>
      </c>
      <c r="H308" s="1">
        <f>'1_Departamento_n'!C7</f>
        <v>1151490</v>
      </c>
      <c r="I308" s="1">
        <f>'1_Departamento_n'!H7</f>
        <v>1312</v>
      </c>
      <c r="J308" s="1">
        <f>'0_Parametros'!B7</f>
        <v>10</v>
      </c>
      <c r="K308" s="3">
        <f>(I308-SUM($J$282:$J$337))*G308/H308</f>
        <v>4.258649228391041</v>
      </c>
      <c r="L308" s="1">
        <f>INT(K308)</f>
        <v>4</v>
      </c>
      <c r="M308" s="3">
        <f>K308-L308</f>
        <v>0.2586492283910413</v>
      </c>
      <c r="N308" s="1">
        <f>COUNTIF($M$282:$M$337,"&gt;"&amp;M308)+COUNTIF($M$282:M308,M308)</f>
        <v>43</v>
      </c>
      <c r="O308" s="1">
        <f>J308+L308+IF(N308&lt;=I308-SUM($J$282:$J$337)-SUM($L$282:$L$337),1,0)</f>
        <v>14</v>
      </c>
    </row>
    <row r="309" spans="1:15">
      <c r="A309" s="1" t="s">
        <v>51</v>
      </c>
      <c r="B309" s="1" t="s">
        <v>56</v>
      </c>
      <c r="C309" s="1" t="s">
        <v>38</v>
      </c>
      <c r="D309" s="1" t="s">
        <v>49</v>
      </c>
      <c r="E309" s="1" t="s">
        <v>48</v>
      </c>
      <c r="F309" s="1" t="s">
        <v>42</v>
      </c>
      <c r="G309" s="1">
        <v>492</v>
      </c>
      <c r="H309" s="1">
        <f>'1_Departamento_n'!C7</f>
        <v>1151490</v>
      </c>
      <c r="I309" s="1">
        <f>'1_Departamento_n'!H7</f>
        <v>1312</v>
      </c>
      <c r="J309" s="1">
        <f>'0_Parametros'!B7</f>
        <v>10</v>
      </c>
      <c r="K309" s="3">
        <f>(I309-SUM($J$282:$J$337))*G309/H309</f>
        <v>0.32130891279993745</v>
      </c>
      <c r="L309" s="1">
        <f>INT(K309)</f>
        <v>0</v>
      </c>
      <c r="M309" s="3">
        <f>K309-L309</f>
        <v>0.32130891279993745</v>
      </c>
      <c r="N309" s="1">
        <f>COUNTIF($M$282:$M$337,"&gt;"&amp;M309)+COUNTIF($M$282:M309,M309)</f>
        <v>37</v>
      </c>
      <c r="O309" s="1">
        <f>J309+L309+IF(N309&lt;=I309-SUM($J$282:$J$337)-SUM($L$282:$L$337),1,0)</f>
        <v>10</v>
      </c>
    </row>
    <row r="310" spans="1:15">
      <c r="A310" s="1" t="s">
        <v>51</v>
      </c>
      <c r="B310" s="1" t="s">
        <v>56</v>
      </c>
      <c r="C310" s="1" t="s">
        <v>50</v>
      </c>
      <c r="D310" s="1" t="s">
        <v>39</v>
      </c>
      <c r="E310" s="1" t="s">
        <v>40</v>
      </c>
      <c r="F310" s="1" t="s">
        <v>41</v>
      </c>
      <c r="G310" s="1">
        <v>52578</v>
      </c>
      <c r="H310" s="1">
        <f>'1_Departamento_n'!C7</f>
        <v>1151490</v>
      </c>
      <c r="I310" s="1">
        <f>'1_Departamento_n'!H7</f>
        <v>1312</v>
      </c>
      <c r="J310" s="1">
        <f>'0_Parametros'!B7</f>
        <v>10</v>
      </c>
      <c r="K310" s="3">
        <f>(I310-SUM($J$282:$J$337))*G310/H310</f>
        <v>34.33695125446161</v>
      </c>
      <c r="L310" s="1">
        <f>INT(K310)</f>
        <v>34</v>
      </c>
      <c r="M310" s="3">
        <f>K310-L310</f>
        <v>0.33695125446161</v>
      </c>
      <c r="N310" s="1">
        <f>COUNTIF($M$282:$M$337,"&gt;"&amp;M310)+COUNTIF($M$282:M310,M310)</f>
        <v>35</v>
      </c>
      <c r="O310" s="1">
        <f>J310+L310+IF(N310&lt;=I310-SUM($J$282:$J$337)-SUM($L$282:$L$337),1,0)</f>
        <v>44</v>
      </c>
    </row>
    <row r="311" spans="1:15">
      <c r="A311" s="1" t="s">
        <v>51</v>
      </c>
      <c r="B311" s="1" t="s">
        <v>56</v>
      </c>
      <c r="C311" s="1" t="s">
        <v>50</v>
      </c>
      <c r="D311" s="1" t="s">
        <v>39</v>
      </c>
      <c r="E311" s="1" t="s">
        <v>40</v>
      </c>
      <c r="F311" s="1" t="s">
        <v>42</v>
      </c>
      <c r="G311" s="1">
        <v>59219</v>
      </c>
      <c r="H311" s="1">
        <f>'1_Departamento_n'!C7</f>
        <v>1151490</v>
      </c>
      <c r="I311" s="1">
        <f>'1_Departamento_n'!H7</f>
        <v>1312</v>
      </c>
      <c r="J311" s="1">
        <f>'0_Parametros'!B7</f>
        <v>10</v>
      </c>
      <c r="K311" s="3">
        <f>(I311-SUM($J$282:$J$337))*G311/H311</f>
        <v>38.67396851036483</v>
      </c>
      <c r="L311" s="1">
        <f>INT(K311)</f>
        <v>38</v>
      </c>
      <c r="M311" s="3">
        <f>K311-L311</f>
        <v>0.6739685103648299</v>
      </c>
      <c r="N311" s="1">
        <f>COUNTIF($M$282:$M$337,"&gt;"&amp;M311)+COUNTIF($M$282:M311,M311)</f>
        <v>22</v>
      </c>
      <c r="O311" s="1">
        <f>J311+L311+IF(N311&lt;=I311-SUM($J$282:$J$337)-SUM($L$282:$L$337),1,0)</f>
        <v>49</v>
      </c>
    </row>
    <row r="312" spans="1:15">
      <c r="A312" s="1" t="s">
        <v>51</v>
      </c>
      <c r="B312" s="1" t="s">
        <v>56</v>
      </c>
      <c r="C312" s="1" t="s">
        <v>50</v>
      </c>
      <c r="D312" s="1" t="s">
        <v>39</v>
      </c>
      <c r="E312" s="1" t="s">
        <v>43</v>
      </c>
      <c r="F312" s="1" t="s">
        <v>41</v>
      </c>
      <c r="G312" s="1">
        <v>56178</v>
      </c>
      <c r="H312" s="1">
        <f>'1_Departamento_n'!C7</f>
        <v>1151490</v>
      </c>
      <c r="I312" s="1">
        <f>'1_Departamento_n'!H7</f>
        <v>1312</v>
      </c>
      <c r="J312" s="1">
        <f>'0_Parametros'!B7</f>
        <v>10</v>
      </c>
      <c r="K312" s="3">
        <f>(I312-SUM($J$282:$J$337))*G312/H312</f>
        <v>36.687992079827005</v>
      </c>
      <c r="L312" s="1">
        <f>INT(K312)</f>
        <v>36</v>
      </c>
      <c r="M312" s="3">
        <f>K312-L312</f>
        <v>0.6879920798270049</v>
      </c>
      <c r="N312" s="1">
        <f>COUNTIF($M$282:$M$337,"&gt;"&amp;M312)+COUNTIF($M$282:M312,M312)</f>
        <v>21</v>
      </c>
      <c r="O312" s="1">
        <f>J312+L312+IF(N312&lt;=I312-SUM($J$282:$J$337)-SUM($L$282:$L$337),1,0)</f>
        <v>47</v>
      </c>
    </row>
    <row r="313" spans="1:15">
      <c r="A313" s="1" t="s">
        <v>51</v>
      </c>
      <c r="B313" s="1" t="s">
        <v>56</v>
      </c>
      <c r="C313" s="1" t="s">
        <v>50</v>
      </c>
      <c r="D313" s="1" t="s">
        <v>39</v>
      </c>
      <c r="E313" s="1" t="s">
        <v>43</v>
      </c>
      <c r="F313" s="1" t="s">
        <v>42</v>
      </c>
      <c r="G313" s="1">
        <v>55124</v>
      </c>
      <c r="H313" s="1">
        <f>'1_Departamento_n'!C7</f>
        <v>1151490</v>
      </c>
      <c r="I313" s="1">
        <f>'1_Departamento_n'!H7</f>
        <v>1312</v>
      </c>
      <c r="J313" s="1">
        <f>'0_Parametros'!B7</f>
        <v>10</v>
      </c>
      <c r="K313" s="3">
        <f>(I313-SUM($J$282:$J$337))*G313/H313</f>
        <v>35.99965957151169</v>
      </c>
      <c r="L313" s="1">
        <f>INT(K313)</f>
        <v>35</v>
      </c>
      <c r="M313" s="3">
        <f>K313-L313</f>
        <v>0.9996595715116925</v>
      </c>
      <c r="N313" s="1">
        <f>COUNTIF($M$282:$M$337,"&gt;"&amp;M313)+COUNTIF($M$282:M313,M313)</f>
        <v>1</v>
      </c>
      <c r="O313" s="1">
        <f>J313+L313+IF(N313&lt;=I313-SUM($J$282:$J$337)-SUM($L$282:$L$337),1,0)</f>
        <v>46</v>
      </c>
    </row>
    <row r="314" spans="1:15">
      <c r="A314" s="1" t="s">
        <v>51</v>
      </c>
      <c r="B314" s="1" t="s">
        <v>56</v>
      </c>
      <c r="C314" s="1" t="s">
        <v>50</v>
      </c>
      <c r="D314" s="1" t="s">
        <v>39</v>
      </c>
      <c r="E314" s="1" t="s">
        <v>44</v>
      </c>
      <c r="F314" s="1" t="s">
        <v>41</v>
      </c>
      <c r="G314" s="1">
        <v>45665</v>
      </c>
      <c r="H314" s="1">
        <f>'1_Departamento_n'!C7</f>
        <v>1151490</v>
      </c>
      <c r="I314" s="1">
        <f>'1_Departamento_n'!H7</f>
        <v>1312</v>
      </c>
      <c r="J314" s="1">
        <f>'0_Parametros'!B7</f>
        <v>10</v>
      </c>
      <c r="K314" s="3">
        <f>(I314-SUM($J$282:$J$337))*G314/H314</f>
        <v>29.822299802864116</v>
      </c>
      <c r="L314" s="1">
        <f>INT(K314)</f>
        <v>29</v>
      </c>
      <c r="M314" s="3">
        <f>K314-L314</f>
        <v>0.8222998028641157</v>
      </c>
      <c r="N314" s="1">
        <f>COUNTIF($M$282:$M$337,"&gt;"&amp;M314)+COUNTIF($M$282:M314,M314)</f>
        <v>16</v>
      </c>
      <c r="O314" s="1">
        <f>J314+L314+IF(N314&lt;=I314-SUM($J$282:$J$337)-SUM($L$282:$L$337),1,0)</f>
        <v>40</v>
      </c>
    </row>
    <row r="315" spans="1:15">
      <c r="A315" s="1" t="s">
        <v>51</v>
      </c>
      <c r="B315" s="1" t="s">
        <v>56</v>
      </c>
      <c r="C315" s="1" t="s">
        <v>50</v>
      </c>
      <c r="D315" s="1" t="s">
        <v>39</v>
      </c>
      <c r="E315" s="1" t="s">
        <v>44</v>
      </c>
      <c r="F315" s="1" t="s">
        <v>42</v>
      </c>
      <c r="G315" s="1">
        <v>36277</v>
      </c>
      <c r="H315" s="1">
        <f>'1_Departamento_n'!C7</f>
        <v>1151490</v>
      </c>
      <c r="I315" s="1">
        <f>'1_Departamento_n'!H7</f>
        <v>1312</v>
      </c>
      <c r="J315" s="1">
        <f>'0_Parametros'!B7</f>
        <v>10</v>
      </c>
      <c r="K315" s="3">
        <f>(I315-SUM($J$282:$J$337))*G315/H315</f>
        <v>23.69130778382791</v>
      </c>
      <c r="L315" s="1">
        <f>INT(K315)</f>
        <v>23</v>
      </c>
      <c r="M315" s="3">
        <f>K315-L315</f>
        <v>0.6913077838279094</v>
      </c>
      <c r="N315" s="1">
        <f>COUNTIF($M$282:$M$337,"&gt;"&amp;M315)+COUNTIF($M$282:M315,M315)</f>
        <v>20</v>
      </c>
      <c r="O315" s="1">
        <f>J315+L315+IF(N315&lt;=I315-SUM($J$282:$J$337)-SUM($L$282:$L$337),1,0)</f>
        <v>34</v>
      </c>
    </row>
    <row r="316" spans="1:15">
      <c r="A316" s="1" t="s">
        <v>51</v>
      </c>
      <c r="B316" s="1" t="s">
        <v>56</v>
      </c>
      <c r="C316" s="1" t="s">
        <v>50</v>
      </c>
      <c r="D316" s="1" t="s">
        <v>39</v>
      </c>
      <c r="E316" s="1" t="s">
        <v>45</v>
      </c>
      <c r="F316" s="1" t="s">
        <v>41</v>
      </c>
      <c r="G316" s="1">
        <v>38915</v>
      </c>
      <c r="H316" s="1">
        <f>'1_Departamento_n'!C7</f>
        <v>1151490</v>
      </c>
      <c r="I316" s="1">
        <f>'1_Departamento_n'!H7</f>
        <v>1312</v>
      </c>
      <c r="J316" s="1">
        <f>'0_Parametros'!B7</f>
        <v>10</v>
      </c>
      <c r="K316" s="3">
        <f>(I316-SUM($J$282:$J$337))*G316/H316</f>
        <v>25.414098255303998</v>
      </c>
      <c r="L316" s="1">
        <f>INT(K316)</f>
        <v>25</v>
      </c>
      <c r="M316" s="3">
        <f>K316-L316</f>
        <v>0.4140982553039976</v>
      </c>
      <c r="N316" s="1">
        <f>COUNTIF($M$282:$M$337,"&gt;"&amp;M316)+COUNTIF($M$282:M316,M316)</f>
        <v>31</v>
      </c>
      <c r="O316" s="1">
        <f>J316+L316+IF(N316&lt;=I316-SUM($J$282:$J$337)-SUM($L$282:$L$337),1,0)</f>
        <v>35</v>
      </c>
    </row>
    <row r="317" spans="1:15">
      <c r="A317" s="1" t="s">
        <v>51</v>
      </c>
      <c r="B317" s="1" t="s">
        <v>56</v>
      </c>
      <c r="C317" s="1" t="s">
        <v>50</v>
      </c>
      <c r="D317" s="1" t="s">
        <v>39</v>
      </c>
      <c r="E317" s="1" t="s">
        <v>45</v>
      </c>
      <c r="F317" s="1" t="s">
        <v>42</v>
      </c>
      <c r="G317" s="1">
        <v>26531</v>
      </c>
      <c r="H317" s="1">
        <f>'1_Departamento_n'!C7</f>
        <v>1151490</v>
      </c>
      <c r="I317" s="1">
        <f>'1_Departamento_n'!H7</f>
        <v>1312</v>
      </c>
      <c r="J317" s="1">
        <f>'0_Parametros'!B7</f>
        <v>10</v>
      </c>
      <c r="K317" s="3">
        <f>(I317-SUM($J$282:$J$337))*G317/H317</f>
        <v>17.326517816047033</v>
      </c>
      <c r="L317" s="1">
        <f>INT(K317)</f>
        <v>17</v>
      </c>
      <c r="M317" s="3">
        <f>K317-L317</f>
        <v>0.32651781604703345</v>
      </c>
      <c r="N317" s="1">
        <f>COUNTIF($M$282:$M$337,"&gt;"&amp;M317)+COUNTIF($M$282:M317,M317)</f>
        <v>36</v>
      </c>
      <c r="O317" s="1">
        <f>J317+L317+IF(N317&lt;=I317-SUM($J$282:$J$337)-SUM($L$282:$L$337),1,0)</f>
        <v>27</v>
      </c>
    </row>
    <row r="318" spans="1:15">
      <c r="A318" s="1" t="s">
        <v>51</v>
      </c>
      <c r="B318" s="1" t="s">
        <v>56</v>
      </c>
      <c r="C318" s="1" t="s">
        <v>50</v>
      </c>
      <c r="D318" s="1" t="s">
        <v>39</v>
      </c>
      <c r="E318" s="1" t="s">
        <v>46</v>
      </c>
      <c r="F318" s="1" t="s">
        <v>41</v>
      </c>
      <c r="G318" s="1">
        <v>32318</v>
      </c>
      <c r="H318" s="1">
        <f>'1_Departamento_n'!C7</f>
        <v>1151490</v>
      </c>
      <c r="I318" s="1">
        <f>'1_Departamento_n'!H7</f>
        <v>1312</v>
      </c>
      <c r="J318" s="1">
        <f>'0_Parametros'!B7</f>
        <v>10</v>
      </c>
      <c r="K318" s="3">
        <f>(I318-SUM($J$282:$J$337))*G318/H318</f>
        <v>21.10581594282191</v>
      </c>
      <c r="L318" s="1">
        <f>INT(K318)</f>
        <v>21</v>
      </c>
      <c r="M318" s="3">
        <f>K318-L318</f>
        <v>0.1058159428219092</v>
      </c>
      <c r="N318" s="1">
        <f>COUNTIF($M$282:$M$337,"&gt;"&amp;M318)+COUNTIF($M$282:M318,M318)</f>
        <v>51</v>
      </c>
      <c r="O318" s="1">
        <f>J318+L318+IF(N318&lt;=I318-SUM($J$282:$J$337)-SUM($L$282:$L$337),1,0)</f>
        <v>31</v>
      </c>
    </row>
    <row r="319" spans="1:15">
      <c r="A319" s="1" t="s">
        <v>51</v>
      </c>
      <c r="B319" s="1" t="s">
        <v>56</v>
      </c>
      <c r="C319" s="1" t="s">
        <v>50</v>
      </c>
      <c r="D319" s="1" t="s">
        <v>39</v>
      </c>
      <c r="E319" s="1" t="s">
        <v>46</v>
      </c>
      <c r="F319" s="1" t="s">
        <v>42</v>
      </c>
      <c r="G319" s="1">
        <v>22861</v>
      </c>
      <c r="H319" s="1">
        <f>'1_Departamento_n'!C7</f>
        <v>1151490</v>
      </c>
      <c r="I319" s="1">
        <f>'1_Departamento_n'!H7</f>
        <v>1312</v>
      </c>
      <c r="J319" s="1">
        <f>'0_Parametros'!B7</f>
        <v>10</v>
      </c>
      <c r="K319" s="3">
        <f>(I319-SUM($J$282:$J$337))*G319/H319</f>
        <v>14.9297623079662</v>
      </c>
      <c r="L319" s="1">
        <f>INT(K319)</f>
        <v>14</v>
      </c>
      <c r="M319" s="3">
        <f>K319-L319</f>
        <v>0.9297623079662003</v>
      </c>
      <c r="N319" s="1">
        <f>COUNTIF($M$282:$M$337,"&gt;"&amp;M319)+COUNTIF($M$282:M319,M319)</f>
        <v>6</v>
      </c>
      <c r="O319" s="1">
        <f>J319+L319+IF(N319&lt;=I319-SUM($J$282:$J$337)-SUM($L$282:$L$337),1,0)</f>
        <v>25</v>
      </c>
    </row>
    <row r="320" spans="1:15">
      <c r="A320" s="1" t="s">
        <v>51</v>
      </c>
      <c r="B320" s="1" t="s">
        <v>56</v>
      </c>
      <c r="C320" s="1" t="s">
        <v>50</v>
      </c>
      <c r="D320" s="1" t="s">
        <v>39</v>
      </c>
      <c r="E320" s="1" t="s">
        <v>47</v>
      </c>
      <c r="F320" s="1" t="s">
        <v>41</v>
      </c>
      <c r="G320" s="1">
        <v>24159</v>
      </c>
      <c r="H320" s="1">
        <f>'1_Departamento_n'!C7</f>
        <v>1151490</v>
      </c>
      <c r="I320" s="1">
        <f>'1_Departamento_n'!H7</f>
        <v>1312</v>
      </c>
      <c r="J320" s="1">
        <f>'0_Parametros'!B7</f>
        <v>10</v>
      </c>
      <c r="K320" s="3">
        <f>(I320-SUM($J$282:$J$337))*G320/H320</f>
        <v>15.777443138889613</v>
      </c>
      <c r="L320" s="1">
        <f>INT(K320)</f>
        <v>15</v>
      </c>
      <c r="M320" s="3">
        <f>K320-L320</f>
        <v>0.7774431388896126</v>
      </c>
      <c r="N320" s="1">
        <f>COUNTIF($M$282:$M$337,"&gt;"&amp;M320)+COUNTIF($M$282:M320,M320)</f>
        <v>18</v>
      </c>
      <c r="O320" s="1">
        <f>J320+L320+IF(N320&lt;=I320-SUM($J$282:$J$337)-SUM($L$282:$L$337),1,0)</f>
        <v>26</v>
      </c>
    </row>
    <row r="321" spans="1:15">
      <c r="A321" s="1" t="s">
        <v>51</v>
      </c>
      <c r="B321" s="1" t="s">
        <v>56</v>
      </c>
      <c r="C321" s="1" t="s">
        <v>50</v>
      </c>
      <c r="D321" s="1" t="s">
        <v>39</v>
      </c>
      <c r="E321" s="1" t="s">
        <v>47</v>
      </c>
      <c r="F321" s="1" t="s">
        <v>42</v>
      </c>
      <c r="G321" s="1">
        <v>15260</v>
      </c>
      <c r="H321" s="1">
        <f>'1_Departamento_n'!C7</f>
        <v>1151490</v>
      </c>
      <c r="I321" s="1">
        <f>'1_Departamento_n'!H7</f>
        <v>1312</v>
      </c>
      <c r="J321" s="1">
        <f>'0_Parametros'!B7</f>
        <v>10</v>
      </c>
      <c r="K321" s="3">
        <f>(I321-SUM($J$282:$J$337))*G321/H321</f>
        <v>9.96580083196554</v>
      </c>
      <c r="L321" s="1">
        <f>INT(K321)</f>
        <v>9</v>
      </c>
      <c r="M321" s="3">
        <f>K321-L321</f>
        <v>0.9658008319655398</v>
      </c>
      <c r="N321" s="1">
        <f>COUNTIF($M$282:$M$337,"&gt;"&amp;M321)+COUNTIF($M$282:M321,M321)</f>
        <v>3</v>
      </c>
      <c r="O321" s="1">
        <f>J321+L321+IF(N321&lt;=I321-SUM($J$282:$J$337)-SUM($L$282:$L$337),1,0)</f>
        <v>20</v>
      </c>
    </row>
    <row r="322" spans="1:15">
      <c r="A322" s="1" t="s">
        <v>51</v>
      </c>
      <c r="B322" s="1" t="s">
        <v>56</v>
      </c>
      <c r="C322" s="1" t="s">
        <v>50</v>
      </c>
      <c r="D322" s="1" t="s">
        <v>39</v>
      </c>
      <c r="E322" s="1" t="s">
        <v>48</v>
      </c>
      <c r="F322" s="1" t="s">
        <v>41</v>
      </c>
      <c r="G322" s="1">
        <v>33793</v>
      </c>
      <c r="H322" s="1">
        <f>'1_Departamento_n'!C7</f>
        <v>1151490</v>
      </c>
      <c r="I322" s="1">
        <f>'1_Departamento_n'!H7</f>
        <v>1312</v>
      </c>
      <c r="J322" s="1">
        <f>'0_Parametros'!B7</f>
        <v>10</v>
      </c>
      <c r="K322" s="3">
        <f>(I322-SUM($J$282:$J$337))*G322/H322</f>
        <v>22.069089614325787</v>
      </c>
      <c r="L322" s="1">
        <f>INT(K322)</f>
        <v>22</v>
      </c>
      <c r="M322" s="3">
        <f>K322-L322</f>
        <v>0.06908961432578664</v>
      </c>
      <c r="N322" s="1">
        <f>COUNTIF($M$282:$M$337,"&gt;"&amp;M322)+COUNTIF($M$282:M322,M322)</f>
        <v>53</v>
      </c>
      <c r="O322" s="1">
        <f>J322+L322+IF(N322&lt;=I322-SUM($J$282:$J$337)-SUM($L$282:$L$337),1,0)</f>
        <v>32</v>
      </c>
    </row>
    <row r="323" spans="1:15">
      <c r="A323" s="1" t="s">
        <v>51</v>
      </c>
      <c r="B323" s="1" t="s">
        <v>56</v>
      </c>
      <c r="C323" s="1" t="s">
        <v>50</v>
      </c>
      <c r="D323" s="1" t="s">
        <v>39</v>
      </c>
      <c r="E323" s="1" t="s">
        <v>48</v>
      </c>
      <c r="F323" s="1" t="s">
        <v>42</v>
      </c>
      <c r="G323" s="1">
        <v>25783</v>
      </c>
      <c r="H323" s="1">
        <f>'1_Departamento_n'!C7</f>
        <v>1151490</v>
      </c>
      <c r="I323" s="1">
        <f>'1_Departamento_n'!H7</f>
        <v>1312</v>
      </c>
      <c r="J323" s="1">
        <f>'0_Parametros'!B7</f>
        <v>10</v>
      </c>
      <c r="K323" s="3">
        <f>(I323-SUM($J$282:$J$337))*G323/H323</f>
        <v>16.83802377788778</v>
      </c>
      <c r="L323" s="1">
        <f>INT(K323)</f>
        <v>16</v>
      </c>
      <c r="M323" s="3">
        <f>K323-L323</f>
        <v>0.8380237778877806</v>
      </c>
      <c r="N323" s="1">
        <f>COUNTIF($M$282:$M$337,"&gt;"&amp;M323)+COUNTIF($M$282:M323,M323)</f>
        <v>14</v>
      </c>
      <c r="O323" s="1">
        <f>J323+L323+IF(N323&lt;=I323-SUM($J$282:$J$337)-SUM($L$282:$L$337),1,0)</f>
        <v>27</v>
      </c>
    </row>
    <row r="324" spans="1:15">
      <c r="A324" s="1" t="s">
        <v>51</v>
      </c>
      <c r="B324" s="1" t="s">
        <v>56</v>
      </c>
      <c r="C324" s="1" t="s">
        <v>50</v>
      </c>
      <c r="D324" s="1" t="s">
        <v>49</v>
      </c>
      <c r="E324" s="1" t="s">
        <v>40</v>
      </c>
      <c r="F324" s="1" t="s">
        <v>41</v>
      </c>
      <c r="G324" s="1">
        <v>54863</v>
      </c>
      <c r="H324" s="1">
        <f>'1_Departamento_n'!C7</f>
        <v>1151490</v>
      </c>
      <c r="I324" s="1">
        <f>'1_Departamento_n'!H7</f>
        <v>1312</v>
      </c>
      <c r="J324" s="1">
        <f>'0_Parametros'!B7</f>
        <v>10</v>
      </c>
      <c r="K324" s="3">
        <f>(I324-SUM($J$282:$J$337))*G324/H324</f>
        <v>35.829209111672704</v>
      </c>
      <c r="L324" s="1">
        <f>INT(K324)</f>
        <v>35</v>
      </c>
      <c r="M324" s="3">
        <f>K324-L324</f>
        <v>0.8292091116727036</v>
      </c>
      <c r="N324" s="1">
        <f>COUNTIF($M$282:$M$337,"&gt;"&amp;M324)+COUNTIF($M$282:M324,M324)</f>
        <v>15</v>
      </c>
      <c r="O324" s="1">
        <f>J324+L324+IF(N324&lt;=I324-SUM($J$282:$J$337)-SUM($L$282:$L$337),1,0)</f>
        <v>46</v>
      </c>
    </row>
    <row r="325" spans="1:15">
      <c r="A325" s="1" t="s">
        <v>51</v>
      </c>
      <c r="B325" s="1" t="s">
        <v>56</v>
      </c>
      <c r="C325" s="1" t="s">
        <v>50</v>
      </c>
      <c r="D325" s="1" t="s">
        <v>49</v>
      </c>
      <c r="E325" s="1" t="s">
        <v>40</v>
      </c>
      <c r="F325" s="1" t="s">
        <v>42</v>
      </c>
      <c r="G325" s="1">
        <v>61621</v>
      </c>
      <c r="H325" s="1">
        <f>'1_Departamento_n'!C7</f>
        <v>1151490</v>
      </c>
      <c r="I325" s="1">
        <f>'1_Departamento_n'!H7</f>
        <v>1312</v>
      </c>
      <c r="J325" s="1">
        <f>'0_Parametros'!B7</f>
        <v>10</v>
      </c>
      <c r="K325" s="3">
        <f>(I325-SUM($J$282:$J$337))*G325/H325</f>
        <v>40.2426351944003</v>
      </c>
      <c r="L325" s="1">
        <f>INT(K325)</f>
        <v>40</v>
      </c>
      <c r="M325" s="3">
        <f>K325-L325</f>
        <v>0.24263519440030024</v>
      </c>
      <c r="N325" s="1">
        <f>COUNTIF($M$282:$M$337,"&gt;"&amp;M325)+COUNTIF($M$282:M325,M325)</f>
        <v>44</v>
      </c>
      <c r="O325" s="1">
        <f>J325+L325+IF(N325&lt;=I325-SUM($J$282:$J$337)-SUM($L$282:$L$337),1,0)</f>
        <v>50</v>
      </c>
    </row>
    <row r="326" spans="1:15">
      <c r="A326" s="1" t="s">
        <v>51</v>
      </c>
      <c r="B326" s="1" t="s">
        <v>56</v>
      </c>
      <c r="C326" s="1" t="s">
        <v>50</v>
      </c>
      <c r="D326" s="1" t="s">
        <v>49</v>
      </c>
      <c r="E326" s="1" t="s">
        <v>43</v>
      </c>
      <c r="F326" s="1" t="s">
        <v>41</v>
      </c>
      <c r="G326" s="1">
        <v>56708</v>
      </c>
      <c r="H326" s="1">
        <f>'1_Departamento_n'!C7</f>
        <v>1151490</v>
      </c>
      <c r="I326" s="1">
        <f>'1_Departamento_n'!H7</f>
        <v>1312</v>
      </c>
      <c r="J326" s="1">
        <f>'0_Parametros'!B7</f>
        <v>10</v>
      </c>
      <c r="K326" s="3">
        <f>(I326-SUM($J$282:$J$337))*G326/H326</f>
        <v>37.03411753467247</v>
      </c>
      <c r="L326" s="1">
        <f>INT(K326)</f>
        <v>37</v>
      </c>
      <c r="M326" s="3">
        <f>K326-L326</f>
        <v>0.03411753467246825</v>
      </c>
      <c r="N326" s="1">
        <f>COUNTIF($M$282:$M$337,"&gt;"&amp;M326)+COUNTIF($M$282:M326,M326)</f>
        <v>55</v>
      </c>
      <c r="O326" s="1">
        <f>J326+L326+IF(N326&lt;=I326-SUM($J$282:$J$337)-SUM($L$282:$L$337),1,0)</f>
        <v>47</v>
      </c>
    </row>
    <row r="327" spans="1:15">
      <c r="A327" s="1" t="s">
        <v>51</v>
      </c>
      <c r="B327" s="1" t="s">
        <v>56</v>
      </c>
      <c r="C327" s="1" t="s">
        <v>50</v>
      </c>
      <c r="D327" s="1" t="s">
        <v>49</v>
      </c>
      <c r="E327" s="1" t="s">
        <v>43</v>
      </c>
      <c r="F327" s="1" t="s">
        <v>42</v>
      </c>
      <c r="G327" s="1">
        <v>55013</v>
      </c>
      <c r="H327" s="1">
        <f>'1_Departamento_n'!C7</f>
        <v>1151490</v>
      </c>
      <c r="I327" s="1">
        <f>'1_Departamento_n'!H7</f>
        <v>1312</v>
      </c>
      <c r="J327" s="1">
        <f>'0_Parametros'!B7</f>
        <v>10</v>
      </c>
      <c r="K327" s="3">
        <f>(I327-SUM($J$282:$J$337))*G327/H327</f>
        <v>35.92716914606293</v>
      </c>
      <c r="L327" s="1">
        <f>INT(K327)</f>
        <v>35</v>
      </c>
      <c r="M327" s="3">
        <f>K327-L327</f>
        <v>0.9271691460629299</v>
      </c>
      <c r="N327" s="1">
        <f>COUNTIF($M$282:$M$337,"&gt;"&amp;M327)+COUNTIF($M$282:M327,M327)</f>
        <v>7</v>
      </c>
      <c r="O327" s="1">
        <f>J327+L327+IF(N327&lt;=I327-SUM($J$282:$J$337)-SUM($L$282:$L$337),1,0)</f>
        <v>46</v>
      </c>
    </row>
    <row r="328" spans="1:15">
      <c r="A328" s="1" t="s">
        <v>51</v>
      </c>
      <c r="B328" s="1" t="s">
        <v>56</v>
      </c>
      <c r="C328" s="1" t="s">
        <v>50</v>
      </c>
      <c r="D328" s="1" t="s">
        <v>49</v>
      </c>
      <c r="E328" s="1" t="s">
        <v>44</v>
      </c>
      <c r="F328" s="1" t="s">
        <v>41</v>
      </c>
      <c r="G328" s="1">
        <v>36189</v>
      </c>
      <c r="H328" s="1">
        <f>'1_Departamento_n'!C7</f>
        <v>1151490</v>
      </c>
      <c r="I328" s="1">
        <f>'1_Departamento_n'!H7</f>
        <v>1312</v>
      </c>
      <c r="J328" s="1">
        <f>'0_Parametros'!B7</f>
        <v>10</v>
      </c>
      <c r="K328" s="3">
        <f>(I328-SUM($J$282:$J$337))*G328/H328</f>
        <v>23.633837896985646</v>
      </c>
      <c r="L328" s="1">
        <f>INT(K328)</f>
        <v>23</v>
      </c>
      <c r="M328" s="3">
        <f>K328-L328</f>
        <v>0.6338378969856464</v>
      </c>
      <c r="N328" s="1">
        <f>COUNTIF($M$282:$M$337,"&gt;"&amp;M328)+COUNTIF($M$282:M328,M328)</f>
        <v>24</v>
      </c>
      <c r="O328" s="1">
        <f>J328+L328+IF(N328&lt;=I328-SUM($J$282:$J$337)-SUM($L$282:$L$337),1,0)</f>
        <v>34</v>
      </c>
    </row>
    <row r="329" spans="1:15">
      <c r="A329" s="1" t="s">
        <v>51</v>
      </c>
      <c r="B329" s="1" t="s">
        <v>56</v>
      </c>
      <c r="C329" s="1" t="s">
        <v>50</v>
      </c>
      <c r="D329" s="1" t="s">
        <v>49</v>
      </c>
      <c r="E329" s="1" t="s">
        <v>44</v>
      </c>
      <c r="F329" s="1" t="s">
        <v>42</v>
      </c>
      <c r="G329" s="1">
        <v>24947</v>
      </c>
      <c r="H329" s="1">
        <f>'1_Departamento_n'!C7</f>
        <v>1151490</v>
      </c>
      <c r="I329" s="1">
        <f>'1_Departamento_n'!H7</f>
        <v>1312</v>
      </c>
      <c r="J329" s="1">
        <f>'0_Parametros'!B7</f>
        <v>10</v>
      </c>
      <c r="K329" s="3">
        <f>(I329-SUM($J$282:$J$337))*G329/H329</f>
        <v>16.29205985288626</v>
      </c>
      <c r="L329" s="1">
        <f>INT(K329)</f>
        <v>16</v>
      </c>
      <c r="M329" s="3">
        <f>K329-L329</f>
        <v>0.29205985288626124</v>
      </c>
      <c r="N329" s="1">
        <f>COUNTIF($M$282:$M$337,"&gt;"&amp;M329)+COUNTIF($M$282:M329,M329)</f>
        <v>41</v>
      </c>
      <c r="O329" s="1">
        <f>J329+L329+IF(N329&lt;=I329-SUM($J$282:$J$337)-SUM($L$282:$L$337),1,0)</f>
        <v>26</v>
      </c>
    </row>
    <row r="330" spans="1:15">
      <c r="A330" s="1" t="s">
        <v>51</v>
      </c>
      <c r="B330" s="1" t="s">
        <v>56</v>
      </c>
      <c r="C330" s="1" t="s">
        <v>50</v>
      </c>
      <c r="D330" s="1" t="s">
        <v>49</v>
      </c>
      <c r="E330" s="1" t="s">
        <v>45</v>
      </c>
      <c r="F330" s="1" t="s">
        <v>41</v>
      </c>
      <c r="G330" s="1">
        <v>32523</v>
      </c>
      <c r="H330" s="1">
        <f>'1_Departamento_n'!C7</f>
        <v>1151490</v>
      </c>
      <c r="I330" s="1">
        <f>'1_Departamento_n'!H7</f>
        <v>1312</v>
      </c>
      <c r="J330" s="1">
        <f>'0_Parametros'!B7</f>
        <v>10</v>
      </c>
      <c r="K330" s="3">
        <f>(I330-SUM($J$282:$J$337))*G330/H330</f>
        <v>21.23969465648855</v>
      </c>
      <c r="L330" s="1">
        <f>INT(K330)</f>
        <v>21</v>
      </c>
      <c r="M330" s="3">
        <f>K330-L330</f>
        <v>0.23969465648854893</v>
      </c>
      <c r="N330" s="1">
        <f>COUNTIF($M$282:$M$337,"&gt;"&amp;M330)+COUNTIF($M$282:M330,M330)</f>
        <v>45</v>
      </c>
      <c r="O330" s="1">
        <f>J330+L330+IF(N330&lt;=I330-SUM($J$282:$J$337)-SUM($L$282:$L$337),1,0)</f>
        <v>31</v>
      </c>
    </row>
    <row r="331" spans="1:15">
      <c r="A331" s="1" t="s">
        <v>51</v>
      </c>
      <c r="B331" s="1" t="s">
        <v>56</v>
      </c>
      <c r="C331" s="1" t="s">
        <v>50</v>
      </c>
      <c r="D331" s="1" t="s">
        <v>49</v>
      </c>
      <c r="E331" s="1" t="s">
        <v>45</v>
      </c>
      <c r="F331" s="1" t="s">
        <v>42</v>
      </c>
      <c r="G331" s="1">
        <v>21606</v>
      </c>
      <c r="H331" s="1">
        <f>'1_Departamento_n'!C7</f>
        <v>1151490</v>
      </c>
      <c r="I331" s="1">
        <f>'1_Departamento_n'!H7</f>
        <v>1312</v>
      </c>
      <c r="J331" s="1">
        <f>'0_Parametros'!B7</f>
        <v>10</v>
      </c>
      <c r="K331" s="3">
        <f>(I331-SUM($J$282:$J$337))*G331/H331</f>
        <v>14.110163353567986</v>
      </c>
      <c r="L331" s="1">
        <f>INT(K331)</f>
        <v>14</v>
      </c>
      <c r="M331" s="3">
        <f>K331-L331</f>
        <v>0.11016335356798557</v>
      </c>
      <c r="N331" s="1">
        <f>COUNTIF($M$282:$M$337,"&gt;"&amp;M331)+COUNTIF($M$282:M331,M331)</f>
        <v>50</v>
      </c>
      <c r="O331" s="1">
        <f>J331+L331+IF(N331&lt;=I331-SUM($J$282:$J$337)-SUM($L$282:$L$337),1,0)</f>
        <v>24</v>
      </c>
    </row>
    <row r="332" spans="1:15">
      <c r="A332" s="1" t="s">
        <v>51</v>
      </c>
      <c r="B332" s="1" t="s">
        <v>56</v>
      </c>
      <c r="C332" s="1" t="s">
        <v>50</v>
      </c>
      <c r="D332" s="1" t="s">
        <v>49</v>
      </c>
      <c r="E332" s="1" t="s">
        <v>46</v>
      </c>
      <c r="F332" s="1" t="s">
        <v>41</v>
      </c>
      <c r="G332" s="1">
        <v>28955</v>
      </c>
      <c r="H332" s="1">
        <f>'1_Departamento_n'!C7</f>
        <v>1151490</v>
      </c>
      <c r="I332" s="1">
        <f>'1_Departamento_n'!H7</f>
        <v>1312</v>
      </c>
      <c r="J332" s="1">
        <f>'0_Parametros'!B7</f>
        <v>10</v>
      </c>
      <c r="K332" s="3">
        <f>(I332-SUM($J$282:$J$337))*G332/H332</f>
        <v>18.909551971793068</v>
      </c>
      <c r="L332" s="1">
        <f>INT(K332)</f>
        <v>18</v>
      </c>
      <c r="M332" s="3">
        <f>K332-L332</f>
        <v>0.9095519717930678</v>
      </c>
      <c r="N332" s="1">
        <f>COUNTIF($M$282:$M$337,"&gt;"&amp;M332)+COUNTIF($M$282:M332,M332)</f>
        <v>8</v>
      </c>
      <c r="O332" s="1">
        <f>J332+L332+IF(N332&lt;=I332-SUM($J$282:$J$337)-SUM($L$282:$L$337),1,0)</f>
        <v>29</v>
      </c>
    </row>
    <row r="333" spans="1:15">
      <c r="A333" s="1" t="s">
        <v>51</v>
      </c>
      <c r="B333" s="1" t="s">
        <v>56</v>
      </c>
      <c r="C333" s="1" t="s">
        <v>50</v>
      </c>
      <c r="D333" s="1" t="s">
        <v>49</v>
      </c>
      <c r="E333" s="1" t="s">
        <v>46</v>
      </c>
      <c r="F333" s="1" t="s">
        <v>42</v>
      </c>
      <c r="G333" s="1">
        <v>19867</v>
      </c>
      <c r="H333" s="1">
        <f>'1_Departamento_n'!C7</f>
        <v>1151490</v>
      </c>
      <c r="I333" s="1">
        <f>'1_Departamento_n'!H7</f>
        <v>1312</v>
      </c>
      <c r="J333" s="1">
        <f>'0_Parametros'!B7</f>
        <v>10</v>
      </c>
      <c r="K333" s="3">
        <f>(I333-SUM($J$282:$J$337))*G333/H333</f>
        <v>12.974480021537312</v>
      </c>
      <c r="L333" s="1">
        <f>INT(K333)</f>
        <v>12</v>
      </c>
      <c r="M333" s="3">
        <f>K333-L333</f>
        <v>0.9744800215373122</v>
      </c>
      <c r="N333" s="1">
        <f>COUNTIF($M$282:$M$337,"&gt;"&amp;M333)+COUNTIF($M$282:M333,M333)</f>
        <v>2</v>
      </c>
      <c r="O333" s="1">
        <f>J333+L333+IF(N333&lt;=I333-SUM($J$282:$J$337)-SUM($L$282:$L$337),1,0)</f>
        <v>23</v>
      </c>
    </row>
    <row r="334" spans="1:15">
      <c r="A334" s="1" t="s">
        <v>51</v>
      </c>
      <c r="B334" s="1" t="s">
        <v>56</v>
      </c>
      <c r="C334" s="1" t="s">
        <v>50</v>
      </c>
      <c r="D334" s="1" t="s">
        <v>49</v>
      </c>
      <c r="E334" s="1" t="s">
        <v>47</v>
      </c>
      <c r="F334" s="1" t="s">
        <v>41</v>
      </c>
      <c r="G334" s="1">
        <v>21369</v>
      </c>
      <c r="H334" s="1">
        <f>'1_Departamento_n'!C7</f>
        <v>1151490</v>
      </c>
      <c r="I334" s="1">
        <f>'1_Departamento_n'!H7</f>
        <v>1312</v>
      </c>
      <c r="J334" s="1">
        <f>'0_Parametros'!B7</f>
        <v>10</v>
      </c>
      <c r="K334" s="3">
        <f>(I334-SUM($J$282:$J$337))*G334/H334</f>
        <v>13.95538649923143</v>
      </c>
      <c r="L334" s="1">
        <f>INT(K334)</f>
        <v>13</v>
      </c>
      <c r="M334" s="3">
        <f>K334-L334</f>
        <v>0.9553864992314303</v>
      </c>
      <c r="N334" s="1">
        <f>COUNTIF($M$282:$M$337,"&gt;"&amp;M334)+COUNTIF($M$282:M334,M334)</f>
        <v>4</v>
      </c>
      <c r="O334" s="1">
        <f>J334+L334+IF(N334&lt;=I334-SUM($J$282:$J$337)-SUM($L$282:$L$337),1,0)</f>
        <v>24</v>
      </c>
    </row>
    <row r="335" spans="1:15">
      <c r="A335" s="1" t="s">
        <v>51</v>
      </c>
      <c r="B335" s="1" t="s">
        <v>56</v>
      </c>
      <c r="C335" s="1" t="s">
        <v>50</v>
      </c>
      <c r="D335" s="1" t="s">
        <v>49</v>
      </c>
      <c r="E335" s="1" t="s">
        <v>47</v>
      </c>
      <c r="F335" s="1" t="s">
        <v>42</v>
      </c>
      <c r="G335" s="1">
        <v>14241</v>
      </c>
      <c r="H335" s="1">
        <f>'1_Departamento_n'!C7</f>
        <v>1151490</v>
      </c>
      <c r="I335" s="1">
        <f>'1_Departamento_n'!H7</f>
        <v>1312</v>
      </c>
      <c r="J335" s="1">
        <f>'0_Parametros'!B7</f>
        <v>10</v>
      </c>
      <c r="K335" s="3">
        <f>(I335-SUM($J$282:$J$337))*G335/H335</f>
        <v>9.300325665007946</v>
      </c>
      <c r="L335" s="1">
        <f>INT(K335)</f>
        <v>9</v>
      </c>
      <c r="M335" s="3">
        <f>K335-L335</f>
        <v>0.30032566500794644</v>
      </c>
      <c r="N335" s="1">
        <f>COUNTIF($M$282:$M$337,"&gt;"&amp;M335)+COUNTIF($M$282:M335,M335)</f>
        <v>39</v>
      </c>
      <c r="O335" s="1">
        <f>J335+L335+IF(N335&lt;=I335-SUM($J$282:$J$337)-SUM($L$282:$L$337),1,0)</f>
        <v>19</v>
      </c>
    </row>
    <row r="336" spans="1:15">
      <c r="A336" s="1" t="s">
        <v>51</v>
      </c>
      <c r="B336" s="1" t="s">
        <v>56</v>
      </c>
      <c r="C336" s="1" t="s">
        <v>50</v>
      </c>
      <c r="D336" s="1" t="s">
        <v>49</v>
      </c>
      <c r="E336" s="1" t="s">
        <v>48</v>
      </c>
      <c r="F336" s="1" t="s">
        <v>41</v>
      </c>
      <c r="G336" s="1">
        <v>29343</v>
      </c>
      <c r="H336" s="1">
        <f>'1_Departamento_n'!C7</f>
        <v>1151490</v>
      </c>
      <c r="I336" s="1">
        <f>'1_Departamento_n'!H7</f>
        <v>1312</v>
      </c>
      <c r="J336" s="1">
        <f>'0_Parametros'!B7</f>
        <v>10</v>
      </c>
      <c r="K336" s="3">
        <f>(I336-SUM($J$282:$J$337))*G336/H336</f>
        <v>19.162941927415783</v>
      </c>
      <c r="L336" s="1">
        <f>INT(K336)</f>
        <v>19</v>
      </c>
      <c r="M336" s="3">
        <f>K336-L336</f>
        <v>0.16294192741578328</v>
      </c>
      <c r="N336" s="1">
        <f>COUNTIF($M$282:$M$337,"&gt;"&amp;M336)+COUNTIF($M$282:M336,M336)</f>
        <v>48</v>
      </c>
      <c r="O336" s="1">
        <f>J336+L336+IF(N336&lt;=I336-SUM($J$282:$J$337)-SUM($L$282:$L$337),1,0)</f>
        <v>29</v>
      </c>
    </row>
    <row r="337" spans="1:15">
      <c r="A337" s="1" t="s">
        <v>51</v>
      </c>
      <c r="B337" s="1" t="s">
        <v>56</v>
      </c>
      <c r="C337" s="1" t="s">
        <v>50</v>
      </c>
      <c r="D337" s="1" t="s">
        <v>49</v>
      </c>
      <c r="E337" s="1" t="s">
        <v>48</v>
      </c>
      <c r="F337" s="1" t="s">
        <v>42</v>
      </c>
      <c r="G337" s="1">
        <v>22146</v>
      </c>
      <c r="H337" s="1">
        <f>'1_Departamento_n'!C7</f>
        <v>1151490</v>
      </c>
      <c r="I337" s="1">
        <f>'1_Departamento_n'!H7</f>
        <v>1312</v>
      </c>
      <c r="J337" s="1">
        <f>'0_Parametros'!B7</f>
        <v>10</v>
      </c>
      <c r="K337" s="3">
        <f>(I337-SUM($J$282:$J$337))*G337/H337</f>
        <v>14.462819477372795</v>
      </c>
      <c r="L337" s="1">
        <f>INT(K337)</f>
        <v>14</v>
      </c>
      <c r="M337" s="3">
        <f>K337-L337</f>
        <v>0.46281947737279516</v>
      </c>
      <c r="N337" s="1">
        <f>COUNTIF($M$282:$M$337,"&gt;"&amp;M337)+COUNTIF($M$282:M337,M337)</f>
        <v>28</v>
      </c>
      <c r="O337" s="1">
        <f>J337+L337+IF(N337&lt;=I337-SUM($J$282:$J$337)-SUM($L$282:$L$337),1,0)</f>
        <v>25</v>
      </c>
    </row>
    <row r="338" spans="1:15">
      <c r="A338" s="1" t="s">
        <v>51</v>
      </c>
      <c r="B338" s="1" t="s">
        <v>57</v>
      </c>
      <c r="C338" s="1" t="s">
        <v>38</v>
      </c>
      <c r="D338" s="1" t="s">
        <v>39</v>
      </c>
      <c r="E338" s="1" t="s">
        <v>40</v>
      </c>
      <c r="F338" s="1" t="s">
        <v>41</v>
      </c>
      <c r="G338" s="1">
        <v>21878</v>
      </c>
      <c r="H338" s="1">
        <f>'1_Departamento_n'!C8</f>
        <v>1402034</v>
      </c>
      <c r="I338" s="1">
        <f>'1_Departamento_n'!H8</f>
        <v>1312</v>
      </c>
      <c r="J338" s="1">
        <f>'0_Parametros'!B7</f>
        <v>10</v>
      </c>
      <c r="K338" s="3">
        <f>(I338-SUM($J$338:$J$393))*G338/H338</f>
        <v>11.73456278521063</v>
      </c>
      <c r="L338" s="1">
        <f>INT(K338)</f>
        <v>11</v>
      </c>
      <c r="M338" s="3">
        <f>K338-L338</f>
        <v>0.7345627852106293</v>
      </c>
      <c r="N338" s="1">
        <f>COUNTIF($M$338:$M$393,"&gt;"&amp;M338)+COUNTIF($M$338:M338,M338)</f>
        <v>14</v>
      </c>
      <c r="O338" s="1">
        <f>J338+L338+IF(N338&lt;=I338-SUM($J$338:$J$393)-SUM($L$338:$L$393),1,0)</f>
        <v>22</v>
      </c>
    </row>
    <row r="339" spans="1:15">
      <c r="A339" s="1" t="s">
        <v>51</v>
      </c>
      <c r="B339" s="1" t="s">
        <v>57</v>
      </c>
      <c r="C339" s="1" t="s">
        <v>38</v>
      </c>
      <c r="D339" s="1" t="s">
        <v>39</v>
      </c>
      <c r="E339" s="1" t="s">
        <v>40</v>
      </c>
      <c r="F339" s="1" t="s">
        <v>42</v>
      </c>
      <c r="G339" s="1">
        <v>1804</v>
      </c>
      <c r="H339" s="1">
        <f>'1_Departamento_n'!C8</f>
        <v>1402034</v>
      </c>
      <c r="I339" s="1">
        <f>'1_Departamento_n'!H8</f>
        <v>1312</v>
      </c>
      <c r="J339" s="1">
        <f>'0_Parametros'!B7</f>
        <v>10</v>
      </c>
      <c r="K339" s="3">
        <f>(I339-SUM($J$338:$J$393))*G339/H339</f>
        <v>0.9675999298162526</v>
      </c>
      <c r="L339" s="1">
        <f>INT(K339)</f>
        <v>0</v>
      </c>
      <c r="M339" s="3">
        <f>K339-L339</f>
        <v>0.9675999298162526</v>
      </c>
      <c r="N339" s="1">
        <f>COUNTIF($M$338:$M$393,"&gt;"&amp;M339)+COUNTIF($M$338:M339,M339)</f>
        <v>4</v>
      </c>
      <c r="O339" s="1">
        <f>J339+L339+IF(N339&lt;=I339-SUM($J$338:$J$393)-SUM($L$338:$L$393),1,0)</f>
        <v>11</v>
      </c>
    </row>
    <row r="340" spans="1:15">
      <c r="A340" s="1" t="s">
        <v>51</v>
      </c>
      <c r="B340" s="1" t="s">
        <v>57</v>
      </c>
      <c r="C340" s="1" t="s">
        <v>38</v>
      </c>
      <c r="D340" s="1" t="s">
        <v>39</v>
      </c>
      <c r="E340" s="1" t="s">
        <v>43</v>
      </c>
      <c r="F340" s="1" t="s">
        <v>41</v>
      </c>
      <c r="G340" s="1">
        <v>27937</v>
      </c>
      <c r="H340" s="1">
        <f>'1_Departamento_n'!C8</f>
        <v>1402034</v>
      </c>
      <c r="I340" s="1">
        <f>'1_Departamento_n'!H8</f>
        <v>1312</v>
      </c>
      <c r="J340" s="1">
        <f>'0_Parametros'!B7</f>
        <v>10</v>
      </c>
      <c r="K340" s="3">
        <f>(I340-SUM($J$338:$J$393))*G340/H340</f>
        <v>14.984389822215439</v>
      </c>
      <c r="L340" s="1">
        <f>INT(K340)</f>
        <v>14</v>
      </c>
      <c r="M340" s="3">
        <f>K340-L340</f>
        <v>0.984389822215439</v>
      </c>
      <c r="N340" s="1">
        <f>COUNTIF($M$338:$M$393,"&gt;"&amp;M340)+COUNTIF($M$338:M340,M340)</f>
        <v>1</v>
      </c>
      <c r="O340" s="1">
        <f>J340+L340+IF(N340&lt;=I340-SUM($J$338:$J$393)-SUM($L$338:$L$393),1,0)</f>
        <v>25</v>
      </c>
    </row>
    <row r="341" spans="1:15">
      <c r="A341" s="1" t="s">
        <v>51</v>
      </c>
      <c r="B341" s="1" t="s">
        <v>57</v>
      </c>
      <c r="C341" s="1" t="s">
        <v>38</v>
      </c>
      <c r="D341" s="1" t="s">
        <v>39</v>
      </c>
      <c r="E341" s="1" t="s">
        <v>43</v>
      </c>
      <c r="F341" s="1" t="s">
        <v>42</v>
      </c>
      <c r="G341" s="1">
        <v>1637</v>
      </c>
      <c r="H341" s="1">
        <f>'1_Departamento_n'!C8</f>
        <v>1402034</v>
      </c>
      <c r="I341" s="1">
        <f>'1_Departamento_n'!H8</f>
        <v>1312</v>
      </c>
      <c r="J341" s="1">
        <f>'0_Parametros'!B7</f>
        <v>10</v>
      </c>
      <c r="K341" s="3">
        <f>(I341-SUM($J$338:$J$393))*G341/H341</f>
        <v>0.8780272090405796</v>
      </c>
      <c r="L341" s="1">
        <f>INT(K341)</f>
        <v>0</v>
      </c>
      <c r="M341" s="3">
        <f>K341-L341</f>
        <v>0.8780272090405796</v>
      </c>
      <c r="N341" s="1">
        <f>COUNTIF($M$338:$M$393,"&gt;"&amp;M341)+COUNTIF($M$338:M341,M341)</f>
        <v>9</v>
      </c>
      <c r="O341" s="1">
        <f>J341+L341+IF(N341&lt;=I341-SUM($J$338:$J$393)-SUM($L$338:$L$393),1,0)</f>
        <v>11</v>
      </c>
    </row>
    <row r="342" spans="1:15">
      <c r="A342" s="1" t="s">
        <v>51</v>
      </c>
      <c r="B342" s="1" t="s">
        <v>57</v>
      </c>
      <c r="C342" s="1" t="s">
        <v>38</v>
      </c>
      <c r="D342" s="1" t="s">
        <v>39</v>
      </c>
      <c r="E342" s="1" t="s">
        <v>44</v>
      </c>
      <c r="F342" s="1" t="s">
        <v>41</v>
      </c>
      <c r="G342" s="1">
        <v>27198</v>
      </c>
      <c r="H342" s="1">
        <f>'1_Departamento_n'!C8</f>
        <v>1402034</v>
      </c>
      <c r="I342" s="1">
        <f>'1_Departamento_n'!H8</f>
        <v>1312</v>
      </c>
      <c r="J342" s="1">
        <f>'0_Parametros'!B7</f>
        <v>10</v>
      </c>
      <c r="K342" s="3">
        <f>(I342-SUM($J$338:$J$393))*G342/H342</f>
        <v>14.588017123693149</v>
      </c>
      <c r="L342" s="1">
        <f>INT(K342)</f>
        <v>14</v>
      </c>
      <c r="M342" s="3">
        <f>K342-L342</f>
        <v>0.5880171236931488</v>
      </c>
      <c r="N342" s="1">
        <f>COUNTIF($M$338:$M$393,"&gt;"&amp;M342)+COUNTIF($M$338:M342,M342)</f>
        <v>20</v>
      </c>
      <c r="O342" s="1">
        <f>J342+L342+IF(N342&lt;=I342-SUM($J$338:$J$393)-SUM($L$338:$L$393),1,0)</f>
        <v>25</v>
      </c>
    </row>
    <row r="343" spans="1:15">
      <c r="A343" s="1" t="s">
        <v>51</v>
      </c>
      <c r="B343" s="1" t="s">
        <v>57</v>
      </c>
      <c r="C343" s="1" t="s">
        <v>38</v>
      </c>
      <c r="D343" s="1" t="s">
        <v>39</v>
      </c>
      <c r="E343" s="1" t="s">
        <v>44</v>
      </c>
      <c r="F343" s="1" t="s">
        <v>42</v>
      </c>
      <c r="G343" s="1">
        <v>2586</v>
      </c>
      <c r="H343" s="1">
        <f>'1_Departamento_n'!C8</f>
        <v>1402034</v>
      </c>
      <c r="I343" s="1">
        <f>'1_Departamento_n'!H8</f>
        <v>1312</v>
      </c>
      <c r="J343" s="1">
        <f>'0_Parametros'!B7</f>
        <v>10</v>
      </c>
      <c r="K343" s="3">
        <f>(I343-SUM($J$338:$J$393))*G343/H343</f>
        <v>1.3870362630292845</v>
      </c>
      <c r="L343" s="1">
        <f>INT(K343)</f>
        <v>1</v>
      </c>
      <c r="M343" s="3">
        <f>K343-L343</f>
        <v>0.3870362630292845</v>
      </c>
      <c r="N343" s="1">
        <f>COUNTIF($M$338:$M$393,"&gt;"&amp;M343)+COUNTIF($M$338:M343,M343)</f>
        <v>32</v>
      </c>
      <c r="O343" s="1">
        <f>J343+L343+IF(N343&lt;=I343-SUM($J$338:$J$393)-SUM($L$338:$L$393),1,0)</f>
        <v>11</v>
      </c>
    </row>
    <row r="344" spans="1:15">
      <c r="A344" s="1" t="s">
        <v>51</v>
      </c>
      <c r="B344" s="1" t="s">
        <v>57</v>
      </c>
      <c r="C344" s="1" t="s">
        <v>38</v>
      </c>
      <c r="D344" s="1" t="s">
        <v>39</v>
      </c>
      <c r="E344" s="1" t="s">
        <v>45</v>
      </c>
      <c r="F344" s="1" t="s">
        <v>41</v>
      </c>
      <c r="G344" s="1">
        <v>29472</v>
      </c>
      <c r="H344" s="1">
        <f>'1_Departamento_n'!C8</f>
        <v>1402034</v>
      </c>
      <c r="I344" s="1">
        <f>'1_Departamento_n'!H8</f>
        <v>1312</v>
      </c>
      <c r="J344" s="1">
        <f>'0_Parametros'!B7</f>
        <v>10</v>
      </c>
      <c r="K344" s="3">
        <f>(I344-SUM($J$338:$J$393))*G344/H344</f>
        <v>15.807707944315188</v>
      </c>
      <c r="L344" s="1">
        <f>INT(K344)</f>
        <v>15</v>
      </c>
      <c r="M344" s="3">
        <f>K344-L344</f>
        <v>0.8077079443151884</v>
      </c>
      <c r="N344" s="1">
        <f>COUNTIF($M$338:$M$393,"&gt;"&amp;M344)+COUNTIF($M$338:M344,M344)</f>
        <v>11</v>
      </c>
      <c r="O344" s="1">
        <f>J344+L344+IF(N344&lt;=I344-SUM($J$338:$J$393)-SUM($L$338:$L$393),1,0)</f>
        <v>26</v>
      </c>
    </row>
    <row r="345" spans="1:15">
      <c r="A345" s="1" t="s">
        <v>51</v>
      </c>
      <c r="B345" s="1" t="s">
        <v>57</v>
      </c>
      <c r="C345" s="1" t="s">
        <v>38</v>
      </c>
      <c r="D345" s="1" t="s">
        <v>39</v>
      </c>
      <c r="E345" s="1" t="s">
        <v>45</v>
      </c>
      <c r="F345" s="1" t="s">
        <v>42</v>
      </c>
      <c r="G345" s="1">
        <v>2154</v>
      </c>
      <c r="H345" s="1">
        <f>'1_Departamento_n'!C8</f>
        <v>1402034</v>
      </c>
      <c r="I345" s="1">
        <f>'1_Departamento_n'!H8</f>
        <v>1312</v>
      </c>
      <c r="J345" s="1">
        <f>'0_Parametros'!B7</f>
        <v>10</v>
      </c>
      <c r="K345" s="3">
        <f>(I345-SUM($J$338:$J$393))*G345/H345</f>
        <v>1.1553271889269447</v>
      </c>
      <c r="L345" s="1">
        <f>INT(K345)</f>
        <v>1</v>
      </c>
      <c r="M345" s="3">
        <f>K345-L345</f>
        <v>0.15532718892694475</v>
      </c>
      <c r="N345" s="1">
        <f>COUNTIF($M$338:$M$393,"&gt;"&amp;M345)+COUNTIF($M$338:M345,M345)</f>
        <v>51</v>
      </c>
      <c r="O345" s="1">
        <f>J345+L345+IF(N345&lt;=I345-SUM($J$338:$J$393)-SUM($L$338:$L$393),1,0)</f>
        <v>11</v>
      </c>
    </row>
    <row r="346" spans="1:15">
      <c r="A346" s="1" t="s">
        <v>51</v>
      </c>
      <c r="B346" s="1" t="s">
        <v>57</v>
      </c>
      <c r="C346" s="1" t="s">
        <v>38</v>
      </c>
      <c r="D346" s="1" t="s">
        <v>39</v>
      </c>
      <c r="E346" s="1" t="s">
        <v>46</v>
      </c>
      <c r="F346" s="1" t="s">
        <v>41</v>
      </c>
      <c r="G346" s="1">
        <v>25946</v>
      </c>
      <c r="H346" s="1">
        <f>'1_Departamento_n'!C8</f>
        <v>1402034</v>
      </c>
      <c r="I346" s="1">
        <f>'1_Departamento_n'!H8</f>
        <v>1312</v>
      </c>
      <c r="J346" s="1">
        <f>'0_Parametros'!B7</f>
        <v>10</v>
      </c>
      <c r="K346" s="3">
        <f>(I346-SUM($J$338:$J$393))*G346/H346</f>
        <v>13.91648989967433</v>
      </c>
      <c r="L346" s="1">
        <f>INT(K346)</f>
        <v>13</v>
      </c>
      <c r="M346" s="3">
        <f>K346-L346</f>
        <v>0.91648989967433</v>
      </c>
      <c r="N346" s="1">
        <f>COUNTIF($M$338:$M$393,"&gt;"&amp;M346)+COUNTIF($M$338:M346,M346)</f>
        <v>8</v>
      </c>
      <c r="O346" s="1">
        <f>J346+L346+IF(N346&lt;=I346-SUM($J$338:$J$393)-SUM($L$338:$L$393),1,0)</f>
        <v>24</v>
      </c>
    </row>
    <row r="347" spans="1:15">
      <c r="A347" s="1" t="s">
        <v>51</v>
      </c>
      <c r="B347" s="1" t="s">
        <v>57</v>
      </c>
      <c r="C347" s="1" t="s">
        <v>38</v>
      </c>
      <c r="D347" s="1" t="s">
        <v>39</v>
      </c>
      <c r="E347" s="1" t="s">
        <v>46</v>
      </c>
      <c r="F347" s="1" t="s">
        <v>42</v>
      </c>
      <c r="G347" s="1">
        <v>1343</v>
      </c>
      <c r="H347" s="1">
        <f>'1_Departamento_n'!C8</f>
        <v>1402034</v>
      </c>
      <c r="I347" s="1">
        <f>'1_Departamento_n'!H8</f>
        <v>1312</v>
      </c>
      <c r="J347" s="1">
        <f>'0_Parametros'!B7</f>
        <v>10</v>
      </c>
      <c r="K347" s="3">
        <f>(I347-SUM($J$338:$J$393))*G347/H347</f>
        <v>0.7203363113875983</v>
      </c>
      <c r="L347" s="1">
        <f>INT(K347)</f>
        <v>0</v>
      </c>
      <c r="M347" s="3">
        <f>K347-L347</f>
        <v>0.7203363113875983</v>
      </c>
      <c r="N347" s="1">
        <f>COUNTIF($M$338:$M$393,"&gt;"&amp;M347)+COUNTIF($M$338:M347,M347)</f>
        <v>15</v>
      </c>
      <c r="O347" s="1">
        <f>J347+L347+IF(N347&lt;=I347-SUM($J$338:$J$393)-SUM($L$338:$L$393),1,0)</f>
        <v>11</v>
      </c>
    </row>
    <row r="348" spans="1:15">
      <c r="A348" s="1" t="s">
        <v>51</v>
      </c>
      <c r="B348" s="1" t="s">
        <v>57</v>
      </c>
      <c r="C348" s="1" t="s">
        <v>38</v>
      </c>
      <c r="D348" s="1" t="s">
        <v>39</v>
      </c>
      <c r="E348" s="1" t="s">
        <v>47</v>
      </c>
      <c r="F348" s="1" t="s">
        <v>41</v>
      </c>
      <c r="G348" s="1">
        <v>18514</v>
      </c>
      <c r="H348" s="1">
        <f>'1_Departamento_n'!C8</f>
        <v>1402034</v>
      </c>
      <c r="I348" s="1">
        <f>'1_Departamento_n'!H8</f>
        <v>1312</v>
      </c>
      <c r="J348" s="1">
        <f>'0_Parametros'!B7</f>
        <v>10</v>
      </c>
      <c r="K348" s="3">
        <f>(I348-SUM($J$338:$J$393))*G348/H348</f>
        <v>9.93023564335815</v>
      </c>
      <c r="L348" s="1">
        <f>INT(K348)</f>
        <v>9</v>
      </c>
      <c r="M348" s="3">
        <f>K348-L348</f>
        <v>0.9302356433581505</v>
      </c>
      <c r="N348" s="1">
        <f>COUNTIF($M$338:$M$393,"&gt;"&amp;M348)+COUNTIF($M$338:M348,M348)</f>
        <v>7</v>
      </c>
      <c r="O348" s="1">
        <f>J348+L348+IF(N348&lt;=I348-SUM($J$338:$J$393)-SUM($L$338:$L$393),1,0)</f>
        <v>20</v>
      </c>
    </row>
    <row r="349" spans="1:15">
      <c r="A349" s="1" t="s">
        <v>51</v>
      </c>
      <c r="B349" s="1" t="s">
        <v>57</v>
      </c>
      <c r="C349" s="1" t="s">
        <v>38</v>
      </c>
      <c r="D349" s="1" t="s">
        <v>39</v>
      </c>
      <c r="E349" s="1" t="s">
        <v>47</v>
      </c>
      <c r="F349" s="1" t="s">
        <v>42</v>
      </c>
      <c r="G349" s="1">
        <v>794</v>
      </c>
      <c r="H349" s="1">
        <f>'1_Departamento_n'!C8</f>
        <v>1402034</v>
      </c>
      <c r="I349" s="1">
        <f>'1_Departamento_n'!H8</f>
        <v>1312</v>
      </c>
      <c r="J349" s="1">
        <f>'0_Parametros'!B7</f>
        <v>10</v>
      </c>
      <c r="K349" s="3">
        <f>(I349-SUM($J$338:$J$393))*G349/H349</f>
        <v>0.4258726963825414</v>
      </c>
      <c r="L349" s="1">
        <f>INT(K349)</f>
        <v>0</v>
      </c>
      <c r="M349" s="3">
        <f>K349-L349</f>
        <v>0.4258726963825414</v>
      </c>
      <c r="N349" s="1">
        <f>COUNTIF($M$338:$M$393,"&gt;"&amp;M349)+COUNTIF($M$338:M349,M349)</f>
        <v>27</v>
      </c>
      <c r="O349" s="1">
        <f>J349+L349+IF(N349&lt;=I349-SUM($J$338:$J$393)-SUM($L$338:$L$393),1,0)</f>
        <v>11</v>
      </c>
    </row>
    <row r="350" spans="1:15">
      <c r="A350" s="1" t="s">
        <v>51</v>
      </c>
      <c r="B350" s="1" t="s">
        <v>57</v>
      </c>
      <c r="C350" s="1" t="s">
        <v>38</v>
      </c>
      <c r="D350" s="1" t="s">
        <v>39</v>
      </c>
      <c r="E350" s="1" t="s">
        <v>48</v>
      </c>
      <c r="F350" s="1" t="s">
        <v>41</v>
      </c>
      <c r="G350" s="1">
        <v>28379</v>
      </c>
      <c r="H350" s="1">
        <f>'1_Departamento_n'!C8</f>
        <v>1402034</v>
      </c>
      <c r="I350" s="1">
        <f>'1_Departamento_n'!H8</f>
        <v>1312</v>
      </c>
      <c r="J350" s="1">
        <f>'0_Parametros'!B7</f>
        <v>10</v>
      </c>
      <c r="K350" s="3">
        <f>(I350-SUM($J$338:$J$393))*G350/H350</f>
        <v>15.22146253229237</v>
      </c>
      <c r="L350" s="1">
        <f>INT(K350)</f>
        <v>15</v>
      </c>
      <c r="M350" s="3">
        <f>K350-L350</f>
        <v>0.22146253229236912</v>
      </c>
      <c r="N350" s="1">
        <f>COUNTIF($M$338:$M$393,"&gt;"&amp;M350)+COUNTIF($M$338:M350,M350)</f>
        <v>44</v>
      </c>
      <c r="O350" s="1">
        <f>J350+L350+IF(N350&lt;=I350-SUM($J$338:$J$393)-SUM($L$338:$L$393),1,0)</f>
        <v>25</v>
      </c>
    </row>
    <row r="351" spans="1:15">
      <c r="A351" s="1" t="s">
        <v>51</v>
      </c>
      <c r="B351" s="1" t="s">
        <v>57</v>
      </c>
      <c r="C351" s="1" t="s">
        <v>38</v>
      </c>
      <c r="D351" s="1" t="s">
        <v>39</v>
      </c>
      <c r="E351" s="1" t="s">
        <v>48</v>
      </c>
      <c r="F351" s="1" t="s">
        <v>42</v>
      </c>
      <c r="G351" s="1">
        <v>594</v>
      </c>
      <c r="H351" s="1">
        <f>'1_Departamento_n'!C8</f>
        <v>1402034</v>
      </c>
      <c r="I351" s="1">
        <f>'1_Departamento_n'!H8</f>
        <v>1312</v>
      </c>
      <c r="J351" s="1">
        <f>'0_Parametros'!B7</f>
        <v>10</v>
      </c>
      <c r="K351" s="3">
        <f>(I351-SUM($J$338:$J$393))*G351/H351</f>
        <v>0.31859997689071734</v>
      </c>
      <c r="L351" s="1">
        <f>INT(K351)</f>
        <v>0</v>
      </c>
      <c r="M351" s="3">
        <f>K351-L351</f>
        <v>0.31859997689071734</v>
      </c>
      <c r="N351" s="1">
        <f>COUNTIF($M$338:$M$393,"&gt;"&amp;M351)+COUNTIF($M$338:M351,M351)</f>
        <v>37</v>
      </c>
      <c r="O351" s="1">
        <f>J351+L351+IF(N351&lt;=I351-SUM($J$338:$J$393)-SUM($L$338:$L$393),1,0)</f>
        <v>10</v>
      </c>
    </row>
    <row r="352" spans="1:15">
      <c r="A352" s="1" t="s">
        <v>51</v>
      </c>
      <c r="B352" s="1" t="s">
        <v>57</v>
      </c>
      <c r="C352" s="1" t="s">
        <v>38</v>
      </c>
      <c r="D352" s="1" t="s">
        <v>49</v>
      </c>
      <c r="E352" s="1" t="s">
        <v>40</v>
      </c>
      <c r="F352" s="1" t="s">
        <v>41</v>
      </c>
      <c r="G352" s="1">
        <v>22784</v>
      </c>
      <c r="H352" s="1">
        <f>'1_Departamento_n'!C8</f>
        <v>1402034</v>
      </c>
      <c r="I352" s="1">
        <f>'1_Departamento_n'!H8</f>
        <v>1312</v>
      </c>
      <c r="J352" s="1">
        <f>'0_Parametros'!B7</f>
        <v>10</v>
      </c>
      <c r="K352" s="3">
        <f>(I352-SUM($J$338:$J$393))*G352/H352</f>
        <v>12.220508204508592</v>
      </c>
      <c r="L352" s="1">
        <f>INT(K352)</f>
        <v>12</v>
      </c>
      <c r="M352" s="3">
        <f>K352-L352</f>
        <v>0.220508204508592</v>
      </c>
      <c r="N352" s="1">
        <f>COUNTIF($M$338:$M$393,"&gt;"&amp;M352)+COUNTIF($M$338:M352,M352)</f>
        <v>45</v>
      </c>
      <c r="O352" s="1">
        <f>J352+L352+IF(N352&lt;=I352-SUM($J$338:$J$393)-SUM($L$338:$L$393),1,0)</f>
        <v>22</v>
      </c>
    </row>
    <row r="353" spans="1:15">
      <c r="A353" s="1" t="s">
        <v>51</v>
      </c>
      <c r="B353" s="1" t="s">
        <v>57</v>
      </c>
      <c r="C353" s="1" t="s">
        <v>38</v>
      </c>
      <c r="D353" s="1" t="s">
        <v>49</v>
      </c>
      <c r="E353" s="1" t="s">
        <v>40</v>
      </c>
      <c r="F353" s="1" t="s">
        <v>42</v>
      </c>
      <c r="G353" s="1">
        <v>1954</v>
      </c>
      <c r="H353" s="1">
        <f>'1_Departamento_n'!C8</f>
        <v>1402034</v>
      </c>
      <c r="I353" s="1">
        <f>'1_Departamento_n'!H8</f>
        <v>1312</v>
      </c>
      <c r="J353" s="1">
        <f>'0_Parametros'!B7</f>
        <v>10</v>
      </c>
      <c r="K353" s="3">
        <f>(I353-SUM($J$338:$J$393))*G353/H353</f>
        <v>1.0480544694351206</v>
      </c>
      <c r="L353" s="1">
        <f>INT(K353)</f>
        <v>1</v>
      </c>
      <c r="M353" s="3">
        <f>K353-L353</f>
        <v>0.048054469435120595</v>
      </c>
      <c r="N353" s="1">
        <f>COUNTIF($M$338:$M$393,"&gt;"&amp;M353)+COUNTIF($M$338:M353,M353)</f>
        <v>54</v>
      </c>
      <c r="O353" s="1">
        <f>J353+L353+IF(N353&lt;=I353-SUM($J$338:$J$393)-SUM($L$338:$L$393),1,0)</f>
        <v>11</v>
      </c>
    </row>
    <row r="354" spans="1:15">
      <c r="A354" s="1" t="s">
        <v>51</v>
      </c>
      <c r="B354" s="1" t="s">
        <v>57</v>
      </c>
      <c r="C354" s="1" t="s">
        <v>38</v>
      </c>
      <c r="D354" s="1" t="s">
        <v>49</v>
      </c>
      <c r="E354" s="1" t="s">
        <v>43</v>
      </c>
      <c r="F354" s="1" t="s">
        <v>41</v>
      </c>
      <c r="G354" s="1">
        <v>28905</v>
      </c>
      <c r="H354" s="1">
        <f>'1_Departamento_n'!C8</f>
        <v>1402034</v>
      </c>
      <c r="I354" s="1">
        <f>'1_Departamento_n'!H8</f>
        <v>1312</v>
      </c>
      <c r="J354" s="1">
        <f>'0_Parametros'!B7</f>
        <v>10</v>
      </c>
      <c r="K354" s="3">
        <f>(I354-SUM($J$338:$J$393))*G354/H354</f>
        <v>15.503589784555867</v>
      </c>
      <c r="L354" s="1">
        <f>INT(K354)</f>
        <v>15</v>
      </c>
      <c r="M354" s="3">
        <f>K354-L354</f>
        <v>0.5035897845558672</v>
      </c>
      <c r="N354" s="1">
        <f>COUNTIF($M$338:$M$393,"&gt;"&amp;M354)+COUNTIF($M$338:M354,M354)</f>
        <v>23</v>
      </c>
      <c r="O354" s="1">
        <f>J354+L354+IF(N354&lt;=I354-SUM($J$338:$J$393)-SUM($L$338:$L$393),1,0)</f>
        <v>26</v>
      </c>
    </row>
    <row r="355" spans="1:15">
      <c r="A355" s="1" t="s">
        <v>51</v>
      </c>
      <c r="B355" s="1" t="s">
        <v>57</v>
      </c>
      <c r="C355" s="1" t="s">
        <v>38</v>
      </c>
      <c r="D355" s="1" t="s">
        <v>49</v>
      </c>
      <c r="E355" s="1" t="s">
        <v>43</v>
      </c>
      <c r="F355" s="1" t="s">
        <v>42</v>
      </c>
      <c r="G355" s="1">
        <v>1769</v>
      </c>
      <c r="H355" s="1">
        <f>'1_Departamento_n'!C8</f>
        <v>1402034</v>
      </c>
      <c r="I355" s="1">
        <f>'1_Departamento_n'!H8</f>
        <v>1312</v>
      </c>
      <c r="J355" s="1">
        <f>'0_Parametros'!B7</f>
        <v>10</v>
      </c>
      <c r="K355" s="3">
        <f>(I355-SUM($J$338:$J$393))*G355/H355</f>
        <v>0.9488272039051835</v>
      </c>
      <c r="L355" s="1">
        <f>INT(K355)</f>
        <v>0</v>
      </c>
      <c r="M355" s="3">
        <f>K355-L355</f>
        <v>0.9488272039051835</v>
      </c>
      <c r="N355" s="1">
        <f>COUNTIF($M$338:$M$393,"&gt;"&amp;M355)+COUNTIF($M$338:M355,M355)</f>
        <v>5</v>
      </c>
      <c r="O355" s="1">
        <f>J355+L355+IF(N355&lt;=I355-SUM($J$338:$J$393)-SUM($L$338:$L$393),1,0)</f>
        <v>11</v>
      </c>
    </row>
    <row r="356" spans="1:15">
      <c r="A356" s="1" t="s">
        <v>51</v>
      </c>
      <c r="B356" s="1" t="s">
        <v>57</v>
      </c>
      <c r="C356" s="1" t="s">
        <v>38</v>
      </c>
      <c r="D356" s="1" t="s">
        <v>49</v>
      </c>
      <c r="E356" s="1" t="s">
        <v>44</v>
      </c>
      <c r="F356" s="1" t="s">
        <v>41</v>
      </c>
      <c r="G356" s="1">
        <v>30686</v>
      </c>
      <c r="H356" s="1">
        <f>'1_Departamento_n'!C8</f>
        <v>1402034</v>
      </c>
      <c r="I356" s="1">
        <f>'1_Departamento_n'!H8</f>
        <v>1312</v>
      </c>
      <c r="J356" s="1">
        <f>'0_Parametros'!B7</f>
        <v>10</v>
      </c>
      <c r="K356" s="3">
        <f>(I356-SUM($J$338:$J$393))*G356/H356</f>
        <v>16.45885335163056</v>
      </c>
      <c r="L356" s="1">
        <f>INT(K356)</f>
        <v>16</v>
      </c>
      <c r="M356" s="3">
        <f>K356-L356</f>
        <v>0.45885335163055885</v>
      </c>
      <c r="N356" s="1">
        <f>COUNTIF($M$338:$M$393,"&gt;"&amp;M356)+COUNTIF($M$338:M356,M356)</f>
        <v>26</v>
      </c>
      <c r="O356" s="1">
        <f>J356+L356+IF(N356&lt;=I356-SUM($J$338:$J$393)-SUM($L$338:$L$393),1,0)</f>
        <v>27</v>
      </c>
    </row>
    <row r="357" spans="1:15">
      <c r="A357" s="1" t="s">
        <v>51</v>
      </c>
      <c r="B357" s="1" t="s">
        <v>57</v>
      </c>
      <c r="C357" s="1" t="s">
        <v>38</v>
      </c>
      <c r="D357" s="1" t="s">
        <v>49</v>
      </c>
      <c r="E357" s="1" t="s">
        <v>44</v>
      </c>
      <c r="F357" s="1" t="s">
        <v>42</v>
      </c>
      <c r="G357" s="1">
        <v>4267</v>
      </c>
      <c r="H357" s="1">
        <f>'1_Departamento_n'!C8</f>
        <v>1402034</v>
      </c>
      <c r="I357" s="1">
        <f>'1_Departamento_n'!H8</f>
        <v>1312</v>
      </c>
      <c r="J357" s="1">
        <f>'0_Parametros'!B7</f>
        <v>10</v>
      </c>
      <c r="K357" s="3">
        <f>(I357-SUM($J$338:$J$393))*G357/H357</f>
        <v>2.2886634703580655</v>
      </c>
      <c r="L357" s="1">
        <f>INT(K357)</f>
        <v>2</v>
      </c>
      <c r="M357" s="3">
        <f>K357-L357</f>
        <v>0.2886634703580655</v>
      </c>
      <c r="N357" s="1">
        <f>COUNTIF($M$338:$M$393,"&gt;"&amp;M357)+COUNTIF($M$338:M357,M357)</f>
        <v>39</v>
      </c>
      <c r="O357" s="1">
        <f>J357+L357+IF(N357&lt;=I357-SUM($J$338:$J$393)-SUM($L$338:$L$393),1,0)</f>
        <v>12</v>
      </c>
    </row>
    <row r="358" spans="1:15">
      <c r="A358" s="1" t="s">
        <v>51</v>
      </c>
      <c r="B358" s="1" t="s">
        <v>57</v>
      </c>
      <c r="C358" s="1" t="s">
        <v>38</v>
      </c>
      <c r="D358" s="1" t="s">
        <v>49</v>
      </c>
      <c r="E358" s="1" t="s">
        <v>45</v>
      </c>
      <c r="F358" s="1" t="s">
        <v>41</v>
      </c>
      <c r="G358" s="1">
        <v>31653</v>
      </c>
      <c r="H358" s="1">
        <f>'1_Departamento_n'!C8</f>
        <v>1402034</v>
      </c>
      <c r="I358" s="1">
        <f>'1_Departamento_n'!H8</f>
        <v>1312</v>
      </c>
      <c r="J358" s="1">
        <f>'0_Parametros'!B7</f>
        <v>10</v>
      </c>
      <c r="K358" s="3">
        <f>(I358-SUM($J$338:$J$393))*G358/H358</f>
        <v>16.977516950373527</v>
      </c>
      <c r="L358" s="1">
        <f>INT(K358)</f>
        <v>16</v>
      </c>
      <c r="M358" s="3">
        <f>K358-L358</f>
        <v>0.977516950373527</v>
      </c>
      <c r="N358" s="1">
        <f>COUNTIF($M$338:$M$393,"&gt;"&amp;M358)+COUNTIF($M$338:M358,M358)</f>
        <v>3</v>
      </c>
      <c r="O358" s="1">
        <f>J358+L358+IF(N358&lt;=I358-SUM($J$338:$J$393)-SUM($L$338:$L$393),1,0)</f>
        <v>27</v>
      </c>
    </row>
    <row r="359" spans="1:15">
      <c r="A359" s="1" t="s">
        <v>51</v>
      </c>
      <c r="B359" s="1" t="s">
        <v>57</v>
      </c>
      <c r="C359" s="1" t="s">
        <v>38</v>
      </c>
      <c r="D359" s="1" t="s">
        <v>49</v>
      </c>
      <c r="E359" s="1" t="s">
        <v>45</v>
      </c>
      <c r="F359" s="1" t="s">
        <v>42</v>
      </c>
      <c r="G359" s="1">
        <v>3608</v>
      </c>
      <c r="H359" s="1">
        <f>'1_Departamento_n'!C8</f>
        <v>1402034</v>
      </c>
      <c r="I359" s="1">
        <f>'1_Departamento_n'!H8</f>
        <v>1312</v>
      </c>
      <c r="J359" s="1">
        <f>'0_Parametros'!B7</f>
        <v>10</v>
      </c>
      <c r="K359" s="3">
        <f>(I359-SUM($J$338:$J$393))*G359/H359</f>
        <v>1.9351998596325053</v>
      </c>
      <c r="L359" s="1">
        <f>INT(K359)</f>
        <v>1</v>
      </c>
      <c r="M359" s="3">
        <f>K359-L359</f>
        <v>0.9351998596325053</v>
      </c>
      <c r="N359" s="1">
        <f>COUNTIF($M$338:$M$393,"&gt;"&amp;M359)+COUNTIF($M$338:M359,M359)</f>
        <v>6</v>
      </c>
      <c r="O359" s="1">
        <f>J359+L359+IF(N359&lt;=I359-SUM($J$338:$J$393)-SUM($L$338:$L$393),1,0)</f>
        <v>12</v>
      </c>
    </row>
    <row r="360" spans="1:15">
      <c r="A360" s="1" t="s">
        <v>51</v>
      </c>
      <c r="B360" s="1" t="s">
        <v>57</v>
      </c>
      <c r="C360" s="1" t="s">
        <v>38</v>
      </c>
      <c r="D360" s="1" t="s">
        <v>49</v>
      </c>
      <c r="E360" s="1" t="s">
        <v>46</v>
      </c>
      <c r="F360" s="1" t="s">
        <v>41</v>
      </c>
      <c r="G360" s="1">
        <v>27600</v>
      </c>
      <c r="H360" s="1">
        <f>'1_Departamento_n'!C8</f>
        <v>1402034</v>
      </c>
      <c r="I360" s="1">
        <f>'1_Departamento_n'!H8</f>
        <v>1312</v>
      </c>
      <c r="J360" s="1">
        <f>'0_Parametros'!B7</f>
        <v>10</v>
      </c>
      <c r="K360" s="3">
        <f>(I360-SUM($J$338:$J$393))*G360/H360</f>
        <v>14.803635289871714</v>
      </c>
      <c r="L360" s="1">
        <f>INT(K360)</f>
        <v>14</v>
      </c>
      <c r="M360" s="3">
        <f>K360-L360</f>
        <v>0.8036352898717141</v>
      </c>
      <c r="N360" s="1">
        <f>COUNTIF($M$338:$M$393,"&gt;"&amp;M360)+COUNTIF($M$338:M360,M360)</f>
        <v>12</v>
      </c>
      <c r="O360" s="1">
        <f>J360+L360+IF(N360&lt;=I360-SUM($J$338:$J$393)-SUM($L$338:$L$393),1,0)</f>
        <v>25</v>
      </c>
    </row>
    <row r="361" spans="1:15">
      <c r="A361" s="1" t="s">
        <v>51</v>
      </c>
      <c r="B361" s="1" t="s">
        <v>57</v>
      </c>
      <c r="C361" s="1" t="s">
        <v>38</v>
      </c>
      <c r="D361" s="1" t="s">
        <v>49</v>
      </c>
      <c r="E361" s="1" t="s">
        <v>46</v>
      </c>
      <c r="F361" s="1" t="s">
        <v>42</v>
      </c>
      <c r="G361" s="1">
        <v>2338</v>
      </c>
      <c r="H361" s="1">
        <f>'1_Departamento_n'!C8</f>
        <v>1402034</v>
      </c>
      <c r="I361" s="1">
        <f>'1_Departamento_n'!H8</f>
        <v>1312</v>
      </c>
      <c r="J361" s="1">
        <f>'0_Parametros'!B7</f>
        <v>10</v>
      </c>
      <c r="K361" s="3">
        <f>(I361-SUM($J$338:$J$393))*G361/H361</f>
        <v>1.2540180908594227</v>
      </c>
      <c r="L361" s="1">
        <f>INT(K361)</f>
        <v>1</v>
      </c>
      <c r="M361" s="3">
        <f>K361-L361</f>
        <v>0.25401809085942273</v>
      </c>
      <c r="N361" s="1">
        <f>COUNTIF($M$338:$M$393,"&gt;"&amp;M361)+COUNTIF($M$338:M361,M361)</f>
        <v>42</v>
      </c>
      <c r="O361" s="1">
        <f>J361+L361+IF(N361&lt;=I361-SUM($J$338:$J$393)-SUM($L$338:$L$393),1,0)</f>
        <v>11</v>
      </c>
    </row>
    <row r="362" spans="1:15">
      <c r="A362" s="1" t="s">
        <v>51</v>
      </c>
      <c r="B362" s="1" t="s">
        <v>57</v>
      </c>
      <c r="C362" s="1" t="s">
        <v>38</v>
      </c>
      <c r="D362" s="1" t="s">
        <v>49</v>
      </c>
      <c r="E362" s="1" t="s">
        <v>47</v>
      </c>
      <c r="F362" s="1" t="s">
        <v>41</v>
      </c>
      <c r="G362" s="1">
        <v>18977</v>
      </c>
      <c r="H362" s="1">
        <f>'1_Departamento_n'!C8</f>
        <v>1402034</v>
      </c>
      <c r="I362" s="1">
        <f>'1_Departamento_n'!H8</f>
        <v>1312</v>
      </c>
      <c r="J362" s="1">
        <f>'0_Parametros'!B7</f>
        <v>10</v>
      </c>
      <c r="K362" s="3">
        <f>(I362-SUM($J$338:$J$393))*G362/H362</f>
        <v>10.178571988981723</v>
      </c>
      <c r="L362" s="1">
        <f>INT(K362)</f>
        <v>10</v>
      </c>
      <c r="M362" s="3">
        <f>K362-L362</f>
        <v>0.178571988981723</v>
      </c>
      <c r="N362" s="1">
        <f>COUNTIF($M$338:$M$393,"&gt;"&amp;M362)+COUNTIF($M$338:M362,M362)</f>
        <v>48</v>
      </c>
      <c r="O362" s="1">
        <f>J362+L362+IF(N362&lt;=I362-SUM($J$338:$J$393)-SUM($L$338:$L$393),1,0)</f>
        <v>20</v>
      </c>
    </row>
    <row r="363" spans="1:15">
      <c r="A363" s="1" t="s">
        <v>51</v>
      </c>
      <c r="B363" s="1" t="s">
        <v>57</v>
      </c>
      <c r="C363" s="1" t="s">
        <v>38</v>
      </c>
      <c r="D363" s="1" t="s">
        <v>49</v>
      </c>
      <c r="E363" s="1" t="s">
        <v>47</v>
      </c>
      <c r="F363" s="1" t="s">
        <v>42</v>
      </c>
      <c r="G363" s="1">
        <v>1390</v>
      </c>
      <c r="H363" s="1">
        <f>'1_Departamento_n'!C8</f>
        <v>1402034</v>
      </c>
      <c r="I363" s="1">
        <f>'1_Departamento_n'!H8</f>
        <v>1312</v>
      </c>
      <c r="J363" s="1">
        <f>'0_Parametros'!B7</f>
        <v>10</v>
      </c>
      <c r="K363" s="3">
        <f>(I363-SUM($J$338:$J$393))*G363/H363</f>
        <v>0.745545400468177</v>
      </c>
      <c r="L363" s="1">
        <f>INT(K363)</f>
        <v>0</v>
      </c>
      <c r="M363" s="3">
        <f>K363-L363</f>
        <v>0.745545400468177</v>
      </c>
      <c r="N363" s="1">
        <f>COUNTIF($M$338:$M$393,"&gt;"&amp;M363)+COUNTIF($M$338:M363,M363)</f>
        <v>13</v>
      </c>
      <c r="O363" s="1">
        <f>J363+L363+IF(N363&lt;=I363-SUM($J$338:$J$393)-SUM($L$338:$L$393),1,0)</f>
        <v>11</v>
      </c>
    </row>
    <row r="364" spans="1:15">
      <c r="A364" s="1" t="s">
        <v>51</v>
      </c>
      <c r="B364" s="1" t="s">
        <v>57</v>
      </c>
      <c r="C364" s="1" t="s">
        <v>38</v>
      </c>
      <c r="D364" s="1" t="s">
        <v>49</v>
      </c>
      <c r="E364" s="1" t="s">
        <v>48</v>
      </c>
      <c r="F364" s="1" t="s">
        <v>41</v>
      </c>
      <c r="G364" s="1">
        <v>23486</v>
      </c>
      <c r="H364" s="1">
        <f>'1_Departamento_n'!C8</f>
        <v>1402034</v>
      </c>
      <c r="I364" s="1">
        <f>'1_Departamento_n'!H8</f>
        <v>1312</v>
      </c>
      <c r="J364" s="1">
        <f>'0_Parametros'!B7</f>
        <v>10</v>
      </c>
      <c r="K364" s="3">
        <f>(I364-SUM($J$338:$J$393))*G364/H364</f>
        <v>12.597035449924896</v>
      </c>
      <c r="L364" s="1">
        <f>INT(K364)</f>
        <v>12</v>
      </c>
      <c r="M364" s="3">
        <f>K364-L364</f>
        <v>0.5970354499248955</v>
      </c>
      <c r="N364" s="1">
        <f>COUNTIF($M$338:$M$393,"&gt;"&amp;M364)+COUNTIF($M$338:M364,M364)</f>
        <v>19</v>
      </c>
      <c r="O364" s="1">
        <f>J364+L364+IF(N364&lt;=I364-SUM($J$338:$J$393)-SUM($L$338:$L$393),1,0)</f>
        <v>23</v>
      </c>
    </row>
    <row r="365" spans="1:15">
      <c r="A365" s="1" t="s">
        <v>51</v>
      </c>
      <c r="B365" s="1" t="s">
        <v>57</v>
      </c>
      <c r="C365" s="1" t="s">
        <v>38</v>
      </c>
      <c r="D365" s="1" t="s">
        <v>49</v>
      </c>
      <c r="E365" s="1" t="s">
        <v>48</v>
      </c>
      <c r="F365" s="1" t="s">
        <v>42</v>
      </c>
      <c r="G365" s="1">
        <v>793</v>
      </c>
      <c r="H365" s="1">
        <f>'1_Departamento_n'!C8</f>
        <v>1402034</v>
      </c>
      <c r="I365" s="1">
        <f>'1_Departamento_n'!H8</f>
        <v>1312</v>
      </c>
      <c r="J365" s="1">
        <f>'0_Parametros'!B7</f>
        <v>10</v>
      </c>
      <c r="K365" s="3">
        <f>(I365-SUM($J$338:$J$393))*G365/H365</f>
        <v>0.42533633278508226</v>
      </c>
      <c r="L365" s="1">
        <f>INT(K365)</f>
        <v>0</v>
      </c>
      <c r="M365" s="3">
        <f>K365-L365</f>
        <v>0.42533633278508226</v>
      </c>
      <c r="N365" s="1">
        <f>COUNTIF($M$338:$M$393,"&gt;"&amp;M365)+COUNTIF($M$338:M365,M365)</f>
        <v>28</v>
      </c>
      <c r="O365" s="1">
        <f>J365+L365+IF(N365&lt;=I365-SUM($J$338:$J$393)-SUM($L$338:$L$393),1,0)</f>
        <v>10</v>
      </c>
    </row>
    <row r="366" spans="1:15">
      <c r="A366" s="1" t="s">
        <v>51</v>
      </c>
      <c r="B366" s="1" t="s">
        <v>57</v>
      </c>
      <c r="C366" s="1" t="s">
        <v>50</v>
      </c>
      <c r="D366" s="1" t="s">
        <v>39</v>
      </c>
      <c r="E366" s="1" t="s">
        <v>40</v>
      </c>
      <c r="F366" s="1" t="s">
        <v>41</v>
      </c>
      <c r="G366" s="1">
        <v>55986</v>
      </c>
      <c r="H366" s="1">
        <f>'1_Departamento_n'!C8</f>
        <v>1402034</v>
      </c>
      <c r="I366" s="1">
        <f>'1_Departamento_n'!H8</f>
        <v>1312</v>
      </c>
      <c r="J366" s="1">
        <f>'0_Parametros'!B7</f>
        <v>10</v>
      </c>
      <c r="K366" s="3">
        <f>(I366-SUM($J$338:$J$393))*G366/H366</f>
        <v>30.0288523673463</v>
      </c>
      <c r="L366" s="1">
        <f>INT(K366)</f>
        <v>30</v>
      </c>
      <c r="M366" s="3">
        <f>K366-L366</f>
        <v>0.0288523673462997</v>
      </c>
      <c r="N366" s="1">
        <f>COUNTIF($M$338:$M$393,"&gt;"&amp;M366)+COUNTIF($M$338:M366,M366)</f>
        <v>55</v>
      </c>
      <c r="O366" s="1">
        <f>J366+L366+IF(N366&lt;=I366-SUM($J$338:$J$393)-SUM($L$338:$L$393),1,0)</f>
        <v>40</v>
      </c>
    </row>
    <row r="367" spans="1:15">
      <c r="A367" s="1" t="s">
        <v>51</v>
      </c>
      <c r="B367" s="1" t="s">
        <v>57</v>
      </c>
      <c r="C367" s="1" t="s">
        <v>50</v>
      </c>
      <c r="D367" s="1" t="s">
        <v>39</v>
      </c>
      <c r="E367" s="1" t="s">
        <v>40</v>
      </c>
      <c r="F367" s="1" t="s">
        <v>42</v>
      </c>
      <c r="G367" s="1">
        <v>23328</v>
      </c>
      <c r="H367" s="1">
        <f>'1_Departamento_n'!C8</f>
        <v>1402034</v>
      </c>
      <c r="I367" s="1">
        <f>'1_Departamento_n'!H8</f>
        <v>1312</v>
      </c>
      <c r="J367" s="1">
        <f>'0_Parametros'!B7</f>
        <v>10</v>
      </c>
      <c r="K367" s="3">
        <f>(I367-SUM($J$338:$J$393))*G367/H367</f>
        <v>12.512290001526354</v>
      </c>
      <c r="L367" s="1">
        <f>INT(K367)</f>
        <v>12</v>
      </c>
      <c r="M367" s="3">
        <f>K367-L367</f>
        <v>0.5122900015263543</v>
      </c>
      <c r="N367" s="1">
        <f>COUNTIF($M$338:$M$393,"&gt;"&amp;M367)+COUNTIF($M$338:M367,M367)</f>
        <v>22</v>
      </c>
      <c r="O367" s="1">
        <f>J367+L367+IF(N367&lt;=I367-SUM($J$338:$J$393)-SUM($L$338:$L$393),1,0)</f>
        <v>23</v>
      </c>
    </row>
    <row r="368" spans="1:15">
      <c r="A368" s="1" t="s">
        <v>51</v>
      </c>
      <c r="B368" s="1" t="s">
        <v>57</v>
      </c>
      <c r="C368" s="1" t="s">
        <v>50</v>
      </c>
      <c r="D368" s="1" t="s">
        <v>39</v>
      </c>
      <c r="E368" s="1" t="s">
        <v>43</v>
      </c>
      <c r="F368" s="1" t="s">
        <v>41</v>
      </c>
      <c r="G368" s="1">
        <v>70865</v>
      </c>
      <c r="H368" s="1">
        <f>'1_Departamento_n'!C8</f>
        <v>1402034</v>
      </c>
      <c r="I368" s="1">
        <f>'1_Departamento_n'!H8</f>
        <v>1312</v>
      </c>
      <c r="J368" s="1">
        <f>'0_Parametros'!B7</f>
        <v>10</v>
      </c>
      <c r="K368" s="3">
        <f>(I368-SUM($J$338:$J$393))*G368/H368</f>
        <v>38.00940633394055</v>
      </c>
      <c r="L368" s="1">
        <f>INT(K368)</f>
        <v>38</v>
      </c>
      <c r="M368" s="3">
        <f>K368-L368</f>
        <v>0.009406333940546574</v>
      </c>
      <c r="N368" s="1">
        <f>COUNTIF($M$338:$M$393,"&gt;"&amp;M368)+COUNTIF($M$338:M368,M368)</f>
        <v>56</v>
      </c>
      <c r="O368" s="1">
        <f>J368+L368+IF(N368&lt;=I368-SUM($J$338:$J$393)-SUM($L$338:$L$393),1,0)</f>
        <v>48</v>
      </c>
    </row>
    <row r="369" spans="1:15">
      <c r="A369" s="1" t="s">
        <v>51</v>
      </c>
      <c r="B369" s="1" t="s">
        <v>57</v>
      </c>
      <c r="C369" s="1" t="s">
        <v>50</v>
      </c>
      <c r="D369" s="1" t="s">
        <v>39</v>
      </c>
      <c r="E369" s="1" t="s">
        <v>43</v>
      </c>
      <c r="F369" s="1" t="s">
        <v>42</v>
      </c>
      <c r="G369" s="1">
        <v>26875</v>
      </c>
      <c r="H369" s="1">
        <f>'1_Departamento_n'!C8</f>
        <v>1402034</v>
      </c>
      <c r="I369" s="1">
        <f>'1_Departamento_n'!H8</f>
        <v>1312</v>
      </c>
      <c r="J369" s="1">
        <f>'0_Parametros'!B7</f>
        <v>10</v>
      </c>
      <c r="K369" s="3">
        <f>(I369-SUM($J$338:$J$393))*G369/H369</f>
        <v>14.414771681713853</v>
      </c>
      <c r="L369" s="1">
        <f>INT(K369)</f>
        <v>14</v>
      </c>
      <c r="M369" s="3">
        <f>K369-L369</f>
        <v>0.41477168171385337</v>
      </c>
      <c r="N369" s="1">
        <f>COUNTIF($M$338:$M$393,"&gt;"&amp;M369)+COUNTIF($M$338:M369,M369)</f>
        <v>30</v>
      </c>
      <c r="O369" s="1">
        <f>J369+L369+IF(N369&lt;=I369-SUM($J$338:$J$393)-SUM($L$338:$L$393),1,0)</f>
        <v>24</v>
      </c>
    </row>
    <row r="370" spans="1:15">
      <c r="A370" s="1" t="s">
        <v>51</v>
      </c>
      <c r="B370" s="1" t="s">
        <v>57</v>
      </c>
      <c r="C370" s="1" t="s">
        <v>50</v>
      </c>
      <c r="D370" s="1" t="s">
        <v>39</v>
      </c>
      <c r="E370" s="1" t="s">
        <v>44</v>
      </c>
      <c r="F370" s="1" t="s">
        <v>41</v>
      </c>
      <c r="G370" s="1">
        <v>64059</v>
      </c>
      <c r="H370" s="1">
        <f>'1_Departamento_n'!C8</f>
        <v>1402034</v>
      </c>
      <c r="I370" s="1">
        <f>'1_Departamento_n'!H8</f>
        <v>1312</v>
      </c>
      <c r="J370" s="1">
        <f>'0_Parametros'!B7</f>
        <v>10</v>
      </c>
      <c r="K370" s="3">
        <f>(I370-SUM($J$338:$J$393))*G370/H370</f>
        <v>34.358915689633776</v>
      </c>
      <c r="L370" s="1">
        <f>INT(K370)</f>
        <v>34</v>
      </c>
      <c r="M370" s="3">
        <f>K370-L370</f>
        <v>0.3589156896337755</v>
      </c>
      <c r="N370" s="1">
        <f>COUNTIF($M$338:$M$393,"&gt;"&amp;M370)+COUNTIF($M$338:M370,M370)</f>
        <v>35</v>
      </c>
      <c r="O370" s="1">
        <f>J370+L370+IF(N370&lt;=I370-SUM($J$338:$J$393)-SUM($L$338:$L$393),1,0)</f>
        <v>44</v>
      </c>
    </row>
    <row r="371" spans="1:15">
      <c r="A371" s="1" t="s">
        <v>51</v>
      </c>
      <c r="B371" s="1" t="s">
        <v>57</v>
      </c>
      <c r="C371" s="1" t="s">
        <v>50</v>
      </c>
      <c r="D371" s="1" t="s">
        <v>39</v>
      </c>
      <c r="E371" s="1" t="s">
        <v>44</v>
      </c>
      <c r="F371" s="1" t="s">
        <v>42</v>
      </c>
      <c r="G371" s="1">
        <v>22946</v>
      </c>
      <c r="H371" s="1">
        <f>'1_Departamento_n'!C8</f>
        <v>1402034</v>
      </c>
      <c r="I371" s="1">
        <f>'1_Departamento_n'!H8</f>
        <v>1312</v>
      </c>
      <c r="J371" s="1">
        <f>'0_Parametros'!B7</f>
        <v>10</v>
      </c>
      <c r="K371" s="3">
        <f>(I371-SUM($J$338:$J$393))*G371/H371</f>
        <v>12.30739910729697</v>
      </c>
      <c r="L371" s="1">
        <f>INT(K371)</f>
        <v>12</v>
      </c>
      <c r="M371" s="3">
        <f>K371-L371</f>
        <v>0.30739910729696973</v>
      </c>
      <c r="N371" s="1">
        <f>COUNTIF($M$338:$M$393,"&gt;"&amp;M371)+COUNTIF($M$338:M371,M371)</f>
        <v>38</v>
      </c>
      <c r="O371" s="1">
        <f>J371+L371+IF(N371&lt;=I371-SUM($J$338:$J$393)-SUM($L$338:$L$393),1,0)</f>
        <v>22</v>
      </c>
    </row>
    <row r="372" spans="1:15">
      <c r="A372" s="1" t="s">
        <v>51</v>
      </c>
      <c r="B372" s="1" t="s">
        <v>57</v>
      </c>
      <c r="C372" s="1" t="s">
        <v>50</v>
      </c>
      <c r="D372" s="1" t="s">
        <v>39</v>
      </c>
      <c r="E372" s="1" t="s">
        <v>45</v>
      </c>
      <c r="F372" s="1" t="s">
        <v>41</v>
      </c>
      <c r="G372" s="1">
        <v>53098</v>
      </c>
      <c r="H372" s="1">
        <f>'1_Departamento_n'!C8</f>
        <v>1402034</v>
      </c>
      <c r="I372" s="1">
        <f>'1_Departamento_n'!H8</f>
        <v>1312</v>
      </c>
      <c r="J372" s="1">
        <f>'0_Parametros'!B7</f>
        <v>10</v>
      </c>
      <c r="K372" s="3">
        <f>(I372-SUM($J$338:$J$393))*G372/H372</f>
        <v>28.47983429788436</v>
      </c>
      <c r="L372" s="1">
        <f>INT(K372)</f>
        <v>28</v>
      </c>
      <c r="M372" s="3">
        <f>K372-L372</f>
        <v>0.4798342978843593</v>
      </c>
      <c r="N372" s="1">
        <f>COUNTIF($M$338:$M$393,"&gt;"&amp;M372)+COUNTIF($M$338:M372,M372)</f>
        <v>24</v>
      </c>
      <c r="O372" s="1">
        <f>J372+L372+IF(N372&lt;=I372-SUM($J$338:$J$393)-SUM($L$338:$L$393),1,0)</f>
        <v>39</v>
      </c>
    </row>
    <row r="373" spans="1:15">
      <c r="A373" s="1" t="s">
        <v>51</v>
      </c>
      <c r="B373" s="1" t="s">
        <v>57</v>
      </c>
      <c r="C373" s="1" t="s">
        <v>50</v>
      </c>
      <c r="D373" s="1" t="s">
        <v>39</v>
      </c>
      <c r="E373" s="1" t="s">
        <v>45</v>
      </c>
      <c r="F373" s="1" t="s">
        <v>42</v>
      </c>
      <c r="G373" s="1">
        <v>17070</v>
      </c>
      <c r="H373" s="1">
        <f>'1_Departamento_n'!C8</f>
        <v>1402034</v>
      </c>
      <c r="I373" s="1">
        <f>'1_Departamento_n'!H8</f>
        <v>1312</v>
      </c>
      <c r="J373" s="1">
        <f>'0_Parametros'!B7</f>
        <v>10</v>
      </c>
      <c r="K373" s="3">
        <f>(I373-SUM($J$338:$J$393))*G373/H373</f>
        <v>9.15572660862718</v>
      </c>
      <c r="L373" s="1">
        <f>INT(K373)</f>
        <v>9</v>
      </c>
      <c r="M373" s="3">
        <f>K373-L373</f>
        <v>0.15572660862718024</v>
      </c>
      <c r="N373" s="1">
        <f>COUNTIF($M$338:$M$393,"&gt;"&amp;M373)+COUNTIF($M$338:M373,M373)</f>
        <v>50</v>
      </c>
      <c r="O373" s="1">
        <f>J373+L373+IF(N373&lt;=I373-SUM($J$338:$J$393)-SUM($L$338:$L$393),1,0)</f>
        <v>19</v>
      </c>
    </row>
    <row r="374" spans="1:15">
      <c r="A374" s="1" t="s">
        <v>51</v>
      </c>
      <c r="B374" s="1" t="s">
        <v>57</v>
      </c>
      <c r="C374" s="1" t="s">
        <v>50</v>
      </c>
      <c r="D374" s="1" t="s">
        <v>39</v>
      </c>
      <c r="E374" s="1" t="s">
        <v>46</v>
      </c>
      <c r="F374" s="1" t="s">
        <v>41</v>
      </c>
      <c r="G374" s="1">
        <v>46893</v>
      </c>
      <c r="H374" s="1">
        <f>'1_Departamento_n'!C8</f>
        <v>1402034</v>
      </c>
      <c r="I374" s="1">
        <f>'1_Departamento_n'!H8</f>
        <v>1312</v>
      </c>
      <c r="J374" s="1">
        <f>'0_Parametros'!B7</f>
        <v>10</v>
      </c>
      <c r="K374" s="3">
        <f>(I374-SUM($J$338:$J$393))*G374/H374</f>
        <v>25.15169817565052</v>
      </c>
      <c r="L374" s="1">
        <f>INT(K374)</f>
        <v>25</v>
      </c>
      <c r="M374" s="3">
        <f>K374-L374</f>
        <v>0.15169817565051957</v>
      </c>
      <c r="N374" s="1">
        <f>COUNTIF($M$338:$M$393,"&gt;"&amp;M374)+COUNTIF($M$338:M374,M374)</f>
        <v>52</v>
      </c>
      <c r="O374" s="1">
        <f>J374+L374+IF(N374&lt;=I374-SUM($J$338:$J$393)-SUM($L$338:$L$393),1,0)</f>
        <v>35</v>
      </c>
    </row>
    <row r="375" spans="1:15">
      <c r="A375" s="1" t="s">
        <v>51</v>
      </c>
      <c r="B375" s="1" t="s">
        <v>57</v>
      </c>
      <c r="C375" s="1" t="s">
        <v>50</v>
      </c>
      <c r="D375" s="1" t="s">
        <v>39</v>
      </c>
      <c r="E375" s="1" t="s">
        <v>46</v>
      </c>
      <c r="F375" s="1" t="s">
        <v>42</v>
      </c>
      <c r="G375" s="1">
        <v>14279</v>
      </c>
      <c r="H375" s="1">
        <f>'1_Departamento_n'!C8</f>
        <v>1402034</v>
      </c>
      <c r="I375" s="1">
        <f>'1_Departamento_n'!H8</f>
        <v>1312</v>
      </c>
      <c r="J375" s="1">
        <f>'0_Parametros'!B7</f>
        <v>10</v>
      </c>
      <c r="K375" s="3">
        <f>(I375-SUM($J$338:$J$393))*G375/H375</f>
        <v>7.658735808118776</v>
      </c>
      <c r="L375" s="1">
        <f>INT(K375)</f>
        <v>7</v>
      </c>
      <c r="M375" s="3">
        <f>K375-L375</f>
        <v>0.6587358081187764</v>
      </c>
      <c r="N375" s="1">
        <f>COUNTIF($M$338:$M$393,"&gt;"&amp;M375)+COUNTIF($M$338:M375,M375)</f>
        <v>17</v>
      </c>
      <c r="O375" s="1">
        <f>J375+L375+IF(N375&lt;=I375-SUM($J$338:$J$393)-SUM($L$338:$L$393),1,0)</f>
        <v>18</v>
      </c>
    </row>
    <row r="376" spans="1:15">
      <c r="A376" s="1" t="s">
        <v>51</v>
      </c>
      <c r="B376" s="1" t="s">
        <v>57</v>
      </c>
      <c r="C376" s="1" t="s">
        <v>50</v>
      </c>
      <c r="D376" s="1" t="s">
        <v>39</v>
      </c>
      <c r="E376" s="1" t="s">
        <v>47</v>
      </c>
      <c r="F376" s="1" t="s">
        <v>41</v>
      </c>
      <c r="G376" s="1">
        <v>39804</v>
      </c>
      <c r="H376" s="1">
        <f>'1_Departamento_n'!C8</f>
        <v>1402034</v>
      </c>
      <c r="I376" s="1">
        <f>'1_Departamento_n'!H8</f>
        <v>1312</v>
      </c>
      <c r="J376" s="1">
        <f>'0_Parametros'!B7</f>
        <v>10</v>
      </c>
      <c r="K376" s="3">
        <f>(I376-SUM($J$338:$J$393))*G376/H376</f>
        <v>21.349416633262816</v>
      </c>
      <c r="L376" s="1">
        <f>INT(K376)</f>
        <v>21</v>
      </c>
      <c r="M376" s="3">
        <f>K376-L376</f>
        <v>0.34941663326281613</v>
      </c>
      <c r="N376" s="1">
        <f>COUNTIF($M$338:$M$393,"&gt;"&amp;M376)+COUNTIF($M$338:M376,M376)</f>
        <v>36</v>
      </c>
      <c r="O376" s="1">
        <f>J376+L376+IF(N376&lt;=I376-SUM($J$338:$J$393)-SUM($L$338:$L$393),1,0)</f>
        <v>31</v>
      </c>
    </row>
    <row r="377" spans="1:15">
      <c r="A377" s="1" t="s">
        <v>51</v>
      </c>
      <c r="B377" s="1" t="s">
        <v>57</v>
      </c>
      <c r="C377" s="1" t="s">
        <v>50</v>
      </c>
      <c r="D377" s="1" t="s">
        <v>39</v>
      </c>
      <c r="E377" s="1" t="s">
        <v>47</v>
      </c>
      <c r="F377" s="1" t="s">
        <v>42</v>
      </c>
      <c r="G377" s="1">
        <v>11572</v>
      </c>
      <c r="H377" s="1">
        <f>'1_Departamento_n'!C8</f>
        <v>1402034</v>
      </c>
      <c r="I377" s="1">
        <f>'1_Departamento_n'!H8</f>
        <v>1312</v>
      </c>
      <c r="J377" s="1">
        <f>'0_Parametros'!B7</f>
        <v>10</v>
      </c>
      <c r="K377" s="3">
        <f>(I377-SUM($J$338:$J$393))*G377/H377</f>
        <v>6.206799549796938</v>
      </c>
      <c r="L377" s="1">
        <f>INT(K377)</f>
        <v>6</v>
      </c>
      <c r="M377" s="3">
        <f>K377-L377</f>
        <v>0.20679954979693793</v>
      </c>
      <c r="N377" s="1">
        <f>COUNTIF($M$338:$M$393,"&gt;"&amp;M377)+COUNTIF($M$338:M377,M377)</f>
        <v>46</v>
      </c>
      <c r="O377" s="1">
        <f>J377+L377+IF(N377&lt;=I377-SUM($J$338:$J$393)-SUM($L$338:$L$393),1,0)</f>
        <v>16</v>
      </c>
    </row>
    <row r="378" spans="1:15">
      <c r="A378" s="1" t="s">
        <v>51</v>
      </c>
      <c r="B378" s="1" t="s">
        <v>57</v>
      </c>
      <c r="C378" s="1" t="s">
        <v>50</v>
      </c>
      <c r="D378" s="1" t="s">
        <v>39</v>
      </c>
      <c r="E378" s="1" t="s">
        <v>48</v>
      </c>
      <c r="F378" s="1" t="s">
        <v>41</v>
      </c>
      <c r="G378" s="1">
        <v>56441</v>
      </c>
      <c r="H378" s="1">
        <f>'1_Departamento_n'!C8</f>
        <v>1402034</v>
      </c>
      <c r="I378" s="1">
        <f>'1_Departamento_n'!H8</f>
        <v>1312</v>
      </c>
      <c r="J378" s="1">
        <f>'0_Parametros'!B7</f>
        <v>10</v>
      </c>
      <c r="K378" s="3">
        <f>(I378-SUM($J$338:$J$393))*G378/H378</f>
        <v>30.272897804190197</v>
      </c>
      <c r="L378" s="1">
        <f>INT(K378)</f>
        <v>30</v>
      </c>
      <c r="M378" s="3">
        <f>K378-L378</f>
        <v>0.2728978041901975</v>
      </c>
      <c r="N378" s="1">
        <f>COUNTIF($M$338:$M$393,"&gt;"&amp;M378)+COUNTIF($M$338:M378,M378)</f>
        <v>41</v>
      </c>
      <c r="O378" s="1">
        <f>J378+L378+IF(N378&lt;=I378-SUM($J$338:$J$393)-SUM($L$338:$L$393),1,0)</f>
        <v>40</v>
      </c>
    </row>
    <row r="379" spans="1:15">
      <c r="A379" s="1" t="s">
        <v>51</v>
      </c>
      <c r="B379" s="1" t="s">
        <v>57</v>
      </c>
      <c r="C379" s="1" t="s">
        <v>50</v>
      </c>
      <c r="D379" s="1" t="s">
        <v>39</v>
      </c>
      <c r="E379" s="1" t="s">
        <v>48</v>
      </c>
      <c r="F379" s="1" t="s">
        <v>42</v>
      </c>
      <c r="G379" s="1">
        <v>17666</v>
      </c>
      <c r="H379" s="1">
        <f>'1_Departamento_n'!C8</f>
        <v>1402034</v>
      </c>
      <c r="I379" s="1">
        <f>'1_Departamento_n'!H8</f>
        <v>1312</v>
      </c>
      <c r="J379" s="1">
        <f>'0_Parametros'!B7</f>
        <v>10</v>
      </c>
      <c r="K379" s="3">
        <f>(I379-SUM($J$338:$J$393))*G379/H379</f>
        <v>9.475399312712815</v>
      </c>
      <c r="L379" s="1">
        <f>INT(K379)</f>
        <v>9</v>
      </c>
      <c r="M379" s="3">
        <f>K379-L379</f>
        <v>0.4753993127128151</v>
      </c>
      <c r="N379" s="1">
        <f>COUNTIF($M$338:$M$393,"&gt;"&amp;M379)+COUNTIF($M$338:M379,M379)</f>
        <v>25</v>
      </c>
      <c r="O379" s="1">
        <f>J379+L379+IF(N379&lt;=I379-SUM($J$338:$J$393)-SUM($L$338:$L$393),1,0)</f>
        <v>20</v>
      </c>
    </row>
    <row r="380" spans="1:15">
      <c r="A380" s="1" t="s">
        <v>51</v>
      </c>
      <c r="B380" s="1" t="s">
        <v>57</v>
      </c>
      <c r="C380" s="1" t="s">
        <v>50</v>
      </c>
      <c r="D380" s="1" t="s">
        <v>49</v>
      </c>
      <c r="E380" s="1" t="s">
        <v>40</v>
      </c>
      <c r="F380" s="1" t="s">
        <v>41</v>
      </c>
      <c r="G380" s="1">
        <v>59079</v>
      </c>
      <c r="H380" s="1">
        <f>'1_Departamento_n'!C8</f>
        <v>1402034</v>
      </c>
      <c r="I380" s="1">
        <f>'1_Departamento_n'!H8</f>
        <v>1312</v>
      </c>
      <c r="J380" s="1">
        <f>'0_Parametros'!B7</f>
        <v>10</v>
      </c>
      <c r="K380" s="3">
        <f>(I380-SUM($J$338:$J$393))*G380/H380</f>
        <v>31.687824974287356</v>
      </c>
      <c r="L380" s="1">
        <f>INT(K380)</f>
        <v>31</v>
      </c>
      <c r="M380" s="3">
        <f>K380-L380</f>
        <v>0.6878249742873557</v>
      </c>
      <c r="N380" s="1">
        <f>COUNTIF($M$338:$M$393,"&gt;"&amp;M380)+COUNTIF($M$338:M380,M380)</f>
        <v>16</v>
      </c>
      <c r="O380" s="1">
        <f>J380+L380+IF(N380&lt;=I380-SUM($J$338:$J$393)-SUM($L$338:$L$393),1,0)</f>
        <v>42</v>
      </c>
    </row>
    <row r="381" spans="1:15">
      <c r="A381" s="1" t="s">
        <v>51</v>
      </c>
      <c r="B381" s="1" t="s">
        <v>57</v>
      </c>
      <c r="C381" s="1" t="s">
        <v>50</v>
      </c>
      <c r="D381" s="1" t="s">
        <v>49</v>
      </c>
      <c r="E381" s="1" t="s">
        <v>40</v>
      </c>
      <c r="F381" s="1" t="s">
        <v>42</v>
      </c>
      <c r="G381" s="1">
        <v>24709</v>
      </c>
      <c r="H381" s="1">
        <f>'1_Departamento_n'!C8</f>
        <v>1402034</v>
      </c>
      <c r="I381" s="1">
        <f>'1_Departamento_n'!H8</f>
        <v>1312</v>
      </c>
      <c r="J381" s="1">
        <f>'0_Parametros'!B7</f>
        <v>10</v>
      </c>
      <c r="K381" s="3">
        <f>(I381-SUM($J$338:$J$393))*G381/H381</f>
        <v>13.253008129617399</v>
      </c>
      <c r="L381" s="1">
        <f>INT(K381)</f>
        <v>13</v>
      </c>
      <c r="M381" s="3">
        <f>K381-L381</f>
        <v>0.25300812961739894</v>
      </c>
      <c r="N381" s="1">
        <f>COUNTIF($M$338:$M$393,"&gt;"&amp;M381)+COUNTIF($M$338:M381,M381)</f>
        <v>43</v>
      </c>
      <c r="O381" s="1">
        <f>J381+L381+IF(N381&lt;=I381-SUM($J$338:$J$393)-SUM($L$338:$L$393),1,0)</f>
        <v>23</v>
      </c>
    </row>
    <row r="382" spans="1:15">
      <c r="A382" s="1" t="s">
        <v>51</v>
      </c>
      <c r="B382" s="1" t="s">
        <v>57</v>
      </c>
      <c r="C382" s="1" t="s">
        <v>50</v>
      </c>
      <c r="D382" s="1" t="s">
        <v>49</v>
      </c>
      <c r="E382" s="1" t="s">
        <v>43</v>
      </c>
      <c r="F382" s="1" t="s">
        <v>41</v>
      </c>
      <c r="G382" s="1">
        <v>73244</v>
      </c>
      <c r="H382" s="1">
        <f>'1_Departamento_n'!C8</f>
        <v>1402034</v>
      </c>
      <c r="I382" s="1">
        <f>'1_Departamento_n'!H8</f>
        <v>1312</v>
      </c>
      <c r="J382" s="1">
        <f>'0_Parametros'!B7</f>
        <v>10</v>
      </c>
      <c r="K382" s="3">
        <f>(I382-SUM($J$338:$J$393))*G382/H382</f>
        <v>39.28541533229579</v>
      </c>
      <c r="L382" s="1">
        <f>INT(K382)</f>
        <v>39</v>
      </c>
      <c r="M382" s="3">
        <f>K382-L382</f>
        <v>0.2854153322957913</v>
      </c>
      <c r="N382" s="1">
        <f>COUNTIF($M$338:$M$393,"&gt;"&amp;M382)+COUNTIF($M$338:M382,M382)</f>
        <v>40</v>
      </c>
      <c r="O382" s="1">
        <f>J382+L382+IF(N382&lt;=I382-SUM($J$338:$J$393)-SUM($L$338:$L$393),1,0)</f>
        <v>49</v>
      </c>
    </row>
    <row r="383" spans="1:15">
      <c r="A383" s="1" t="s">
        <v>51</v>
      </c>
      <c r="B383" s="1" t="s">
        <v>57</v>
      </c>
      <c r="C383" s="1" t="s">
        <v>50</v>
      </c>
      <c r="D383" s="1" t="s">
        <v>49</v>
      </c>
      <c r="E383" s="1" t="s">
        <v>43</v>
      </c>
      <c r="F383" s="1" t="s">
        <v>42</v>
      </c>
      <c r="G383" s="1">
        <v>27258</v>
      </c>
      <c r="H383" s="1">
        <f>'1_Departamento_n'!C8</f>
        <v>1402034</v>
      </c>
      <c r="I383" s="1">
        <f>'1_Departamento_n'!H8</f>
        <v>1312</v>
      </c>
      <c r="J383" s="1">
        <f>'0_Parametros'!B7</f>
        <v>10</v>
      </c>
      <c r="K383" s="3">
        <f>(I383-SUM($J$338:$J$393))*G383/H383</f>
        <v>14.620198939540696</v>
      </c>
      <c r="L383" s="1">
        <f>INT(K383)</f>
        <v>14</v>
      </c>
      <c r="M383" s="3">
        <f>K383-L383</f>
        <v>0.6201989395406962</v>
      </c>
      <c r="N383" s="1">
        <f>COUNTIF($M$338:$M$393,"&gt;"&amp;M383)+COUNTIF($M$338:M383,M383)</f>
        <v>18</v>
      </c>
      <c r="O383" s="1">
        <f>J383+L383+IF(N383&lt;=I383-SUM($J$338:$J$393)-SUM($L$338:$L$393),1,0)</f>
        <v>25</v>
      </c>
    </row>
    <row r="384" spans="1:15">
      <c r="A384" s="1" t="s">
        <v>51</v>
      </c>
      <c r="B384" s="1" t="s">
        <v>57</v>
      </c>
      <c r="C384" s="1" t="s">
        <v>50</v>
      </c>
      <c r="D384" s="1" t="s">
        <v>49</v>
      </c>
      <c r="E384" s="1" t="s">
        <v>44</v>
      </c>
      <c r="F384" s="1" t="s">
        <v>41</v>
      </c>
      <c r="G384" s="1">
        <v>51102</v>
      </c>
      <c r="H384" s="1">
        <f>'1_Departamento_n'!C8</f>
        <v>1402034</v>
      </c>
      <c r="I384" s="1">
        <f>'1_Departamento_n'!H8</f>
        <v>1312</v>
      </c>
      <c r="J384" s="1">
        <f>'0_Parametros'!B7</f>
        <v>10</v>
      </c>
      <c r="K384" s="3">
        <f>(I384-SUM($J$338:$J$393))*G384/H384</f>
        <v>27.409252557355956</v>
      </c>
      <c r="L384" s="1">
        <f>INT(K384)</f>
        <v>27</v>
      </c>
      <c r="M384" s="3">
        <f>K384-L384</f>
        <v>0.40925255735595556</v>
      </c>
      <c r="N384" s="1">
        <f>COUNTIF($M$338:$M$393,"&gt;"&amp;M384)+COUNTIF($M$338:M384,M384)</f>
        <v>31</v>
      </c>
      <c r="O384" s="1">
        <f>J384+L384+IF(N384&lt;=I384-SUM($J$338:$J$393)-SUM($L$338:$L$393),1,0)</f>
        <v>37</v>
      </c>
    </row>
    <row r="385" spans="1:15">
      <c r="A385" s="1" t="s">
        <v>51</v>
      </c>
      <c r="B385" s="1" t="s">
        <v>57</v>
      </c>
      <c r="C385" s="1" t="s">
        <v>50</v>
      </c>
      <c r="D385" s="1" t="s">
        <v>49</v>
      </c>
      <c r="E385" s="1" t="s">
        <v>44</v>
      </c>
      <c r="F385" s="1" t="s">
        <v>42</v>
      </c>
      <c r="G385" s="1">
        <v>18768</v>
      </c>
      <c r="H385" s="1">
        <f>'1_Departamento_n'!C8</f>
        <v>1402034</v>
      </c>
      <c r="I385" s="1">
        <f>'1_Departamento_n'!H8</f>
        <v>1312</v>
      </c>
      <c r="J385" s="1">
        <f>'0_Parametros'!B7</f>
        <v>10</v>
      </c>
      <c r="K385" s="3">
        <f>(I385-SUM($J$338:$J$393))*G385/H385</f>
        <v>10.066471997112766</v>
      </c>
      <c r="L385" s="1">
        <f>INT(K385)</f>
        <v>10</v>
      </c>
      <c r="M385" s="3">
        <f>K385-L385</f>
        <v>0.06647199711276564</v>
      </c>
      <c r="N385" s="1">
        <f>COUNTIF($M$338:$M$393,"&gt;"&amp;M385)+COUNTIF($M$338:M385,M385)</f>
        <v>53</v>
      </c>
      <c r="O385" s="1">
        <f>J385+L385+IF(N385&lt;=I385-SUM($J$338:$J$393)-SUM($L$338:$L$393),1,0)</f>
        <v>20</v>
      </c>
    </row>
    <row r="386" spans="1:15">
      <c r="A386" s="1" t="s">
        <v>51</v>
      </c>
      <c r="B386" s="1" t="s">
        <v>57</v>
      </c>
      <c r="C386" s="1" t="s">
        <v>50</v>
      </c>
      <c r="D386" s="1" t="s">
        <v>49</v>
      </c>
      <c r="E386" s="1" t="s">
        <v>45</v>
      </c>
      <c r="F386" s="1" t="s">
        <v>41</v>
      </c>
      <c r="G386" s="1">
        <v>43216</v>
      </c>
      <c r="H386" s="1">
        <f>'1_Departamento_n'!C8</f>
        <v>1402034</v>
      </c>
      <c r="I386" s="1">
        <f>'1_Departamento_n'!H8</f>
        <v>1312</v>
      </c>
      <c r="J386" s="1">
        <f>'0_Parametros'!B7</f>
        <v>10</v>
      </c>
      <c r="K386" s="3">
        <f>(I386-SUM($J$338:$J$393))*G386/H386</f>
        <v>23.179489227793333</v>
      </c>
      <c r="L386" s="1">
        <f>INT(K386)</f>
        <v>23</v>
      </c>
      <c r="M386" s="3">
        <f>K386-L386</f>
        <v>0.17948922779333287</v>
      </c>
      <c r="N386" s="1">
        <f>COUNTIF($M$338:$M$393,"&gt;"&amp;M386)+COUNTIF($M$338:M386,M386)</f>
        <v>47</v>
      </c>
      <c r="O386" s="1">
        <f>J386+L386+IF(N386&lt;=I386-SUM($J$338:$J$393)-SUM($L$338:$L$393),1,0)</f>
        <v>33</v>
      </c>
    </row>
    <row r="387" spans="1:15">
      <c r="A387" s="1" t="s">
        <v>51</v>
      </c>
      <c r="B387" s="1" t="s">
        <v>57</v>
      </c>
      <c r="C387" s="1" t="s">
        <v>50</v>
      </c>
      <c r="D387" s="1" t="s">
        <v>49</v>
      </c>
      <c r="E387" s="1" t="s">
        <v>45</v>
      </c>
      <c r="F387" s="1" t="s">
        <v>42</v>
      </c>
      <c r="G387" s="1">
        <v>14876</v>
      </c>
      <c r="H387" s="1">
        <f>'1_Departamento_n'!C8</f>
        <v>1402034</v>
      </c>
      <c r="I387" s="1">
        <f>'1_Departamento_n'!H8</f>
        <v>1312</v>
      </c>
      <c r="J387" s="1">
        <f>'0_Parametros'!B7</f>
        <v>10</v>
      </c>
      <c r="K387" s="3">
        <f>(I387-SUM($J$338:$J$393))*G387/H387</f>
        <v>7.97894487580187</v>
      </c>
      <c r="L387" s="1">
        <f>INT(K387)</f>
        <v>7</v>
      </c>
      <c r="M387" s="3">
        <f>K387-L387</f>
        <v>0.9789448758018704</v>
      </c>
      <c r="N387" s="1">
        <f>COUNTIF($M$338:$M$393,"&gt;"&amp;M387)+COUNTIF($M$338:M387,M387)</f>
        <v>2</v>
      </c>
      <c r="O387" s="1">
        <f>J387+L387+IF(N387&lt;=I387-SUM($J$338:$J$393)-SUM($L$338:$L$393),1,0)</f>
        <v>18</v>
      </c>
    </row>
    <row r="388" spans="1:15">
      <c r="A388" s="1" t="s">
        <v>51</v>
      </c>
      <c r="B388" s="1" t="s">
        <v>57</v>
      </c>
      <c r="C388" s="1" t="s">
        <v>50</v>
      </c>
      <c r="D388" s="1" t="s">
        <v>49</v>
      </c>
      <c r="E388" s="1" t="s">
        <v>46</v>
      </c>
      <c r="F388" s="1" t="s">
        <v>41</v>
      </c>
      <c r="G388" s="1">
        <v>39823</v>
      </c>
      <c r="H388" s="1">
        <f>'1_Departamento_n'!C8</f>
        <v>1402034</v>
      </c>
      <c r="I388" s="1">
        <f>'1_Departamento_n'!H8</f>
        <v>1312</v>
      </c>
      <c r="J388" s="1">
        <f>'0_Parametros'!B7</f>
        <v>10</v>
      </c>
      <c r="K388" s="3">
        <f>(I388-SUM($J$338:$J$393))*G388/H388</f>
        <v>21.35960754161454</v>
      </c>
      <c r="L388" s="1">
        <f>INT(K388)</f>
        <v>21</v>
      </c>
      <c r="M388" s="3">
        <f>K388-L388</f>
        <v>0.35960754161454034</v>
      </c>
      <c r="N388" s="1">
        <f>COUNTIF($M$338:$M$393,"&gt;"&amp;M388)+COUNTIF($M$338:M388,M388)</f>
        <v>33</v>
      </c>
      <c r="O388" s="1">
        <f>J388+L388+IF(N388&lt;=I388-SUM($J$338:$J$393)-SUM($L$338:$L$393),1,0)</f>
        <v>31</v>
      </c>
    </row>
    <row r="389" spans="1:15">
      <c r="A389" s="1" t="s">
        <v>51</v>
      </c>
      <c r="B389" s="1" t="s">
        <v>57</v>
      </c>
      <c r="C389" s="1" t="s">
        <v>50</v>
      </c>
      <c r="D389" s="1" t="s">
        <v>49</v>
      </c>
      <c r="E389" s="1" t="s">
        <v>46</v>
      </c>
      <c r="F389" s="1" t="s">
        <v>42</v>
      </c>
      <c r="G389" s="1">
        <v>13829</v>
      </c>
      <c r="H389" s="1">
        <f>'1_Departamento_n'!C8</f>
        <v>1402034</v>
      </c>
      <c r="I389" s="1">
        <f>'1_Departamento_n'!H8</f>
        <v>1312</v>
      </c>
      <c r="J389" s="1">
        <f>'0_Parametros'!B7</f>
        <v>10</v>
      </c>
      <c r="K389" s="3">
        <f>(I389-SUM($J$338:$J$393))*G389/H389</f>
        <v>7.417372189262172</v>
      </c>
      <c r="L389" s="1">
        <f>INT(K389)</f>
        <v>7</v>
      </c>
      <c r="M389" s="3">
        <f>K389-L389</f>
        <v>0.41737218926217157</v>
      </c>
      <c r="N389" s="1">
        <f>COUNTIF($M$338:$M$393,"&gt;"&amp;M389)+COUNTIF($M$338:M389,M389)</f>
        <v>29</v>
      </c>
      <c r="O389" s="1">
        <f>J389+L389+IF(N389&lt;=I389-SUM($J$338:$J$393)-SUM($L$338:$L$393),1,0)</f>
        <v>17</v>
      </c>
    </row>
    <row r="390" spans="1:15">
      <c r="A390" s="1" t="s">
        <v>51</v>
      </c>
      <c r="B390" s="1" t="s">
        <v>57</v>
      </c>
      <c r="C390" s="1" t="s">
        <v>50</v>
      </c>
      <c r="D390" s="1" t="s">
        <v>49</v>
      </c>
      <c r="E390" s="1" t="s">
        <v>47</v>
      </c>
      <c r="F390" s="1" t="s">
        <v>41</v>
      </c>
      <c r="G390" s="1">
        <v>36437</v>
      </c>
      <c r="H390" s="1">
        <f>'1_Departamento_n'!C8</f>
        <v>1402034</v>
      </c>
      <c r="I390" s="1">
        <f>'1_Departamento_n'!H8</f>
        <v>1312</v>
      </c>
      <c r="J390" s="1">
        <f>'0_Parametros'!B7</f>
        <v>10</v>
      </c>
      <c r="K390" s="3">
        <f>(I390-SUM($J$338:$J$393))*G390/H390</f>
        <v>19.54348040061796</v>
      </c>
      <c r="L390" s="1">
        <f>INT(K390)</f>
        <v>19</v>
      </c>
      <c r="M390" s="3">
        <f>K390-L390</f>
        <v>0.543480400617959</v>
      </c>
      <c r="N390" s="1">
        <f>COUNTIF($M$338:$M$393,"&gt;"&amp;M390)+COUNTIF($M$338:M390,M390)</f>
        <v>21</v>
      </c>
      <c r="O390" s="1">
        <f>J390+L390+IF(N390&lt;=I390-SUM($J$338:$J$393)-SUM($L$338:$L$393),1,0)</f>
        <v>30</v>
      </c>
    </row>
    <row r="391" spans="1:15">
      <c r="A391" s="1" t="s">
        <v>51</v>
      </c>
      <c r="B391" s="1" t="s">
        <v>57</v>
      </c>
      <c r="C391" s="1" t="s">
        <v>50</v>
      </c>
      <c r="D391" s="1" t="s">
        <v>49</v>
      </c>
      <c r="E391" s="1" t="s">
        <v>47</v>
      </c>
      <c r="F391" s="1" t="s">
        <v>42</v>
      </c>
      <c r="G391" s="1">
        <v>13377</v>
      </c>
      <c r="H391" s="1">
        <f>'1_Departamento_n'!C8</f>
        <v>1402034</v>
      </c>
      <c r="I391" s="1">
        <f>'1_Departamento_n'!H8</f>
        <v>1312</v>
      </c>
      <c r="J391" s="1">
        <f>'0_Parametros'!B7</f>
        <v>10</v>
      </c>
      <c r="K391" s="3">
        <f>(I391-SUM($J$338:$J$393))*G391/H391</f>
        <v>7.174935843210649</v>
      </c>
      <c r="L391" s="1">
        <f>INT(K391)</f>
        <v>7</v>
      </c>
      <c r="M391" s="3">
        <f>K391-L391</f>
        <v>0.17493584321064937</v>
      </c>
      <c r="N391" s="1">
        <f>COUNTIF($M$338:$M$393,"&gt;"&amp;M391)+COUNTIF($M$338:M391,M391)</f>
        <v>49</v>
      </c>
      <c r="O391" s="1">
        <f>J391+L391+IF(N391&lt;=I391-SUM($J$338:$J$393)-SUM($L$338:$L$393),1,0)</f>
        <v>17</v>
      </c>
    </row>
    <row r="392" spans="1:15">
      <c r="A392" s="1" t="s">
        <v>51</v>
      </c>
      <c r="B392" s="1" t="s">
        <v>57</v>
      </c>
      <c r="C392" s="1" t="s">
        <v>50</v>
      </c>
      <c r="D392" s="1" t="s">
        <v>49</v>
      </c>
      <c r="E392" s="1" t="s">
        <v>48</v>
      </c>
      <c r="F392" s="1" t="s">
        <v>41</v>
      </c>
      <c r="G392" s="1">
        <v>53810</v>
      </c>
      <c r="H392" s="1">
        <f>'1_Departamento_n'!C8</f>
        <v>1402034</v>
      </c>
      <c r="I392" s="1">
        <f>'1_Departamento_n'!H8</f>
        <v>1312</v>
      </c>
      <c r="J392" s="1">
        <f>'0_Parametros'!B7</f>
        <v>10</v>
      </c>
      <c r="K392" s="3">
        <f>(I392-SUM($J$338:$J$393))*G392/H392</f>
        <v>28.861725179275254</v>
      </c>
      <c r="L392" s="1">
        <f>INT(K392)</f>
        <v>28</v>
      </c>
      <c r="M392" s="3">
        <f>K392-L392</f>
        <v>0.861725179275254</v>
      </c>
      <c r="N392" s="1">
        <f>COUNTIF($M$338:$M$393,"&gt;"&amp;M392)+COUNTIF($M$338:M392,M392)</f>
        <v>10</v>
      </c>
      <c r="O392" s="1">
        <f>J392+L392+IF(N392&lt;=I392-SUM($J$338:$J$393)-SUM($L$338:$L$393),1,0)</f>
        <v>39</v>
      </c>
    </row>
    <row r="393" spans="1:15">
      <c r="A393" s="1" t="s">
        <v>51</v>
      </c>
      <c r="B393" s="1" t="s">
        <v>57</v>
      </c>
      <c r="C393" s="1" t="s">
        <v>50</v>
      </c>
      <c r="D393" s="1" t="s">
        <v>49</v>
      </c>
      <c r="E393" s="1" t="s">
        <v>48</v>
      </c>
      <c r="F393" s="1" t="s">
        <v>42</v>
      </c>
      <c r="G393" s="1">
        <v>21178</v>
      </c>
      <c r="H393" s="1">
        <f>'1_Departamento_n'!C8</f>
        <v>1402034</v>
      </c>
      <c r="I393" s="1">
        <f>'1_Departamento_n'!H8</f>
        <v>1312</v>
      </c>
      <c r="J393" s="1">
        <f>'0_Parametros'!B7</f>
        <v>10</v>
      </c>
      <c r="K393" s="3">
        <f>(I393-SUM($J$338:$J$393))*G393/H393</f>
        <v>11.359108266989246</v>
      </c>
      <c r="L393" s="1">
        <f>INT(K393)</f>
        <v>11</v>
      </c>
      <c r="M393" s="3">
        <f>K393-L393</f>
        <v>0.3591082669892458</v>
      </c>
      <c r="N393" s="1">
        <f>COUNTIF($M$338:$M$393,"&gt;"&amp;M393)+COUNTIF($M$338:M393,M393)</f>
        <v>34</v>
      </c>
      <c r="O393" s="1">
        <f>J393+L393+IF(N393&lt;=I393-SUM($J$338:$J$393)-SUM($L$338:$L$393),1,0)</f>
        <v>21</v>
      </c>
    </row>
    <row r="394" spans="1:15">
      <c r="A394" s="1" t="s">
        <v>51</v>
      </c>
      <c r="B394" s="1" t="s">
        <v>58</v>
      </c>
      <c r="C394" s="1" t="s">
        <v>38</v>
      </c>
      <c r="D394" s="1" t="s">
        <v>39</v>
      </c>
      <c r="E394" s="1" t="s">
        <v>40</v>
      </c>
      <c r="F394" s="1" t="s">
        <v>41</v>
      </c>
      <c r="G394" s="1">
        <v>1704</v>
      </c>
      <c r="H394" s="1">
        <f>'1_Departamento_n'!C9</f>
        <v>61282</v>
      </c>
      <c r="I394" s="1">
        <f>'1_Departamento_n'!H9</f>
        <v>1293</v>
      </c>
      <c r="J394" s="1">
        <f>'0_Parametros'!B7</f>
        <v>10</v>
      </c>
      <c r="K394" s="3">
        <f>(I394-SUM($J$394:$J$449))*G394/H394</f>
        <v>20.381710779674293</v>
      </c>
      <c r="L394" s="1">
        <f>INT(K394)</f>
        <v>20</v>
      </c>
      <c r="M394" s="3">
        <f>K394-L394</f>
        <v>0.3817107796742931</v>
      </c>
      <c r="N394" s="1">
        <f>COUNTIF($M$394:$M$449,"&gt;"&amp;M394)+COUNTIF($M$394:M394,M394)</f>
        <v>37</v>
      </c>
      <c r="O394" s="1">
        <f>J394+L394+IF(N394&lt;=I394-SUM($J$394:$J$449)-SUM($L$394:$L$449),1,0)</f>
        <v>30</v>
      </c>
    </row>
    <row r="395" spans="1:15">
      <c r="A395" s="1" t="s">
        <v>51</v>
      </c>
      <c r="B395" s="1" t="s">
        <v>58</v>
      </c>
      <c r="C395" s="1" t="s">
        <v>38</v>
      </c>
      <c r="D395" s="1" t="s">
        <v>39</v>
      </c>
      <c r="E395" s="1" t="s">
        <v>40</v>
      </c>
      <c r="F395" s="1" t="s">
        <v>42</v>
      </c>
      <c r="G395" s="1">
        <v>635</v>
      </c>
      <c r="H395" s="1">
        <f>'1_Departamento_n'!C9</f>
        <v>61282</v>
      </c>
      <c r="I395" s="1">
        <f>'1_Departamento_n'!H9</f>
        <v>1293</v>
      </c>
      <c r="J395" s="1">
        <f>'0_Parametros'!B7</f>
        <v>10</v>
      </c>
      <c r="K395" s="3">
        <f>(I395-SUM($J$394:$J$449))*G395/H395</f>
        <v>7.595297150876277</v>
      </c>
      <c r="L395" s="1">
        <f>INT(K395)</f>
        <v>7</v>
      </c>
      <c r="M395" s="3">
        <f>K395-L395</f>
        <v>0.5952971508762772</v>
      </c>
      <c r="N395" s="1">
        <f>COUNTIF($M$394:$M$449,"&gt;"&amp;M395)+COUNTIF($M$394:M395,M395)</f>
        <v>21</v>
      </c>
      <c r="O395" s="1">
        <f>J395+L395+IF(N395&lt;=I395-SUM($J$394:$J$449)-SUM($L$394:$L$449),1,0)</f>
        <v>18</v>
      </c>
    </row>
    <row r="396" spans="1:15">
      <c r="A396" s="1" t="s">
        <v>51</v>
      </c>
      <c r="B396" s="1" t="s">
        <v>58</v>
      </c>
      <c r="C396" s="1" t="s">
        <v>38</v>
      </c>
      <c r="D396" s="1" t="s">
        <v>39</v>
      </c>
      <c r="E396" s="1" t="s">
        <v>43</v>
      </c>
      <c r="F396" s="1" t="s">
        <v>41</v>
      </c>
      <c r="G396" s="1">
        <v>2299</v>
      </c>
      <c r="H396" s="1">
        <f>'1_Departamento_n'!C9</f>
        <v>61282</v>
      </c>
      <c r="I396" s="1">
        <f>'1_Departamento_n'!H9</f>
        <v>1293</v>
      </c>
      <c r="J396" s="1">
        <f>'0_Parametros'!B7</f>
        <v>10</v>
      </c>
      <c r="K396" s="3">
        <f>(I396-SUM($J$394:$J$449))*G396/H396</f>
        <v>27.49856401553474</v>
      </c>
      <c r="L396" s="1">
        <f>INT(K396)</f>
        <v>27</v>
      </c>
      <c r="M396" s="3">
        <f>K396-L396</f>
        <v>0.4985640155347397</v>
      </c>
      <c r="N396" s="1">
        <f>COUNTIF($M$394:$M$449,"&gt;"&amp;M396)+COUNTIF($M$394:M396,M396)</f>
        <v>28</v>
      </c>
      <c r="O396" s="1">
        <f>J396+L396+IF(N396&lt;=I396-SUM($J$394:$J$449)-SUM($L$394:$L$449),1,0)</f>
        <v>38</v>
      </c>
    </row>
    <row r="397" spans="1:15">
      <c r="A397" s="1" t="s">
        <v>51</v>
      </c>
      <c r="B397" s="1" t="s">
        <v>58</v>
      </c>
      <c r="C397" s="1" t="s">
        <v>38</v>
      </c>
      <c r="D397" s="1" t="s">
        <v>39</v>
      </c>
      <c r="E397" s="1" t="s">
        <v>43</v>
      </c>
      <c r="F397" s="1" t="s">
        <v>42</v>
      </c>
      <c r="G397" s="1">
        <v>469</v>
      </c>
      <c r="H397" s="1">
        <f>'1_Departamento_n'!C9</f>
        <v>61282</v>
      </c>
      <c r="I397" s="1">
        <f>'1_Departamento_n'!H9</f>
        <v>1293</v>
      </c>
      <c r="J397" s="1">
        <f>'0_Parametros'!B7</f>
        <v>10</v>
      </c>
      <c r="K397" s="3">
        <f>(I397-SUM($J$394:$J$449))*G397/H397</f>
        <v>5.609754903560589</v>
      </c>
      <c r="L397" s="1">
        <f>INT(K397)</f>
        <v>5</v>
      </c>
      <c r="M397" s="3">
        <f>K397-L397</f>
        <v>0.6097549035605887</v>
      </c>
      <c r="N397" s="1">
        <f>COUNTIF($M$394:$M$449,"&gt;"&amp;M397)+COUNTIF($M$394:M397,M397)</f>
        <v>19</v>
      </c>
      <c r="O397" s="1">
        <f>J397+L397+IF(N397&lt;=I397-SUM($J$394:$J$449)-SUM($L$394:$L$449),1,0)</f>
        <v>16</v>
      </c>
    </row>
    <row r="398" spans="1:15">
      <c r="A398" s="1" t="s">
        <v>51</v>
      </c>
      <c r="B398" s="1" t="s">
        <v>58</v>
      </c>
      <c r="C398" s="1" t="s">
        <v>38</v>
      </c>
      <c r="D398" s="1" t="s">
        <v>39</v>
      </c>
      <c r="E398" s="1" t="s">
        <v>44</v>
      </c>
      <c r="F398" s="1" t="s">
        <v>41</v>
      </c>
      <c r="G398" s="1">
        <v>2191</v>
      </c>
      <c r="H398" s="1">
        <f>'1_Departamento_n'!C9</f>
        <v>61282</v>
      </c>
      <c r="I398" s="1">
        <f>'1_Departamento_n'!H9</f>
        <v>1293</v>
      </c>
      <c r="J398" s="1">
        <f>'0_Parametros'!B7</f>
        <v>10</v>
      </c>
      <c r="K398" s="3">
        <f>(I398-SUM($J$394:$J$449))*G398/H398</f>
        <v>26.206765444992005</v>
      </c>
      <c r="L398" s="1">
        <f>INT(K398)</f>
        <v>26</v>
      </c>
      <c r="M398" s="3">
        <f>K398-L398</f>
        <v>0.2067654449920049</v>
      </c>
      <c r="N398" s="1">
        <f>COUNTIF($M$394:$M$449,"&gt;"&amp;M398)+COUNTIF($M$394:M398,M398)</f>
        <v>49</v>
      </c>
      <c r="O398" s="1">
        <f>J398+L398+IF(N398&lt;=I398-SUM($J$394:$J$449)-SUM($L$394:$L$449),1,0)</f>
        <v>36</v>
      </c>
    </row>
    <row r="399" spans="1:15">
      <c r="A399" s="1" t="s">
        <v>51</v>
      </c>
      <c r="B399" s="1" t="s">
        <v>58</v>
      </c>
      <c r="C399" s="1" t="s">
        <v>38</v>
      </c>
      <c r="D399" s="1" t="s">
        <v>39</v>
      </c>
      <c r="E399" s="1" t="s">
        <v>44</v>
      </c>
      <c r="F399" s="1" t="s">
        <v>42</v>
      </c>
      <c r="G399" s="1">
        <v>599</v>
      </c>
      <c r="H399" s="1">
        <f>'1_Departamento_n'!C9</f>
        <v>61282</v>
      </c>
      <c r="I399" s="1">
        <f>'1_Departamento_n'!H9</f>
        <v>1293</v>
      </c>
      <c r="J399" s="1">
        <f>'0_Parametros'!B7</f>
        <v>10</v>
      </c>
      <c r="K399" s="3">
        <f>(I399-SUM($J$394:$J$449))*G399/H399</f>
        <v>7.164697627362031</v>
      </c>
      <c r="L399" s="1">
        <f>INT(K399)</f>
        <v>7</v>
      </c>
      <c r="M399" s="3">
        <f>K399-L399</f>
        <v>0.16469762736203108</v>
      </c>
      <c r="N399" s="1">
        <f>COUNTIF($M$394:$M$449,"&gt;"&amp;M399)+COUNTIF($M$394:M399,M399)</f>
        <v>51</v>
      </c>
      <c r="O399" s="1">
        <f>J399+L399+IF(N399&lt;=I399-SUM($J$394:$J$449)-SUM($L$394:$L$449),1,0)</f>
        <v>17</v>
      </c>
    </row>
    <row r="400" spans="1:15">
      <c r="A400" s="1" t="s">
        <v>51</v>
      </c>
      <c r="B400" s="1" t="s">
        <v>58</v>
      </c>
      <c r="C400" s="1" t="s">
        <v>38</v>
      </c>
      <c r="D400" s="1" t="s">
        <v>39</v>
      </c>
      <c r="E400" s="1" t="s">
        <v>45</v>
      </c>
      <c r="F400" s="1" t="s">
        <v>41</v>
      </c>
      <c r="G400" s="1">
        <v>3101</v>
      </c>
      <c r="H400" s="1">
        <f>'1_Departamento_n'!C9</f>
        <v>61282</v>
      </c>
      <c r="I400" s="1">
        <f>'1_Departamento_n'!H9</f>
        <v>1293</v>
      </c>
      <c r="J400" s="1">
        <f>'0_Parametros'!B7</f>
        <v>10</v>
      </c>
      <c r="K400" s="3">
        <f>(I400-SUM($J$394:$J$449))*G400/H400</f>
        <v>37.0913645116021</v>
      </c>
      <c r="L400" s="1">
        <f>INT(K400)</f>
        <v>37</v>
      </c>
      <c r="M400" s="3">
        <f>K400-L400</f>
        <v>0.09136451160210157</v>
      </c>
      <c r="N400" s="1">
        <f>COUNTIF($M$394:$M$449,"&gt;"&amp;M400)+COUNTIF($M$394:M400,M400)</f>
        <v>52</v>
      </c>
      <c r="O400" s="1">
        <f>J400+L400+IF(N400&lt;=I400-SUM($J$394:$J$449)-SUM($L$394:$L$449),1,0)</f>
        <v>47</v>
      </c>
    </row>
    <row r="401" spans="1:15">
      <c r="A401" s="1" t="s">
        <v>51</v>
      </c>
      <c r="B401" s="1" t="s">
        <v>58</v>
      </c>
      <c r="C401" s="1" t="s">
        <v>38</v>
      </c>
      <c r="D401" s="1" t="s">
        <v>39</v>
      </c>
      <c r="E401" s="1" t="s">
        <v>45</v>
      </c>
      <c r="F401" s="1" t="s">
        <v>42</v>
      </c>
      <c r="G401" s="1">
        <v>700</v>
      </c>
      <c r="H401" s="1">
        <f>'1_Departamento_n'!C9</f>
        <v>61282</v>
      </c>
      <c r="I401" s="1">
        <f>'1_Departamento_n'!H9</f>
        <v>1293</v>
      </c>
      <c r="J401" s="1">
        <f>'0_Parametros'!B7</f>
        <v>10</v>
      </c>
      <c r="K401" s="3">
        <f>(I401-SUM($J$394:$J$449))*G401/H401</f>
        <v>8.372768512776998</v>
      </c>
      <c r="L401" s="1">
        <f>INT(K401)</f>
        <v>8</v>
      </c>
      <c r="M401" s="3">
        <f>K401-L401</f>
        <v>0.3727685127769984</v>
      </c>
      <c r="N401" s="1">
        <f>COUNTIF($M$394:$M$449,"&gt;"&amp;M401)+COUNTIF($M$394:M401,M401)</f>
        <v>39</v>
      </c>
      <c r="O401" s="1">
        <f>J401+L401+IF(N401&lt;=I401-SUM($J$394:$J$449)-SUM($L$394:$L$449),1,0)</f>
        <v>18</v>
      </c>
    </row>
    <row r="402" spans="1:15">
      <c r="A402" s="1" t="s">
        <v>51</v>
      </c>
      <c r="B402" s="1" t="s">
        <v>58</v>
      </c>
      <c r="C402" s="1" t="s">
        <v>38</v>
      </c>
      <c r="D402" s="1" t="s">
        <v>39</v>
      </c>
      <c r="E402" s="1" t="s">
        <v>46</v>
      </c>
      <c r="F402" s="1" t="s">
        <v>41</v>
      </c>
      <c r="G402" s="1">
        <v>2880</v>
      </c>
      <c r="H402" s="1">
        <f>'1_Departamento_n'!C9</f>
        <v>61282</v>
      </c>
      <c r="I402" s="1">
        <f>'1_Departamento_n'!H9</f>
        <v>1293</v>
      </c>
      <c r="J402" s="1">
        <f>'0_Parametros'!B7</f>
        <v>10</v>
      </c>
      <c r="K402" s="3">
        <f>(I402-SUM($J$394:$J$449))*G402/H402</f>
        <v>34.44796188113965</v>
      </c>
      <c r="L402" s="1">
        <f>INT(K402)</f>
        <v>34</v>
      </c>
      <c r="M402" s="3">
        <f>K402-L402</f>
        <v>0.44796188113964774</v>
      </c>
      <c r="N402" s="1">
        <f>COUNTIF($M$394:$M$449,"&gt;"&amp;M402)+COUNTIF($M$394:M402,M402)</f>
        <v>32</v>
      </c>
      <c r="O402" s="1">
        <f>J402+L402+IF(N402&lt;=I402-SUM($J$394:$J$449)-SUM($L$394:$L$449),1,0)</f>
        <v>44</v>
      </c>
    </row>
    <row r="403" spans="1:15">
      <c r="A403" s="1" t="s">
        <v>51</v>
      </c>
      <c r="B403" s="1" t="s">
        <v>58</v>
      </c>
      <c r="C403" s="1" t="s">
        <v>38</v>
      </c>
      <c r="D403" s="1" t="s">
        <v>39</v>
      </c>
      <c r="E403" s="1" t="s">
        <v>46</v>
      </c>
      <c r="F403" s="1" t="s">
        <v>42</v>
      </c>
      <c r="G403" s="1">
        <v>468</v>
      </c>
      <c r="H403" s="1">
        <f>'1_Departamento_n'!C9</f>
        <v>61282</v>
      </c>
      <c r="I403" s="1">
        <f>'1_Departamento_n'!H9</f>
        <v>1293</v>
      </c>
      <c r="J403" s="1">
        <f>'0_Parametros'!B7</f>
        <v>10</v>
      </c>
      <c r="K403" s="3">
        <f>(I403-SUM($J$394:$J$449))*G403/H403</f>
        <v>5.5977938056851935</v>
      </c>
      <c r="L403" s="1">
        <f>INT(K403)</f>
        <v>5</v>
      </c>
      <c r="M403" s="3">
        <f>K403-L403</f>
        <v>0.5977938056851935</v>
      </c>
      <c r="N403" s="1">
        <f>COUNTIF($M$394:$M$449,"&gt;"&amp;M403)+COUNTIF($M$394:M403,M403)</f>
        <v>20</v>
      </c>
      <c r="O403" s="1">
        <f>J403+L403+IF(N403&lt;=I403-SUM($J$394:$J$449)-SUM($L$394:$L$449),1,0)</f>
        <v>16</v>
      </c>
    </row>
    <row r="404" spans="1:15">
      <c r="A404" s="1" t="s">
        <v>51</v>
      </c>
      <c r="B404" s="1" t="s">
        <v>58</v>
      </c>
      <c r="C404" s="1" t="s">
        <v>38</v>
      </c>
      <c r="D404" s="1" t="s">
        <v>39</v>
      </c>
      <c r="E404" s="1" t="s">
        <v>47</v>
      </c>
      <c r="F404" s="1" t="s">
        <v>41</v>
      </c>
      <c r="G404" s="1">
        <v>2617</v>
      </c>
      <c r="H404" s="1">
        <f>'1_Departamento_n'!C9</f>
        <v>61282</v>
      </c>
      <c r="I404" s="1">
        <f>'1_Departamento_n'!H9</f>
        <v>1293</v>
      </c>
      <c r="J404" s="1">
        <f>'0_Parametros'!B7</f>
        <v>10</v>
      </c>
      <c r="K404" s="3">
        <f>(I404-SUM($J$394:$J$449))*G404/H404</f>
        <v>31.302193139910578</v>
      </c>
      <c r="L404" s="1">
        <f>INT(K404)</f>
        <v>31</v>
      </c>
      <c r="M404" s="3">
        <f>K404-L404</f>
        <v>0.30219313991057817</v>
      </c>
      <c r="N404" s="1">
        <f>COUNTIF($M$394:$M$449,"&gt;"&amp;M404)+COUNTIF($M$394:M404,M404)</f>
        <v>44</v>
      </c>
      <c r="O404" s="1">
        <f>J404+L404+IF(N404&lt;=I404-SUM($J$394:$J$449)-SUM($L$394:$L$449),1,0)</f>
        <v>41</v>
      </c>
    </row>
    <row r="405" spans="1:15">
      <c r="A405" s="1" t="s">
        <v>51</v>
      </c>
      <c r="B405" s="1" t="s">
        <v>58</v>
      </c>
      <c r="C405" s="1" t="s">
        <v>38</v>
      </c>
      <c r="D405" s="1" t="s">
        <v>39</v>
      </c>
      <c r="E405" s="1" t="s">
        <v>47</v>
      </c>
      <c r="F405" s="1" t="s">
        <v>42</v>
      </c>
      <c r="G405" s="1">
        <v>358</v>
      </c>
      <c r="H405" s="1">
        <f>'1_Departamento_n'!C9</f>
        <v>61282</v>
      </c>
      <c r="I405" s="1">
        <f>'1_Departamento_n'!H9</f>
        <v>1293</v>
      </c>
      <c r="J405" s="1">
        <f>'0_Parametros'!B7</f>
        <v>10</v>
      </c>
      <c r="K405" s="3">
        <f>(I405-SUM($J$394:$J$449))*G405/H405</f>
        <v>4.282073039391665</v>
      </c>
      <c r="L405" s="1">
        <f>INT(K405)</f>
        <v>4</v>
      </c>
      <c r="M405" s="3">
        <f>K405-L405</f>
        <v>0.2820730393916646</v>
      </c>
      <c r="N405" s="1">
        <f>COUNTIF($M$394:$M$449,"&gt;"&amp;M405)+COUNTIF($M$394:M405,M405)</f>
        <v>45</v>
      </c>
      <c r="O405" s="1">
        <f>J405+L405+IF(N405&lt;=I405-SUM($J$394:$J$449)-SUM($L$394:$L$449),1,0)</f>
        <v>14</v>
      </c>
    </row>
    <row r="406" spans="1:15">
      <c r="A406" s="1" t="s">
        <v>51</v>
      </c>
      <c r="B406" s="1" t="s">
        <v>58</v>
      </c>
      <c r="C406" s="1" t="s">
        <v>38</v>
      </c>
      <c r="D406" s="1" t="s">
        <v>39</v>
      </c>
      <c r="E406" s="1" t="s">
        <v>48</v>
      </c>
      <c r="F406" s="1" t="s">
        <v>41</v>
      </c>
      <c r="G406" s="1">
        <v>3823</v>
      </c>
      <c r="H406" s="1">
        <f>'1_Departamento_n'!C9</f>
        <v>61282</v>
      </c>
      <c r="I406" s="1">
        <f>'1_Departamento_n'!H9</f>
        <v>1293</v>
      </c>
      <c r="J406" s="1">
        <f>'0_Parametros'!B7</f>
        <v>10</v>
      </c>
      <c r="K406" s="3">
        <f>(I406-SUM($J$394:$J$449))*G406/H406</f>
        <v>45.7272771776378</v>
      </c>
      <c r="L406" s="1">
        <f>INT(K406)</f>
        <v>45</v>
      </c>
      <c r="M406" s="3">
        <f>K406-L406</f>
        <v>0.7272771776378022</v>
      </c>
      <c r="N406" s="1">
        <f>COUNTIF($M$394:$M$449,"&gt;"&amp;M406)+COUNTIF($M$394:M406,M406)</f>
        <v>13</v>
      </c>
      <c r="O406" s="1">
        <f>J406+L406+IF(N406&lt;=I406-SUM($J$394:$J$449)-SUM($L$394:$L$449),1,0)</f>
        <v>56</v>
      </c>
    </row>
    <row r="407" spans="1:15">
      <c r="A407" s="1" t="s">
        <v>51</v>
      </c>
      <c r="B407" s="1" t="s">
        <v>58</v>
      </c>
      <c r="C407" s="1" t="s">
        <v>38</v>
      </c>
      <c r="D407" s="1" t="s">
        <v>39</v>
      </c>
      <c r="E407" s="1" t="s">
        <v>48</v>
      </c>
      <c r="F407" s="1" t="s">
        <v>42</v>
      </c>
      <c r="G407" s="1">
        <v>251</v>
      </c>
      <c r="H407" s="1">
        <f>'1_Departamento_n'!C9</f>
        <v>61282</v>
      </c>
      <c r="I407" s="1">
        <f>'1_Departamento_n'!H9</f>
        <v>1293</v>
      </c>
      <c r="J407" s="1">
        <f>'0_Parametros'!B7</f>
        <v>10</v>
      </c>
      <c r="K407" s="3">
        <f>(I407-SUM($J$394:$J$449))*G407/H407</f>
        <v>3.0022355667243237</v>
      </c>
      <c r="L407" s="1">
        <f>INT(K407)</f>
        <v>3</v>
      </c>
      <c r="M407" s="3">
        <f>K407-L407</f>
        <v>0.0022355667243236788</v>
      </c>
      <c r="N407" s="1">
        <f>COUNTIF($M$394:$M$449,"&gt;"&amp;M407)+COUNTIF($M$394:M407,M407)</f>
        <v>56</v>
      </c>
      <c r="O407" s="1">
        <f>J407+L407+IF(N407&lt;=I407-SUM($J$394:$J$449)-SUM($L$394:$L$449),1,0)</f>
        <v>13</v>
      </c>
    </row>
    <row r="408" spans="1:15">
      <c r="A408" s="1" t="s">
        <v>51</v>
      </c>
      <c r="B408" s="1" t="s">
        <v>58</v>
      </c>
      <c r="C408" s="1" t="s">
        <v>38</v>
      </c>
      <c r="D408" s="1" t="s">
        <v>49</v>
      </c>
      <c r="E408" s="1" t="s">
        <v>40</v>
      </c>
      <c r="F408" s="1" t="s">
        <v>41</v>
      </c>
      <c r="G408" s="1">
        <v>1826</v>
      </c>
      <c r="H408" s="1">
        <f>'1_Departamento_n'!C9</f>
        <v>61282</v>
      </c>
      <c r="I408" s="1">
        <f>'1_Departamento_n'!H9</f>
        <v>1293</v>
      </c>
      <c r="J408" s="1">
        <f>'0_Parametros'!B7</f>
        <v>10</v>
      </c>
      <c r="K408" s="3">
        <f>(I408-SUM($J$394:$J$449))*G408/H408</f>
        <v>21.84096472047257</v>
      </c>
      <c r="L408" s="1">
        <f>INT(K408)</f>
        <v>21</v>
      </c>
      <c r="M408" s="3">
        <f>K408-L408</f>
        <v>0.8409647204725701</v>
      </c>
      <c r="N408" s="1">
        <f>COUNTIF($M$394:$M$449,"&gt;"&amp;M408)+COUNTIF($M$394:M408,M408)</f>
        <v>9</v>
      </c>
      <c r="O408" s="1">
        <f>J408+L408+IF(N408&lt;=I408-SUM($J$394:$J$449)-SUM($L$394:$L$449),1,0)</f>
        <v>32</v>
      </c>
    </row>
    <row r="409" spans="1:15">
      <c r="A409" s="1" t="s">
        <v>51</v>
      </c>
      <c r="B409" s="1" t="s">
        <v>58</v>
      </c>
      <c r="C409" s="1" t="s">
        <v>38</v>
      </c>
      <c r="D409" s="1" t="s">
        <v>49</v>
      </c>
      <c r="E409" s="1" t="s">
        <v>40</v>
      </c>
      <c r="F409" s="1" t="s">
        <v>42</v>
      </c>
      <c r="G409" s="1">
        <v>638</v>
      </c>
      <c r="H409" s="1">
        <f>'1_Departamento_n'!C9</f>
        <v>61282</v>
      </c>
      <c r="I409" s="1">
        <f>'1_Departamento_n'!H9</f>
        <v>1293</v>
      </c>
      <c r="J409" s="1">
        <f>'0_Parametros'!B7</f>
        <v>10</v>
      </c>
      <c r="K409" s="3">
        <f>(I409-SUM($J$394:$J$449))*G409/H409</f>
        <v>7.631180444502464</v>
      </c>
      <c r="L409" s="1">
        <f>INT(K409)</f>
        <v>7</v>
      </c>
      <c r="M409" s="3">
        <f>K409-L409</f>
        <v>0.6311804445024638</v>
      </c>
      <c r="N409" s="1">
        <f>COUNTIF($M$394:$M$449,"&gt;"&amp;M409)+COUNTIF($M$394:M409,M409)</f>
        <v>16</v>
      </c>
      <c r="O409" s="1">
        <f>J409+L409+IF(N409&lt;=I409-SUM($J$394:$J$449)-SUM($L$394:$L$449),1,0)</f>
        <v>18</v>
      </c>
    </row>
    <row r="410" spans="1:15">
      <c r="A410" s="1" t="s">
        <v>51</v>
      </c>
      <c r="B410" s="1" t="s">
        <v>58</v>
      </c>
      <c r="C410" s="1" t="s">
        <v>38</v>
      </c>
      <c r="D410" s="1" t="s">
        <v>49</v>
      </c>
      <c r="E410" s="1" t="s">
        <v>43</v>
      </c>
      <c r="F410" s="1" t="s">
        <v>41</v>
      </c>
      <c r="G410" s="1">
        <v>2463</v>
      </c>
      <c r="H410" s="1">
        <f>'1_Departamento_n'!C9</f>
        <v>61282</v>
      </c>
      <c r="I410" s="1">
        <f>'1_Departamento_n'!H9</f>
        <v>1293</v>
      </c>
      <c r="J410" s="1">
        <f>'0_Parametros'!B7</f>
        <v>10</v>
      </c>
      <c r="K410" s="3">
        <f>(I410-SUM($J$394:$J$449))*G410/H410</f>
        <v>29.460184067099636</v>
      </c>
      <c r="L410" s="1">
        <f>INT(K410)</f>
        <v>29</v>
      </c>
      <c r="M410" s="3">
        <f>K410-L410</f>
        <v>0.460184067099636</v>
      </c>
      <c r="N410" s="1">
        <f>COUNTIF($M$394:$M$449,"&gt;"&amp;M410)+COUNTIF($M$394:M410,M410)</f>
        <v>31</v>
      </c>
      <c r="O410" s="1">
        <f>J410+L410+IF(N410&lt;=I410-SUM($J$394:$J$449)-SUM($L$394:$L$449),1,0)</f>
        <v>39</v>
      </c>
    </row>
    <row r="411" spans="1:15">
      <c r="A411" s="1" t="s">
        <v>51</v>
      </c>
      <c r="B411" s="1" t="s">
        <v>58</v>
      </c>
      <c r="C411" s="1" t="s">
        <v>38</v>
      </c>
      <c r="D411" s="1" t="s">
        <v>49</v>
      </c>
      <c r="E411" s="1" t="s">
        <v>43</v>
      </c>
      <c r="F411" s="1" t="s">
        <v>42</v>
      </c>
      <c r="G411" s="1">
        <v>501</v>
      </c>
      <c r="H411" s="1">
        <f>'1_Departamento_n'!C9</f>
        <v>61282</v>
      </c>
      <c r="I411" s="1">
        <f>'1_Departamento_n'!H9</f>
        <v>1293</v>
      </c>
      <c r="J411" s="1">
        <f>'0_Parametros'!B7</f>
        <v>10</v>
      </c>
      <c r="K411" s="3">
        <f>(I411-SUM($J$394:$J$449))*G411/H411</f>
        <v>5.992510035573251</v>
      </c>
      <c r="L411" s="1">
        <f>INT(K411)</f>
        <v>5</v>
      </c>
      <c r="M411" s="3">
        <f>K411-L411</f>
        <v>0.9925100355732512</v>
      </c>
      <c r="N411" s="1">
        <f>COUNTIF($M$394:$M$449,"&gt;"&amp;M411)+COUNTIF($M$394:M411,M411)</f>
        <v>1</v>
      </c>
      <c r="O411" s="1">
        <f>J411+L411+IF(N411&lt;=I411-SUM($J$394:$J$449)-SUM($L$394:$L$449),1,0)</f>
        <v>16</v>
      </c>
    </row>
    <row r="412" spans="1:15">
      <c r="A412" s="1" t="s">
        <v>51</v>
      </c>
      <c r="B412" s="1" t="s">
        <v>58</v>
      </c>
      <c r="C412" s="1" t="s">
        <v>38</v>
      </c>
      <c r="D412" s="1" t="s">
        <v>49</v>
      </c>
      <c r="E412" s="1" t="s">
        <v>44</v>
      </c>
      <c r="F412" s="1" t="s">
        <v>41</v>
      </c>
      <c r="G412" s="1">
        <v>1949</v>
      </c>
      <c r="H412" s="1">
        <f>'1_Departamento_n'!C9</f>
        <v>61282</v>
      </c>
      <c r="I412" s="1">
        <f>'1_Departamento_n'!H9</f>
        <v>1293</v>
      </c>
      <c r="J412" s="1">
        <f>'0_Parametros'!B7</f>
        <v>10</v>
      </c>
      <c r="K412" s="3">
        <f>(I412-SUM($J$394:$J$449))*G412/H412</f>
        <v>23.312179759146243</v>
      </c>
      <c r="L412" s="1">
        <f>INT(K412)</f>
        <v>23</v>
      </c>
      <c r="M412" s="3">
        <f>K412-L412</f>
        <v>0.3121797591462432</v>
      </c>
      <c r="N412" s="1">
        <f>COUNTIF($M$394:$M$449,"&gt;"&amp;M412)+COUNTIF($M$394:M412,M412)</f>
        <v>43</v>
      </c>
      <c r="O412" s="1">
        <f>J412+L412+IF(N412&lt;=I412-SUM($J$394:$J$449)-SUM($L$394:$L$449),1,0)</f>
        <v>33</v>
      </c>
    </row>
    <row r="413" spans="1:15">
      <c r="A413" s="1" t="s">
        <v>51</v>
      </c>
      <c r="B413" s="1" t="s">
        <v>58</v>
      </c>
      <c r="C413" s="1" t="s">
        <v>38</v>
      </c>
      <c r="D413" s="1" t="s">
        <v>49</v>
      </c>
      <c r="E413" s="1" t="s">
        <v>44</v>
      </c>
      <c r="F413" s="1" t="s">
        <v>42</v>
      </c>
      <c r="G413" s="1">
        <v>534</v>
      </c>
      <c r="H413" s="1">
        <f>'1_Departamento_n'!C9</f>
        <v>61282</v>
      </c>
      <c r="I413" s="1">
        <f>'1_Departamento_n'!H9</f>
        <v>1293</v>
      </c>
      <c r="J413" s="1">
        <f>'0_Parametros'!B7</f>
        <v>10</v>
      </c>
      <c r="K413" s="3">
        <f>(I413-SUM($J$394:$J$449))*G413/H413</f>
        <v>6.38722626546131</v>
      </c>
      <c r="L413" s="1">
        <f>INT(K413)</f>
        <v>6</v>
      </c>
      <c r="M413" s="3">
        <f>K413-L413</f>
        <v>0.3872262654613099</v>
      </c>
      <c r="N413" s="1">
        <f>COUNTIF($M$394:$M$449,"&gt;"&amp;M413)+COUNTIF($M$394:M413,M413)</f>
        <v>36</v>
      </c>
      <c r="O413" s="1">
        <f>J413+L413+IF(N413&lt;=I413-SUM($J$394:$J$449)-SUM($L$394:$L$449),1,0)</f>
        <v>16</v>
      </c>
    </row>
    <row r="414" spans="1:15">
      <c r="A414" s="1" t="s">
        <v>51</v>
      </c>
      <c r="B414" s="1" t="s">
        <v>58</v>
      </c>
      <c r="C414" s="1" t="s">
        <v>38</v>
      </c>
      <c r="D414" s="1" t="s">
        <v>49</v>
      </c>
      <c r="E414" s="1" t="s">
        <v>45</v>
      </c>
      <c r="F414" s="1" t="s">
        <v>41</v>
      </c>
      <c r="G414" s="1">
        <v>2299</v>
      </c>
      <c r="H414" s="1">
        <f>'1_Departamento_n'!C9</f>
        <v>61282</v>
      </c>
      <c r="I414" s="1">
        <f>'1_Departamento_n'!H9</f>
        <v>1293</v>
      </c>
      <c r="J414" s="1">
        <f>'0_Parametros'!B7</f>
        <v>10</v>
      </c>
      <c r="K414" s="3">
        <f>(I414-SUM($J$394:$J$449))*G414/H414</f>
        <v>27.49856401553474</v>
      </c>
      <c r="L414" s="1">
        <f>INT(K414)</f>
        <v>27</v>
      </c>
      <c r="M414" s="3">
        <f>K414-L414</f>
        <v>0.4985640155347397</v>
      </c>
      <c r="N414" s="1">
        <f>COUNTIF($M$394:$M$449,"&gt;"&amp;M414)+COUNTIF($M$394:M414,M414)</f>
        <v>29</v>
      </c>
      <c r="O414" s="1">
        <f>J414+L414+IF(N414&lt;=I414-SUM($J$394:$J$449)-SUM($L$394:$L$449),1,0)</f>
        <v>37</v>
      </c>
    </row>
    <row r="415" spans="1:15">
      <c r="A415" s="1" t="s">
        <v>51</v>
      </c>
      <c r="B415" s="1" t="s">
        <v>58</v>
      </c>
      <c r="C415" s="1" t="s">
        <v>38</v>
      </c>
      <c r="D415" s="1" t="s">
        <v>49</v>
      </c>
      <c r="E415" s="1" t="s">
        <v>45</v>
      </c>
      <c r="F415" s="1" t="s">
        <v>42</v>
      </c>
      <c r="G415" s="1">
        <v>576</v>
      </c>
      <c r="H415" s="1">
        <f>'1_Departamento_n'!C9</f>
        <v>61282</v>
      </c>
      <c r="I415" s="1">
        <f>'1_Departamento_n'!H9</f>
        <v>1293</v>
      </c>
      <c r="J415" s="1">
        <f>'0_Parametros'!B7</f>
        <v>10</v>
      </c>
      <c r="K415" s="3">
        <f>(I415-SUM($J$394:$J$449))*G415/H415</f>
        <v>6.88959237622793</v>
      </c>
      <c r="L415" s="1">
        <f>INT(K415)</f>
        <v>6</v>
      </c>
      <c r="M415" s="3">
        <f>K415-L415</f>
        <v>0.8895923762279301</v>
      </c>
      <c r="N415" s="1">
        <f>COUNTIF($M$394:$M$449,"&gt;"&amp;M415)+COUNTIF($M$394:M415,M415)</f>
        <v>5</v>
      </c>
      <c r="O415" s="1">
        <f>J415+L415+IF(N415&lt;=I415-SUM($J$394:$J$449)-SUM($L$394:$L$449),1,0)</f>
        <v>17</v>
      </c>
    </row>
    <row r="416" spans="1:15">
      <c r="A416" s="1" t="s">
        <v>51</v>
      </c>
      <c r="B416" s="1" t="s">
        <v>58</v>
      </c>
      <c r="C416" s="1" t="s">
        <v>38</v>
      </c>
      <c r="D416" s="1" t="s">
        <v>49</v>
      </c>
      <c r="E416" s="1" t="s">
        <v>46</v>
      </c>
      <c r="F416" s="1" t="s">
        <v>41</v>
      </c>
      <c r="G416" s="1">
        <v>2246</v>
      </c>
      <c r="H416" s="1">
        <f>'1_Departamento_n'!C9</f>
        <v>61282</v>
      </c>
      <c r="I416" s="1">
        <f>'1_Departamento_n'!H9</f>
        <v>1293</v>
      </c>
      <c r="J416" s="1">
        <f>'0_Parametros'!B7</f>
        <v>10</v>
      </c>
      <c r="K416" s="3">
        <f>(I416-SUM($J$394:$J$449))*G416/H416</f>
        <v>26.864625828138767</v>
      </c>
      <c r="L416" s="1">
        <f>INT(K416)</f>
        <v>26</v>
      </c>
      <c r="M416" s="3">
        <f>K416-L416</f>
        <v>0.8646258281387666</v>
      </c>
      <c r="N416" s="1">
        <f>COUNTIF($M$394:$M$449,"&gt;"&amp;M416)+COUNTIF($M$394:M416,M416)</f>
        <v>6</v>
      </c>
      <c r="O416" s="1">
        <f>J416+L416+IF(N416&lt;=I416-SUM($J$394:$J$449)-SUM($L$394:$L$449),1,0)</f>
        <v>37</v>
      </c>
    </row>
    <row r="417" spans="1:15">
      <c r="A417" s="1" t="s">
        <v>51</v>
      </c>
      <c r="B417" s="1" t="s">
        <v>58</v>
      </c>
      <c r="C417" s="1" t="s">
        <v>38</v>
      </c>
      <c r="D417" s="1" t="s">
        <v>49</v>
      </c>
      <c r="E417" s="1" t="s">
        <v>46</v>
      </c>
      <c r="F417" s="1" t="s">
        <v>42</v>
      </c>
      <c r="G417" s="1">
        <v>405</v>
      </c>
      <c r="H417" s="1">
        <f>'1_Departamento_n'!C9</f>
        <v>61282</v>
      </c>
      <c r="I417" s="1">
        <f>'1_Departamento_n'!H9</f>
        <v>1293</v>
      </c>
      <c r="J417" s="1">
        <f>'0_Parametros'!B7</f>
        <v>10</v>
      </c>
      <c r="K417" s="3">
        <f>(I417-SUM($J$394:$J$449))*G417/H417</f>
        <v>4.844244639535264</v>
      </c>
      <c r="L417" s="1">
        <f>INT(K417)</f>
        <v>4</v>
      </c>
      <c r="M417" s="3">
        <f>K417-L417</f>
        <v>0.8442446395352636</v>
      </c>
      <c r="N417" s="1">
        <f>COUNTIF($M$394:$M$449,"&gt;"&amp;M417)+COUNTIF($M$394:M417,M417)</f>
        <v>8</v>
      </c>
      <c r="O417" s="1">
        <f>J417+L417+IF(N417&lt;=I417-SUM($J$394:$J$449)-SUM($L$394:$L$449),1,0)</f>
        <v>15</v>
      </c>
    </row>
    <row r="418" spans="1:15">
      <c r="A418" s="1" t="s">
        <v>51</v>
      </c>
      <c r="B418" s="1" t="s">
        <v>58</v>
      </c>
      <c r="C418" s="1" t="s">
        <v>38</v>
      </c>
      <c r="D418" s="1" t="s">
        <v>49</v>
      </c>
      <c r="E418" s="1" t="s">
        <v>47</v>
      </c>
      <c r="F418" s="1" t="s">
        <v>41</v>
      </c>
      <c r="G418" s="1">
        <v>2202</v>
      </c>
      <c r="H418" s="1">
        <f>'1_Departamento_n'!C9</f>
        <v>61282</v>
      </c>
      <c r="I418" s="1">
        <f>'1_Departamento_n'!H9</f>
        <v>1293</v>
      </c>
      <c r="J418" s="1">
        <f>'0_Parametros'!B7</f>
        <v>10</v>
      </c>
      <c r="K418" s="3">
        <f>(I418-SUM($J$394:$J$449))*G418/H418</f>
        <v>26.33833752162136</v>
      </c>
      <c r="L418" s="1">
        <f>INT(K418)</f>
        <v>26</v>
      </c>
      <c r="M418" s="3">
        <f>K418-L418</f>
        <v>0.33833752162135866</v>
      </c>
      <c r="N418" s="1">
        <f>COUNTIF($M$394:$M$449,"&gt;"&amp;M418)+COUNTIF($M$394:M418,M418)</f>
        <v>41</v>
      </c>
      <c r="O418" s="1">
        <f>J418+L418+IF(N418&lt;=I418-SUM($J$394:$J$449)-SUM($L$394:$L$449),1,0)</f>
        <v>36</v>
      </c>
    </row>
    <row r="419" spans="1:15">
      <c r="A419" s="1" t="s">
        <v>51</v>
      </c>
      <c r="B419" s="1" t="s">
        <v>58</v>
      </c>
      <c r="C419" s="1" t="s">
        <v>38</v>
      </c>
      <c r="D419" s="1" t="s">
        <v>49</v>
      </c>
      <c r="E419" s="1" t="s">
        <v>47</v>
      </c>
      <c r="F419" s="1" t="s">
        <v>42</v>
      </c>
      <c r="G419" s="1">
        <v>306</v>
      </c>
      <c r="H419" s="1">
        <f>'1_Departamento_n'!C9</f>
        <v>61282</v>
      </c>
      <c r="I419" s="1">
        <f>'1_Departamento_n'!H9</f>
        <v>1293</v>
      </c>
      <c r="J419" s="1">
        <f>'0_Parametros'!B7</f>
        <v>10</v>
      </c>
      <c r="K419" s="3">
        <f>(I419-SUM($J$394:$J$449))*G419/H419</f>
        <v>3.6600959498710877</v>
      </c>
      <c r="L419" s="1">
        <f>INT(K419)</f>
        <v>3</v>
      </c>
      <c r="M419" s="3">
        <f>K419-L419</f>
        <v>0.6600959498710877</v>
      </c>
      <c r="N419" s="1">
        <f>COUNTIF($M$394:$M$449,"&gt;"&amp;M419)+COUNTIF($M$394:M419,M419)</f>
        <v>15</v>
      </c>
      <c r="O419" s="1">
        <f>J419+L419+IF(N419&lt;=I419-SUM($J$394:$J$449)-SUM($L$394:$L$449),1,0)</f>
        <v>14</v>
      </c>
    </row>
    <row r="420" spans="1:15">
      <c r="A420" s="1" t="s">
        <v>51</v>
      </c>
      <c r="B420" s="1" t="s">
        <v>58</v>
      </c>
      <c r="C420" s="1" t="s">
        <v>38</v>
      </c>
      <c r="D420" s="1" t="s">
        <v>49</v>
      </c>
      <c r="E420" s="1" t="s">
        <v>48</v>
      </c>
      <c r="F420" s="1" t="s">
        <v>41</v>
      </c>
      <c r="G420" s="1">
        <v>3053</v>
      </c>
      <c r="H420" s="1">
        <f>'1_Departamento_n'!C9</f>
        <v>61282</v>
      </c>
      <c r="I420" s="1">
        <f>'1_Departamento_n'!H9</f>
        <v>1293</v>
      </c>
      <c r="J420" s="1">
        <f>'0_Parametros'!B7</f>
        <v>10</v>
      </c>
      <c r="K420" s="3">
        <f>(I420-SUM($J$394:$J$449))*G420/H420</f>
        <v>36.51723181358311</v>
      </c>
      <c r="L420" s="1">
        <f>INT(K420)</f>
        <v>36</v>
      </c>
      <c r="M420" s="3">
        <f>K420-L420</f>
        <v>0.5172318135831091</v>
      </c>
      <c r="N420" s="1">
        <f>COUNTIF($M$394:$M$449,"&gt;"&amp;M420)+COUNTIF($M$394:M420,M420)</f>
        <v>26</v>
      </c>
      <c r="O420" s="1">
        <f>J420+L420+IF(N420&lt;=I420-SUM($J$394:$J$449)-SUM($L$394:$L$449),1,0)</f>
        <v>47</v>
      </c>
    </row>
    <row r="421" spans="1:15">
      <c r="A421" s="1" t="s">
        <v>51</v>
      </c>
      <c r="B421" s="1" t="s">
        <v>58</v>
      </c>
      <c r="C421" s="1" t="s">
        <v>38</v>
      </c>
      <c r="D421" s="1" t="s">
        <v>49</v>
      </c>
      <c r="E421" s="1" t="s">
        <v>48</v>
      </c>
      <c r="F421" s="1" t="s">
        <v>42</v>
      </c>
      <c r="G421" s="1">
        <v>294</v>
      </c>
      <c r="H421" s="1">
        <f>'1_Departamento_n'!C9</f>
        <v>61282</v>
      </c>
      <c r="I421" s="1">
        <f>'1_Departamento_n'!H9</f>
        <v>1293</v>
      </c>
      <c r="J421" s="1">
        <f>'0_Parametros'!B7</f>
        <v>10</v>
      </c>
      <c r="K421" s="3">
        <f>(I421-SUM($J$394:$J$449))*G421/H421</f>
        <v>3.516562775366339</v>
      </c>
      <c r="L421" s="1">
        <f>INT(K421)</f>
        <v>3</v>
      </c>
      <c r="M421" s="3">
        <f>K421-L421</f>
        <v>0.5165627753663391</v>
      </c>
      <c r="N421" s="1">
        <f>COUNTIF($M$394:$M$449,"&gt;"&amp;M421)+COUNTIF($M$394:M421,M421)</f>
        <v>27</v>
      </c>
      <c r="O421" s="1">
        <f>J421+L421+IF(N421&lt;=I421-SUM($J$394:$J$449)-SUM($L$394:$L$449),1,0)</f>
        <v>14</v>
      </c>
    </row>
    <row r="422" spans="1:15">
      <c r="A422" s="1" t="s">
        <v>51</v>
      </c>
      <c r="B422" s="1" t="s">
        <v>58</v>
      </c>
      <c r="C422" s="1" t="s">
        <v>50</v>
      </c>
      <c r="D422" s="1" t="s">
        <v>39</v>
      </c>
      <c r="E422" s="1" t="s">
        <v>40</v>
      </c>
      <c r="F422" s="1" t="s">
        <v>41</v>
      </c>
      <c r="G422" s="1">
        <v>433</v>
      </c>
      <c r="H422" s="1">
        <f>'1_Departamento_n'!C9</f>
        <v>61282</v>
      </c>
      <c r="I422" s="1">
        <f>'1_Departamento_n'!H9</f>
        <v>1293</v>
      </c>
      <c r="J422" s="1">
        <f>'0_Parametros'!B7</f>
        <v>10</v>
      </c>
      <c r="K422" s="3">
        <f>(I422-SUM($J$394:$J$449))*G422/H422</f>
        <v>5.1791553800463435</v>
      </c>
      <c r="L422" s="1">
        <f>INT(K422)</f>
        <v>5</v>
      </c>
      <c r="M422" s="3">
        <f>K422-L422</f>
        <v>0.17915538004634346</v>
      </c>
      <c r="N422" s="1">
        <f>COUNTIF($M$394:$M$449,"&gt;"&amp;M422)+COUNTIF($M$394:M422,M422)</f>
        <v>50</v>
      </c>
      <c r="O422" s="1">
        <f>J422+L422+IF(N422&lt;=I422-SUM($J$394:$J$449)-SUM($L$394:$L$449),1,0)</f>
        <v>15</v>
      </c>
    </row>
    <row r="423" spans="1:15">
      <c r="A423" s="1" t="s">
        <v>51</v>
      </c>
      <c r="B423" s="1" t="s">
        <v>58</v>
      </c>
      <c r="C423" s="1" t="s">
        <v>50</v>
      </c>
      <c r="D423" s="1" t="s">
        <v>39</v>
      </c>
      <c r="E423" s="1" t="s">
        <v>40</v>
      </c>
      <c r="F423" s="1" t="s">
        <v>42</v>
      </c>
      <c r="G423" s="1">
        <v>569</v>
      </c>
      <c r="H423" s="1">
        <f>'1_Departamento_n'!C9</f>
        <v>61282</v>
      </c>
      <c r="I423" s="1">
        <f>'1_Departamento_n'!H9</f>
        <v>1293</v>
      </c>
      <c r="J423" s="1">
        <f>'0_Parametros'!B7</f>
        <v>10</v>
      </c>
      <c r="K423" s="3">
        <f>(I423-SUM($J$394:$J$449))*G423/H423</f>
        <v>6.80586469110016</v>
      </c>
      <c r="L423" s="1">
        <f>INT(K423)</f>
        <v>6</v>
      </c>
      <c r="M423" s="3">
        <f>K423-L423</f>
        <v>0.8058646911001599</v>
      </c>
      <c r="N423" s="1">
        <f>COUNTIF($M$394:$M$449,"&gt;"&amp;M423)+COUNTIF($M$394:M423,M423)</f>
        <v>10</v>
      </c>
      <c r="O423" s="1">
        <f>J423+L423+IF(N423&lt;=I423-SUM($J$394:$J$449)-SUM($L$394:$L$449),1,0)</f>
        <v>17</v>
      </c>
    </row>
    <row r="424" spans="1:15">
      <c r="A424" s="1" t="s">
        <v>51</v>
      </c>
      <c r="B424" s="1" t="s">
        <v>58</v>
      </c>
      <c r="C424" s="1" t="s">
        <v>50</v>
      </c>
      <c r="D424" s="1" t="s">
        <v>39</v>
      </c>
      <c r="E424" s="1" t="s">
        <v>43</v>
      </c>
      <c r="F424" s="1" t="s">
        <v>41</v>
      </c>
      <c r="G424" s="1">
        <v>927</v>
      </c>
      <c r="H424" s="1">
        <f>'1_Departamento_n'!C9</f>
        <v>61282</v>
      </c>
      <c r="I424" s="1">
        <f>'1_Departamento_n'!H9</f>
        <v>1293</v>
      </c>
      <c r="J424" s="1">
        <f>'0_Parametros'!B7</f>
        <v>10</v>
      </c>
      <c r="K424" s="3">
        <f>(I424-SUM($J$394:$J$449))*G424/H424</f>
        <v>11.087937730491825</v>
      </c>
      <c r="L424" s="1">
        <f>INT(K424)</f>
        <v>11</v>
      </c>
      <c r="M424" s="3">
        <f>K424-L424</f>
        <v>0.0879377304918254</v>
      </c>
      <c r="N424" s="1">
        <f>COUNTIF($M$394:$M$449,"&gt;"&amp;M424)+COUNTIF($M$394:M424,M424)</f>
        <v>53</v>
      </c>
      <c r="O424" s="1">
        <f>J424+L424+IF(N424&lt;=I424-SUM($J$394:$J$449)-SUM($L$394:$L$449),1,0)</f>
        <v>21</v>
      </c>
    </row>
    <row r="425" spans="1:15">
      <c r="A425" s="1" t="s">
        <v>51</v>
      </c>
      <c r="B425" s="1" t="s">
        <v>58</v>
      </c>
      <c r="C425" s="1" t="s">
        <v>50</v>
      </c>
      <c r="D425" s="1" t="s">
        <v>39</v>
      </c>
      <c r="E425" s="1" t="s">
        <v>43</v>
      </c>
      <c r="F425" s="1" t="s">
        <v>42</v>
      </c>
      <c r="G425" s="1">
        <v>453</v>
      </c>
      <c r="H425" s="1">
        <f>'1_Departamento_n'!C9</f>
        <v>61282</v>
      </c>
      <c r="I425" s="1">
        <f>'1_Departamento_n'!H9</f>
        <v>1293</v>
      </c>
      <c r="J425" s="1">
        <f>'0_Parametros'!B7</f>
        <v>10</v>
      </c>
      <c r="K425" s="3">
        <f>(I425-SUM($J$394:$J$449))*G425/H425</f>
        <v>5.418377337554257</v>
      </c>
      <c r="L425" s="1">
        <f>INT(K425)</f>
        <v>5</v>
      </c>
      <c r="M425" s="3">
        <f>K425-L425</f>
        <v>0.418377337554257</v>
      </c>
      <c r="N425" s="1">
        <f>COUNTIF($M$394:$M$449,"&gt;"&amp;M425)+COUNTIF($M$394:M425,M425)</f>
        <v>34</v>
      </c>
      <c r="O425" s="1">
        <f>J425+L425+IF(N425&lt;=I425-SUM($J$394:$J$449)-SUM($L$394:$L$449),1,0)</f>
        <v>15</v>
      </c>
    </row>
    <row r="426" spans="1:15">
      <c r="A426" s="1" t="s">
        <v>51</v>
      </c>
      <c r="B426" s="1" t="s">
        <v>58</v>
      </c>
      <c r="C426" s="1" t="s">
        <v>50</v>
      </c>
      <c r="D426" s="1" t="s">
        <v>39</v>
      </c>
      <c r="E426" s="1" t="s">
        <v>44</v>
      </c>
      <c r="F426" s="1" t="s">
        <v>41</v>
      </c>
      <c r="G426" s="1">
        <v>941</v>
      </c>
      <c r="H426" s="1">
        <f>'1_Departamento_n'!C9</f>
        <v>61282</v>
      </c>
      <c r="I426" s="1">
        <f>'1_Departamento_n'!H9</f>
        <v>1293</v>
      </c>
      <c r="J426" s="1">
        <f>'0_Parametros'!B7</f>
        <v>10</v>
      </c>
      <c r="K426" s="3">
        <f>(I426-SUM($J$394:$J$449))*G426/H426</f>
        <v>11.255393100747364</v>
      </c>
      <c r="L426" s="1">
        <f>INT(K426)</f>
        <v>11</v>
      </c>
      <c r="M426" s="3">
        <f>K426-L426</f>
        <v>0.255393100747364</v>
      </c>
      <c r="N426" s="1">
        <f>COUNTIF($M$394:$M$449,"&gt;"&amp;M426)+COUNTIF($M$394:M426,M426)</f>
        <v>46</v>
      </c>
      <c r="O426" s="1">
        <f>J426+L426+IF(N426&lt;=I426-SUM($J$394:$J$449)-SUM($L$394:$L$449),1,0)</f>
        <v>21</v>
      </c>
    </row>
    <row r="427" spans="1:15">
      <c r="A427" s="1" t="s">
        <v>51</v>
      </c>
      <c r="B427" s="1" t="s">
        <v>58</v>
      </c>
      <c r="C427" s="1" t="s">
        <v>50</v>
      </c>
      <c r="D427" s="1" t="s">
        <v>39</v>
      </c>
      <c r="E427" s="1" t="s">
        <v>44</v>
      </c>
      <c r="F427" s="1" t="s">
        <v>42</v>
      </c>
      <c r="G427" s="1">
        <v>381</v>
      </c>
      <c r="H427" s="1">
        <f>'1_Departamento_n'!C9</f>
        <v>61282</v>
      </c>
      <c r="I427" s="1">
        <f>'1_Departamento_n'!H9</f>
        <v>1293</v>
      </c>
      <c r="J427" s="1">
        <f>'0_Parametros'!B7</f>
        <v>10</v>
      </c>
      <c r="K427" s="3">
        <f>(I427-SUM($J$394:$J$449))*G427/H427</f>
        <v>4.5571782905257665</v>
      </c>
      <c r="L427" s="1">
        <f>INT(K427)</f>
        <v>4</v>
      </c>
      <c r="M427" s="3">
        <f>K427-L427</f>
        <v>0.5571782905257665</v>
      </c>
      <c r="N427" s="1">
        <f>COUNTIF($M$394:$M$449,"&gt;"&amp;M427)+COUNTIF($M$394:M427,M427)</f>
        <v>23</v>
      </c>
      <c r="O427" s="1">
        <f>J427+L427+IF(N427&lt;=I427-SUM($J$394:$J$449)-SUM($L$394:$L$449),1,0)</f>
        <v>15</v>
      </c>
    </row>
    <row r="428" spans="1:15">
      <c r="A428" s="1" t="s">
        <v>51</v>
      </c>
      <c r="B428" s="1" t="s">
        <v>58</v>
      </c>
      <c r="C428" s="1" t="s">
        <v>50</v>
      </c>
      <c r="D428" s="1" t="s">
        <v>39</v>
      </c>
      <c r="E428" s="1" t="s">
        <v>45</v>
      </c>
      <c r="F428" s="1" t="s">
        <v>41</v>
      </c>
      <c r="G428" s="1">
        <v>867</v>
      </c>
      <c r="H428" s="1">
        <f>'1_Departamento_n'!C9</f>
        <v>61282</v>
      </c>
      <c r="I428" s="1">
        <f>'1_Departamento_n'!H9</f>
        <v>1293</v>
      </c>
      <c r="J428" s="1">
        <f>'0_Parametros'!B7</f>
        <v>10</v>
      </c>
      <c r="K428" s="3">
        <f>(I428-SUM($J$394:$J$449))*G428/H428</f>
        <v>10.370271857968081</v>
      </c>
      <c r="L428" s="1">
        <f>INT(K428)</f>
        <v>10</v>
      </c>
      <c r="M428" s="3">
        <f>K428-L428</f>
        <v>0.37027185796808126</v>
      </c>
      <c r="N428" s="1">
        <f>COUNTIF($M$394:$M$449,"&gt;"&amp;M428)+COUNTIF($M$394:M428,M428)</f>
        <v>40</v>
      </c>
      <c r="O428" s="1">
        <f>J428+L428+IF(N428&lt;=I428-SUM($J$394:$J$449)-SUM($L$394:$L$449),1,0)</f>
        <v>20</v>
      </c>
    </row>
    <row r="429" spans="1:15">
      <c r="A429" s="1" t="s">
        <v>51</v>
      </c>
      <c r="B429" s="1" t="s">
        <v>58</v>
      </c>
      <c r="C429" s="1" t="s">
        <v>50</v>
      </c>
      <c r="D429" s="1" t="s">
        <v>39</v>
      </c>
      <c r="E429" s="1" t="s">
        <v>45</v>
      </c>
      <c r="F429" s="1" t="s">
        <v>42</v>
      </c>
      <c r="G429" s="1">
        <v>466</v>
      </c>
      <c r="H429" s="1">
        <f>'1_Departamento_n'!C9</f>
        <v>61282</v>
      </c>
      <c r="I429" s="1">
        <f>'1_Departamento_n'!H9</f>
        <v>1293</v>
      </c>
      <c r="J429" s="1">
        <f>'0_Parametros'!B7</f>
        <v>10</v>
      </c>
      <c r="K429" s="3">
        <f>(I429-SUM($J$394:$J$449))*G429/H429</f>
        <v>5.573871609934401</v>
      </c>
      <c r="L429" s="1">
        <f>INT(K429)</f>
        <v>5</v>
      </c>
      <c r="M429" s="3">
        <f>K429-L429</f>
        <v>0.5738716099344012</v>
      </c>
      <c r="N429" s="1">
        <f>COUNTIF($M$394:$M$449,"&gt;"&amp;M429)+COUNTIF($M$394:M429,M429)</f>
        <v>22</v>
      </c>
      <c r="O429" s="1">
        <f>J429+L429+IF(N429&lt;=I429-SUM($J$394:$J$449)-SUM($L$394:$L$449),1,0)</f>
        <v>16</v>
      </c>
    </row>
    <row r="430" spans="1:15">
      <c r="A430" s="1" t="s">
        <v>51</v>
      </c>
      <c r="B430" s="1" t="s">
        <v>58</v>
      </c>
      <c r="C430" s="1" t="s">
        <v>50</v>
      </c>
      <c r="D430" s="1" t="s">
        <v>39</v>
      </c>
      <c r="E430" s="1" t="s">
        <v>46</v>
      </c>
      <c r="F430" s="1" t="s">
        <v>41</v>
      </c>
      <c r="G430" s="1">
        <v>882</v>
      </c>
      <c r="H430" s="1">
        <f>'1_Departamento_n'!C9</f>
        <v>61282</v>
      </c>
      <c r="I430" s="1">
        <f>'1_Departamento_n'!H9</f>
        <v>1293</v>
      </c>
      <c r="J430" s="1">
        <f>'0_Parametros'!B7</f>
        <v>10</v>
      </c>
      <c r="K430" s="3">
        <f>(I430-SUM($J$394:$J$449))*G430/H430</f>
        <v>10.549688326099018</v>
      </c>
      <c r="L430" s="1">
        <f>INT(K430)</f>
        <v>10</v>
      </c>
      <c r="M430" s="3">
        <f>K430-L430</f>
        <v>0.5496883260990177</v>
      </c>
      <c r="N430" s="1">
        <f>COUNTIF($M$394:$M$449,"&gt;"&amp;M430)+COUNTIF($M$394:M430,M430)</f>
        <v>25</v>
      </c>
      <c r="O430" s="1">
        <f>J430+L430+IF(N430&lt;=I430-SUM($J$394:$J$449)-SUM($L$394:$L$449),1,0)</f>
        <v>21</v>
      </c>
    </row>
    <row r="431" spans="1:15">
      <c r="A431" s="1" t="s">
        <v>51</v>
      </c>
      <c r="B431" s="1" t="s">
        <v>58</v>
      </c>
      <c r="C431" s="1" t="s">
        <v>50</v>
      </c>
      <c r="D431" s="1" t="s">
        <v>39</v>
      </c>
      <c r="E431" s="1" t="s">
        <v>46</v>
      </c>
      <c r="F431" s="1" t="s">
        <v>42</v>
      </c>
      <c r="G431" s="1">
        <v>336</v>
      </c>
      <c r="H431" s="1">
        <f>'1_Departamento_n'!C9</f>
        <v>61282</v>
      </c>
      <c r="I431" s="1">
        <f>'1_Departamento_n'!H9</f>
        <v>1293</v>
      </c>
      <c r="J431" s="1">
        <f>'0_Parametros'!B7</f>
        <v>10</v>
      </c>
      <c r="K431" s="3">
        <f>(I431-SUM($J$394:$J$449))*G431/H431</f>
        <v>4.018928886132959</v>
      </c>
      <c r="L431" s="1">
        <f>INT(K431)</f>
        <v>4</v>
      </c>
      <c r="M431" s="3">
        <f>K431-L431</f>
        <v>0.018928886132958844</v>
      </c>
      <c r="N431" s="1">
        <f>COUNTIF($M$394:$M$449,"&gt;"&amp;M431)+COUNTIF($M$394:M431,M431)</f>
        <v>55</v>
      </c>
      <c r="O431" s="1">
        <f>J431+L431+IF(N431&lt;=I431-SUM($J$394:$J$449)-SUM($L$394:$L$449),1,0)</f>
        <v>14</v>
      </c>
    </row>
    <row r="432" spans="1:15">
      <c r="A432" s="1" t="s">
        <v>51</v>
      </c>
      <c r="B432" s="1" t="s">
        <v>58</v>
      </c>
      <c r="C432" s="1" t="s">
        <v>50</v>
      </c>
      <c r="D432" s="1" t="s">
        <v>39</v>
      </c>
      <c r="E432" s="1" t="s">
        <v>47</v>
      </c>
      <c r="F432" s="1" t="s">
        <v>41</v>
      </c>
      <c r="G432" s="1">
        <v>784</v>
      </c>
      <c r="H432" s="1">
        <f>'1_Departamento_n'!C9</f>
        <v>61282</v>
      </c>
      <c r="I432" s="1">
        <f>'1_Departamento_n'!H9</f>
        <v>1293</v>
      </c>
      <c r="J432" s="1">
        <f>'0_Parametros'!B7</f>
        <v>10</v>
      </c>
      <c r="K432" s="3">
        <f>(I432-SUM($J$394:$J$449))*G432/H432</f>
        <v>9.377500734310239</v>
      </c>
      <c r="L432" s="1">
        <f>INT(K432)</f>
        <v>9</v>
      </c>
      <c r="M432" s="3">
        <f>K432-L432</f>
        <v>0.3775007343102388</v>
      </c>
      <c r="N432" s="1">
        <f>COUNTIF($M$394:$M$449,"&gt;"&amp;M432)+COUNTIF($M$394:M432,M432)</f>
        <v>38</v>
      </c>
      <c r="O432" s="1">
        <f>J432+L432+IF(N432&lt;=I432-SUM($J$394:$J$449)-SUM($L$394:$L$449),1,0)</f>
        <v>19</v>
      </c>
    </row>
    <row r="433" spans="1:15">
      <c r="A433" s="1" t="s">
        <v>51</v>
      </c>
      <c r="B433" s="1" t="s">
        <v>58</v>
      </c>
      <c r="C433" s="1" t="s">
        <v>50</v>
      </c>
      <c r="D433" s="1" t="s">
        <v>39</v>
      </c>
      <c r="E433" s="1" t="s">
        <v>47</v>
      </c>
      <c r="F433" s="1" t="s">
        <v>42</v>
      </c>
      <c r="G433" s="1">
        <v>291</v>
      </c>
      <c r="H433" s="1">
        <f>'1_Departamento_n'!C9</f>
        <v>61282</v>
      </c>
      <c r="I433" s="1">
        <f>'1_Departamento_n'!H9</f>
        <v>1293</v>
      </c>
      <c r="J433" s="1">
        <f>'0_Parametros'!B7</f>
        <v>10</v>
      </c>
      <c r="K433" s="3">
        <f>(I433-SUM($J$394:$J$449))*G433/H433</f>
        <v>3.480679481740152</v>
      </c>
      <c r="L433" s="1">
        <f>INT(K433)</f>
        <v>3</v>
      </c>
      <c r="M433" s="3">
        <f>K433-L433</f>
        <v>0.48067948174015207</v>
      </c>
      <c r="N433" s="1">
        <f>COUNTIF($M$394:$M$449,"&gt;"&amp;M433)+COUNTIF($M$394:M433,M433)</f>
        <v>30</v>
      </c>
      <c r="O433" s="1">
        <f>J433+L433+IF(N433&lt;=I433-SUM($J$394:$J$449)-SUM($L$394:$L$449),1,0)</f>
        <v>13</v>
      </c>
    </row>
    <row r="434" spans="1:15">
      <c r="A434" s="1" t="s">
        <v>51</v>
      </c>
      <c r="B434" s="1" t="s">
        <v>58</v>
      </c>
      <c r="C434" s="1" t="s">
        <v>50</v>
      </c>
      <c r="D434" s="1" t="s">
        <v>39</v>
      </c>
      <c r="E434" s="1" t="s">
        <v>48</v>
      </c>
      <c r="F434" s="1" t="s">
        <v>41</v>
      </c>
      <c r="G434" s="1">
        <v>1641</v>
      </c>
      <c r="H434" s="1">
        <f>'1_Departamento_n'!C9</f>
        <v>61282</v>
      </c>
      <c r="I434" s="1">
        <f>'1_Departamento_n'!H9</f>
        <v>1293</v>
      </c>
      <c r="J434" s="1">
        <f>'0_Parametros'!B7</f>
        <v>10</v>
      </c>
      <c r="K434" s="3">
        <f>(I434-SUM($J$394:$J$449))*G434/H434</f>
        <v>19.628161613524362</v>
      </c>
      <c r="L434" s="1">
        <f>INT(K434)</f>
        <v>19</v>
      </c>
      <c r="M434" s="3">
        <f>K434-L434</f>
        <v>0.6281616135243624</v>
      </c>
      <c r="N434" s="1">
        <f>COUNTIF($M$394:$M$449,"&gt;"&amp;M434)+COUNTIF($M$394:M434,M434)</f>
        <v>17</v>
      </c>
      <c r="O434" s="1">
        <f>J434+L434+IF(N434&lt;=I434-SUM($J$394:$J$449)-SUM($L$394:$L$449),1,0)</f>
        <v>30</v>
      </c>
    </row>
    <row r="435" spans="1:15">
      <c r="A435" s="1" t="s">
        <v>51</v>
      </c>
      <c r="B435" s="1" t="s">
        <v>58</v>
      </c>
      <c r="C435" s="1" t="s">
        <v>50</v>
      </c>
      <c r="D435" s="1" t="s">
        <v>39</v>
      </c>
      <c r="E435" s="1" t="s">
        <v>48</v>
      </c>
      <c r="F435" s="1" t="s">
        <v>42</v>
      </c>
      <c r="G435" s="1">
        <v>411</v>
      </c>
      <c r="H435" s="1">
        <f>'1_Departamento_n'!C9</f>
        <v>61282</v>
      </c>
      <c r="I435" s="1">
        <f>'1_Departamento_n'!H9</f>
        <v>1293</v>
      </c>
      <c r="J435" s="1">
        <f>'0_Parametros'!B7</f>
        <v>10</v>
      </c>
      <c r="K435" s="3">
        <f>(I435-SUM($J$394:$J$449))*G435/H435</f>
        <v>4.916011226787638</v>
      </c>
      <c r="L435" s="1">
        <f>INT(K435)</f>
        <v>4</v>
      </c>
      <c r="M435" s="3">
        <f>K435-L435</f>
        <v>0.9160112267876377</v>
      </c>
      <c r="N435" s="1">
        <f>COUNTIF($M$394:$M$449,"&gt;"&amp;M435)+COUNTIF($M$394:M435,M435)</f>
        <v>3</v>
      </c>
      <c r="O435" s="1">
        <f>J435+L435+IF(N435&lt;=I435-SUM($J$394:$J$449)-SUM($L$394:$L$449),1,0)</f>
        <v>15</v>
      </c>
    </row>
    <row r="436" spans="1:15">
      <c r="A436" s="1" t="s">
        <v>51</v>
      </c>
      <c r="B436" s="1" t="s">
        <v>58</v>
      </c>
      <c r="C436" s="1" t="s">
        <v>50</v>
      </c>
      <c r="D436" s="1" t="s">
        <v>49</v>
      </c>
      <c r="E436" s="1" t="s">
        <v>40</v>
      </c>
      <c r="F436" s="1" t="s">
        <v>41</v>
      </c>
      <c r="G436" s="1">
        <v>455</v>
      </c>
      <c r="H436" s="1">
        <f>'1_Departamento_n'!C9</f>
        <v>61282</v>
      </c>
      <c r="I436" s="1">
        <f>'1_Departamento_n'!H9</f>
        <v>1293</v>
      </c>
      <c r="J436" s="1">
        <f>'0_Parametros'!B7</f>
        <v>10</v>
      </c>
      <c r="K436" s="3">
        <f>(I436-SUM($J$394:$J$449))*G436/H436</f>
        <v>5.442299533305049</v>
      </c>
      <c r="L436" s="1">
        <f>INT(K436)</f>
        <v>5</v>
      </c>
      <c r="M436" s="3">
        <f>K436-L436</f>
        <v>0.44229953330504923</v>
      </c>
      <c r="N436" s="1">
        <f>COUNTIF($M$394:$M$449,"&gt;"&amp;M436)+COUNTIF($M$394:M436,M436)</f>
        <v>33</v>
      </c>
      <c r="O436" s="1">
        <f>J436+L436+IF(N436&lt;=I436-SUM($J$394:$J$449)-SUM($L$394:$L$449),1,0)</f>
        <v>15</v>
      </c>
    </row>
    <row r="437" spans="1:15">
      <c r="A437" s="1" t="s">
        <v>51</v>
      </c>
      <c r="B437" s="1" t="s">
        <v>58</v>
      </c>
      <c r="C437" s="1" t="s">
        <v>50</v>
      </c>
      <c r="D437" s="1" t="s">
        <v>49</v>
      </c>
      <c r="E437" s="1" t="s">
        <v>40</v>
      </c>
      <c r="F437" s="1" t="s">
        <v>42</v>
      </c>
      <c r="G437" s="1">
        <v>573</v>
      </c>
      <c r="H437" s="1">
        <f>'1_Departamento_n'!C9</f>
        <v>61282</v>
      </c>
      <c r="I437" s="1">
        <f>'1_Departamento_n'!H9</f>
        <v>1293</v>
      </c>
      <c r="J437" s="1">
        <f>'0_Parametros'!B7</f>
        <v>10</v>
      </c>
      <c r="K437" s="3">
        <f>(I437-SUM($J$394:$J$449))*G437/H437</f>
        <v>6.853709082601743</v>
      </c>
      <c r="L437" s="1">
        <f>INT(K437)</f>
        <v>6</v>
      </c>
      <c r="M437" s="3">
        <f>K437-L437</f>
        <v>0.8537090826017426</v>
      </c>
      <c r="N437" s="1">
        <f>COUNTIF($M$394:$M$449,"&gt;"&amp;M437)+COUNTIF($M$394:M437,M437)</f>
        <v>7</v>
      </c>
      <c r="O437" s="1">
        <f>J437+L437+IF(N437&lt;=I437-SUM($J$394:$J$449)-SUM($L$394:$L$449),1,0)</f>
        <v>17</v>
      </c>
    </row>
    <row r="438" spans="1:15">
      <c r="A438" s="1" t="s">
        <v>51</v>
      </c>
      <c r="B438" s="1" t="s">
        <v>58</v>
      </c>
      <c r="C438" s="1" t="s">
        <v>50</v>
      </c>
      <c r="D438" s="1" t="s">
        <v>49</v>
      </c>
      <c r="E438" s="1" t="s">
        <v>43</v>
      </c>
      <c r="F438" s="1" t="s">
        <v>41</v>
      </c>
      <c r="G438" s="1">
        <v>986</v>
      </c>
      <c r="H438" s="1">
        <f>'1_Departamento_n'!C9</f>
        <v>61282</v>
      </c>
      <c r="I438" s="1">
        <f>'1_Departamento_n'!H9</f>
        <v>1293</v>
      </c>
      <c r="J438" s="1">
        <f>'0_Parametros'!B7</f>
        <v>10</v>
      </c>
      <c r="K438" s="3">
        <f>(I438-SUM($J$394:$J$449))*G438/H438</f>
        <v>11.793642505140172</v>
      </c>
      <c r="L438" s="1">
        <f>INT(K438)</f>
        <v>11</v>
      </c>
      <c r="M438" s="3">
        <f>K438-L438</f>
        <v>0.7936425051401717</v>
      </c>
      <c r="N438" s="1">
        <f>COUNTIF($M$394:$M$449,"&gt;"&amp;M438)+COUNTIF($M$394:M438,M438)</f>
        <v>11</v>
      </c>
      <c r="O438" s="1">
        <f>J438+L438+IF(N438&lt;=I438-SUM($J$394:$J$449)-SUM($L$394:$L$449),1,0)</f>
        <v>22</v>
      </c>
    </row>
    <row r="439" spans="1:15">
      <c r="A439" s="1" t="s">
        <v>51</v>
      </c>
      <c r="B439" s="1" t="s">
        <v>58</v>
      </c>
      <c r="C439" s="1" t="s">
        <v>50</v>
      </c>
      <c r="D439" s="1" t="s">
        <v>49</v>
      </c>
      <c r="E439" s="1" t="s">
        <v>43</v>
      </c>
      <c r="F439" s="1" t="s">
        <v>42</v>
      </c>
      <c r="G439" s="1">
        <v>436</v>
      </c>
      <c r="H439" s="1">
        <f>'1_Departamento_n'!C9</f>
        <v>61282</v>
      </c>
      <c r="I439" s="1">
        <f>'1_Departamento_n'!H9</f>
        <v>1293</v>
      </c>
      <c r="J439" s="1">
        <f>'0_Parametros'!B7</f>
        <v>10</v>
      </c>
      <c r="K439" s="3">
        <f>(I439-SUM($J$394:$J$449))*G439/H439</f>
        <v>5.21503867367253</v>
      </c>
      <c r="L439" s="1">
        <f>INT(K439)</f>
        <v>5</v>
      </c>
      <c r="M439" s="3">
        <f>K439-L439</f>
        <v>0.21503867367253005</v>
      </c>
      <c r="N439" s="1">
        <f>COUNTIF($M$394:$M$449,"&gt;"&amp;M439)+COUNTIF($M$394:M439,M439)</f>
        <v>48</v>
      </c>
      <c r="O439" s="1">
        <f>J439+L439+IF(N439&lt;=I439-SUM($J$394:$J$449)-SUM($L$394:$L$449),1,0)</f>
        <v>15</v>
      </c>
    </row>
    <row r="440" spans="1:15">
      <c r="A440" s="1" t="s">
        <v>51</v>
      </c>
      <c r="B440" s="1" t="s">
        <v>58</v>
      </c>
      <c r="C440" s="1" t="s">
        <v>50</v>
      </c>
      <c r="D440" s="1" t="s">
        <v>49</v>
      </c>
      <c r="E440" s="1" t="s">
        <v>44</v>
      </c>
      <c r="F440" s="1" t="s">
        <v>41</v>
      </c>
      <c r="G440" s="1">
        <v>1197</v>
      </c>
      <c r="H440" s="1">
        <f>'1_Departamento_n'!C9</f>
        <v>61282</v>
      </c>
      <c r="I440" s="1">
        <f>'1_Departamento_n'!H9</f>
        <v>1293</v>
      </c>
      <c r="J440" s="1">
        <f>'0_Parametros'!B7</f>
        <v>10</v>
      </c>
      <c r="K440" s="3">
        <f>(I440-SUM($J$394:$J$449))*G440/H440</f>
        <v>14.317434156848666</v>
      </c>
      <c r="L440" s="1">
        <f>INT(K440)</f>
        <v>14</v>
      </c>
      <c r="M440" s="3">
        <f>K440-L440</f>
        <v>0.31743415684866605</v>
      </c>
      <c r="N440" s="1">
        <f>COUNTIF($M$394:$M$449,"&gt;"&amp;M440)+COUNTIF($M$394:M440,M440)</f>
        <v>42</v>
      </c>
      <c r="O440" s="1">
        <f>J440+L440+IF(N440&lt;=I440-SUM($J$394:$J$449)-SUM($L$394:$L$449),1,0)</f>
        <v>24</v>
      </c>
    </row>
    <row r="441" spans="1:15">
      <c r="A441" s="1" t="s">
        <v>51</v>
      </c>
      <c r="B441" s="1" t="s">
        <v>58</v>
      </c>
      <c r="C441" s="1" t="s">
        <v>50</v>
      </c>
      <c r="D441" s="1" t="s">
        <v>49</v>
      </c>
      <c r="E441" s="1" t="s">
        <v>44</v>
      </c>
      <c r="F441" s="1" t="s">
        <v>42</v>
      </c>
      <c r="G441" s="1">
        <v>464</v>
      </c>
      <c r="H441" s="1">
        <f>'1_Departamento_n'!C9</f>
        <v>61282</v>
      </c>
      <c r="I441" s="1">
        <f>'1_Departamento_n'!H9</f>
        <v>1293</v>
      </c>
      <c r="J441" s="1">
        <f>'0_Parametros'!B7</f>
        <v>10</v>
      </c>
      <c r="K441" s="3">
        <f>(I441-SUM($J$394:$J$449))*G441/H441</f>
        <v>5.54994941418361</v>
      </c>
      <c r="L441" s="1">
        <f>INT(K441)</f>
        <v>5</v>
      </c>
      <c r="M441" s="3">
        <f>K441-L441</f>
        <v>0.5499494141836099</v>
      </c>
      <c r="N441" s="1">
        <f>COUNTIF($M$394:$M$449,"&gt;"&amp;M441)+COUNTIF($M$394:M441,M441)</f>
        <v>24</v>
      </c>
      <c r="O441" s="1">
        <f>J441+L441+IF(N441&lt;=I441-SUM($J$394:$J$449)-SUM($L$394:$L$449),1,0)</f>
        <v>16</v>
      </c>
    </row>
    <row r="442" spans="1:15">
      <c r="A442" s="1" t="s">
        <v>51</v>
      </c>
      <c r="B442" s="1" t="s">
        <v>58</v>
      </c>
      <c r="C442" s="1" t="s">
        <v>50</v>
      </c>
      <c r="D442" s="1" t="s">
        <v>49</v>
      </c>
      <c r="E442" s="1" t="s">
        <v>45</v>
      </c>
      <c r="F442" s="1" t="s">
        <v>41</v>
      </c>
      <c r="G442" s="1">
        <v>1105</v>
      </c>
      <c r="H442" s="1">
        <f>'1_Departamento_n'!C9</f>
        <v>61282</v>
      </c>
      <c r="I442" s="1">
        <f>'1_Departamento_n'!H9</f>
        <v>1293</v>
      </c>
      <c r="J442" s="1">
        <f>'0_Parametros'!B7</f>
        <v>10</v>
      </c>
      <c r="K442" s="3">
        <f>(I442-SUM($J$394:$J$449))*G442/H442</f>
        <v>13.217013152312262</v>
      </c>
      <c r="L442" s="1">
        <f>INT(K442)</f>
        <v>13</v>
      </c>
      <c r="M442" s="3">
        <f>K442-L442</f>
        <v>0.21701315231226204</v>
      </c>
      <c r="N442" s="1">
        <f>COUNTIF($M$394:$M$449,"&gt;"&amp;M442)+COUNTIF($M$394:M442,M442)</f>
        <v>47</v>
      </c>
      <c r="O442" s="1">
        <f>J442+L442+IF(N442&lt;=I442-SUM($J$394:$J$449)-SUM($L$394:$L$449),1,0)</f>
        <v>23</v>
      </c>
    </row>
    <row r="443" spans="1:15">
      <c r="A443" s="1" t="s">
        <v>51</v>
      </c>
      <c r="B443" s="1" t="s">
        <v>58</v>
      </c>
      <c r="C443" s="1" t="s">
        <v>50</v>
      </c>
      <c r="D443" s="1" t="s">
        <v>49</v>
      </c>
      <c r="E443" s="1" t="s">
        <v>45</v>
      </c>
      <c r="F443" s="1" t="s">
        <v>42</v>
      </c>
      <c r="G443" s="1">
        <v>666</v>
      </c>
      <c r="H443" s="1">
        <f>'1_Departamento_n'!C9</f>
        <v>61282</v>
      </c>
      <c r="I443" s="1">
        <f>'1_Departamento_n'!H9</f>
        <v>1293</v>
      </c>
      <c r="J443" s="1">
        <f>'0_Parametros'!B7</f>
        <v>10</v>
      </c>
      <c r="K443" s="3">
        <f>(I443-SUM($J$394:$J$449))*G443/H443</f>
        <v>7.966091185013544</v>
      </c>
      <c r="L443" s="1">
        <f>INT(K443)</f>
        <v>7</v>
      </c>
      <c r="M443" s="3">
        <f>K443-L443</f>
        <v>0.9660911850135436</v>
      </c>
      <c r="N443" s="1">
        <f>COUNTIF($M$394:$M$449,"&gt;"&amp;M443)+COUNTIF($M$394:M443,M443)</f>
        <v>2</v>
      </c>
      <c r="O443" s="1">
        <f>J443+L443+IF(N443&lt;=I443-SUM($J$394:$J$449)-SUM($L$394:$L$449),1,0)</f>
        <v>18</v>
      </c>
    </row>
    <row r="444" spans="1:15">
      <c r="A444" s="1" t="s">
        <v>51</v>
      </c>
      <c r="B444" s="1" t="s">
        <v>58</v>
      </c>
      <c r="C444" s="1" t="s">
        <v>50</v>
      </c>
      <c r="D444" s="1" t="s">
        <v>49</v>
      </c>
      <c r="E444" s="1" t="s">
        <v>46</v>
      </c>
      <c r="F444" s="1" t="s">
        <v>41</v>
      </c>
      <c r="G444" s="1">
        <v>982</v>
      </c>
      <c r="H444" s="1">
        <f>'1_Departamento_n'!C9</f>
        <v>61282</v>
      </c>
      <c r="I444" s="1">
        <f>'1_Departamento_n'!H9</f>
        <v>1293</v>
      </c>
      <c r="J444" s="1">
        <f>'0_Parametros'!B7</f>
        <v>10</v>
      </c>
      <c r="K444" s="3">
        <f>(I444-SUM($J$394:$J$449))*G444/H444</f>
        <v>11.745798113638589</v>
      </c>
      <c r="L444" s="1">
        <f>INT(K444)</f>
        <v>11</v>
      </c>
      <c r="M444" s="3">
        <f>K444-L444</f>
        <v>0.7457981136385889</v>
      </c>
      <c r="N444" s="1">
        <f>COUNTIF($M$394:$M$449,"&gt;"&amp;M444)+COUNTIF($M$394:M444,M444)</f>
        <v>12</v>
      </c>
      <c r="O444" s="1">
        <f>J444+L444+IF(N444&lt;=I444-SUM($J$394:$J$449)-SUM($L$394:$L$449),1,0)</f>
        <v>22</v>
      </c>
    </row>
    <row r="445" spans="1:15">
      <c r="A445" s="1" t="s">
        <v>51</v>
      </c>
      <c r="B445" s="1" t="s">
        <v>58</v>
      </c>
      <c r="C445" s="1" t="s">
        <v>50</v>
      </c>
      <c r="D445" s="1" t="s">
        <v>49</v>
      </c>
      <c r="E445" s="1" t="s">
        <v>46</v>
      </c>
      <c r="F445" s="1" t="s">
        <v>42</v>
      </c>
      <c r="G445" s="1">
        <v>423</v>
      </c>
      <c r="H445" s="1">
        <f>'1_Departamento_n'!C9</f>
        <v>61282</v>
      </c>
      <c r="I445" s="1">
        <f>'1_Departamento_n'!H9</f>
        <v>1293</v>
      </c>
      <c r="J445" s="1">
        <f>'0_Parametros'!B7</f>
        <v>10</v>
      </c>
      <c r="K445" s="3">
        <f>(I445-SUM($J$394:$J$449))*G445/H445</f>
        <v>5.059544401292386</v>
      </c>
      <c r="L445" s="1">
        <f>INT(K445)</f>
        <v>5</v>
      </c>
      <c r="M445" s="3">
        <f>K445-L445</f>
        <v>0.05954440129238581</v>
      </c>
      <c r="N445" s="1">
        <f>COUNTIF($M$394:$M$449,"&gt;"&amp;M445)+COUNTIF($M$394:M445,M445)</f>
        <v>54</v>
      </c>
      <c r="O445" s="1">
        <f>J445+L445+IF(N445&lt;=I445-SUM($J$394:$J$449)-SUM($L$394:$L$449),1,0)</f>
        <v>15</v>
      </c>
    </row>
    <row r="446" spans="1:15">
      <c r="A446" s="1" t="s">
        <v>51</v>
      </c>
      <c r="B446" s="1" t="s">
        <v>58</v>
      </c>
      <c r="C446" s="1" t="s">
        <v>50</v>
      </c>
      <c r="D446" s="1" t="s">
        <v>49</v>
      </c>
      <c r="E446" s="1" t="s">
        <v>47</v>
      </c>
      <c r="F446" s="1" t="s">
        <v>41</v>
      </c>
      <c r="G446" s="1">
        <v>892</v>
      </c>
      <c r="H446" s="1">
        <f>'1_Departamento_n'!C9</f>
        <v>61282</v>
      </c>
      <c r="I446" s="1">
        <f>'1_Departamento_n'!H9</f>
        <v>1293</v>
      </c>
      <c r="J446" s="1">
        <f>'0_Parametros'!B7</f>
        <v>10</v>
      </c>
      <c r="K446" s="3">
        <f>(I446-SUM($J$394:$J$449))*G446/H446</f>
        <v>10.669299304852975</v>
      </c>
      <c r="L446" s="1">
        <f>INT(K446)</f>
        <v>10</v>
      </c>
      <c r="M446" s="3">
        <f>K446-L446</f>
        <v>0.6692993048529754</v>
      </c>
      <c r="N446" s="1">
        <f>COUNTIF($M$394:$M$449,"&gt;"&amp;M446)+COUNTIF($M$394:M446,M446)</f>
        <v>14</v>
      </c>
      <c r="O446" s="1">
        <f>J446+L446+IF(N446&lt;=I446-SUM($J$394:$J$449)-SUM($L$394:$L$449),1,0)</f>
        <v>21</v>
      </c>
    </row>
    <row r="447" spans="1:15">
      <c r="A447" s="1" t="s">
        <v>51</v>
      </c>
      <c r="B447" s="1" t="s">
        <v>58</v>
      </c>
      <c r="C447" s="1" t="s">
        <v>50</v>
      </c>
      <c r="D447" s="1" t="s">
        <v>49</v>
      </c>
      <c r="E447" s="1" t="s">
        <v>47</v>
      </c>
      <c r="F447" s="1" t="s">
        <v>42</v>
      </c>
      <c r="G447" s="1">
        <v>326</v>
      </c>
      <c r="H447" s="1">
        <f>'1_Departamento_n'!C9</f>
        <v>61282</v>
      </c>
      <c r="I447" s="1">
        <f>'1_Departamento_n'!H9</f>
        <v>1293</v>
      </c>
      <c r="J447" s="1">
        <f>'0_Parametros'!B7</f>
        <v>10</v>
      </c>
      <c r="K447" s="3">
        <f>(I447-SUM($J$394:$J$449))*G447/H447</f>
        <v>3.899317907379002</v>
      </c>
      <c r="L447" s="1">
        <f>INT(K447)</f>
        <v>3</v>
      </c>
      <c r="M447" s="3">
        <f>K447-L447</f>
        <v>0.8993179073790021</v>
      </c>
      <c r="N447" s="1">
        <f>COUNTIF($M$394:$M$449,"&gt;"&amp;M447)+COUNTIF($M$394:M447,M447)</f>
        <v>4</v>
      </c>
      <c r="O447" s="1">
        <f>J447+L447+IF(N447&lt;=I447-SUM($J$394:$J$449)-SUM($L$394:$L$449),1,0)</f>
        <v>14</v>
      </c>
    </row>
    <row r="448" spans="1:15">
      <c r="A448" s="1" t="s">
        <v>51</v>
      </c>
      <c r="B448" s="1" t="s">
        <v>58</v>
      </c>
      <c r="C448" s="1" t="s">
        <v>50</v>
      </c>
      <c r="D448" s="1" t="s">
        <v>49</v>
      </c>
      <c r="E448" s="1" t="s">
        <v>48</v>
      </c>
      <c r="F448" s="1" t="s">
        <v>41</v>
      </c>
      <c r="G448" s="1">
        <v>1538</v>
      </c>
      <c r="H448" s="1">
        <f>'1_Departamento_n'!C9</f>
        <v>61282</v>
      </c>
      <c r="I448" s="1">
        <f>'1_Departamento_n'!H9</f>
        <v>1293</v>
      </c>
      <c r="J448" s="1">
        <f>'0_Parametros'!B7</f>
        <v>10</v>
      </c>
      <c r="K448" s="3">
        <f>(I448-SUM($J$394:$J$449))*G448/H448</f>
        <v>18.396168532358605</v>
      </c>
      <c r="L448" s="1">
        <f>INT(K448)</f>
        <v>18</v>
      </c>
      <c r="M448" s="3">
        <f>K448-L448</f>
        <v>0.3961685323586046</v>
      </c>
      <c r="N448" s="1">
        <f>COUNTIF($M$394:$M$449,"&gt;"&amp;M448)+COUNTIF($M$394:M448,M448)</f>
        <v>35</v>
      </c>
      <c r="O448" s="1">
        <f>J448+L448+IF(N448&lt;=I448-SUM($J$394:$J$449)-SUM($L$394:$L$449),1,0)</f>
        <v>28</v>
      </c>
    </row>
    <row r="449" spans="1:15">
      <c r="A449" s="1" t="s">
        <v>51</v>
      </c>
      <c r="B449" s="1" t="s">
        <v>58</v>
      </c>
      <c r="C449" s="1" t="s">
        <v>50</v>
      </c>
      <c r="D449" s="1" t="s">
        <v>49</v>
      </c>
      <c r="E449" s="1" t="s">
        <v>48</v>
      </c>
      <c r="F449" s="1" t="s">
        <v>42</v>
      </c>
      <c r="G449" s="1">
        <v>470</v>
      </c>
      <c r="H449" s="1">
        <f>'1_Departamento_n'!C9</f>
        <v>61282</v>
      </c>
      <c r="I449" s="1">
        <f>'1_Departamento_n'!H9</f>
        <v>1293</v>
      </c>
      <c r="J449" s="1">
        <f>'0_Parametros'!B7</f>
        <v>10</v>
      </c>
      <c r="K449" s="3">
        <f>(I449-SUM($J$394:$J$449))*G449/H449</f>
        <v>5.621716001435985</v>
      </c>
      <c r="L449" s="1">
        <f>INT(K449)</f>
        <v>5</v>
      </c>
      <c r="M449" s="3">
        <f>K449-L449</f>
        <v>0.6217160014359848</v>
      </c>
      <c r="N449" s="1">
        <f>COUNTIF($M$394:$M$449,"&gt;"&amp;M449)+COUNTIF($M$394:M449,M449)</f>
        <v>18</v>
      </c>
      <c r="O449" s="1">
        <f>J449+L449+IF(N449&lt;=I449-SUM($J$394:$J$449)-SUM($L$394:$L$449),1,0)</f>
        <v>16</v>
      </c>
    </row>
    <row r="450" spans="1:15">
      <c r="A450" s="1" t="s">
        <v>51</v>
      </c>
      <c r="B450" s="1" t="s">
        <v>59</v>
      </c>
      <c r="C450" s="1" t="s">
        <v>38</v>
      </c>
      <c r="D450" s="1" t="s">
        <v>39</v>
      </c>
      <c r="E450" s="1" t="s">
        <v>40</v>
      </c>
      <c r="F450" s="1" t="s">
        <v>41</v>
      </c>
      <c r="G450" s="1">
        <v>8143</v>
      </c>
      <c r="H450" s="1">
        <f>'1_Departamento_n'!C10</f>
        <v>944956</v>
      </c>
      <c r="I450" s="1">
        <f>'1_Departamento_n'!H10</f>
        <v>1312</v>
      </c>
      <c r="J450" s="1">
        <f>'0_Parametros'!B7</f>
        <v>10</v>
      </c>
      <c r="K450" s="3">
        <f>(I450-SUM($J$450:$J$505))*G450/H450</f>
        <v>6.480234000313242</v>
      </c>
      <c r="L450" s="1">
        <f>INT(K450)</f>
        <v>6</v>
      </c>
      <c r="M450" s="3">
        <f>K450-L450</f>
        <v>0.48023400031324215</v>
      </c>
      <c r="N450" s="1">
        <f>COUNTIF($M$450:$M$505,"&gt;"&amp;M450)+COUNTIF($M$450:M450,M450)</f>
        <v>27</v>
      </c>
      <c r="O450" s="1">
        <f>J450+L450+IF(N450&lt;=I450-SUM($J$450:$J$505)-SUM($L$450:$L$505),1,0)</f>
        <v>16</v>
      </c>
    </row>
    <row r="451" spans="1:15">
      <c r="A451" s="1" t="s">
        <v>51</v>
      </c>
      <c r="B451" s="1" t="s">
        <v>59</v>
      </c>
      <c r="C451" s="1" t="s">
        <v>38</v>
      </c>
      <c r="D451" s="1" t="s">
        <v>39</v>
      </c>
      <c r="E451" s="1" t="s">
        <v>40</v>
      </c>
      <c r="F451" s="1" t="s">
        <v>42</v>
      </c>
      <c r="G451" s="1">
        <v>1367</v>
      </c>
      <c r="H451" s="1">
        <f>'1_Departamento_n'!C10</f>
        <v>944956</v>
      </c>
      <c r="I451" s="1">
        <f>'1_Departamento_n'!H10</f>
        <v>1312</v>
      </c>
      <c r="J451" s="1">
        <f>'0_Parametros'!B7</f>
        <v>10</v>
      </c>
      <c r="K451" s="3">
        <f>(I451-SUM($J$450:$J$505))*G451/H451</f>
        <v>1.0878644085015599</v>
      </c>
      <c r="L451" s="1">
        <f>INT(K451)</f>
        <v>1</v>
      </c>
      <c r="M451" s="3">
        <f>K451-L451</f>
        <v>0.08786440850155985</v>
      </c>
      <c r="N451" s="1">
        <f>COUNTIF($M$450:$M$505,"&gt;"&amp;M451)+COUNTIF($M$450:M451,M451)</f>
        <v>51</v>
      </c>
      <c r="O451" s="1">
        <f>J451+L451+IF(N451&lt;=I451-SUM($J$450:$J$505)-SUM($L$450:$L$505),1,0)</f>
        <v>11</v>
      </c>
    </row>
    <row r="452" spans="1:15">
      <c r="A452" s="1" t="s">
        <v>51</v>
      </c>
      <c r="B452" s="1" t="s">
        <v>59</v>
      </c>
      <c r="C452" s="1" t="s">
        <v>38</v>
      </c>
      <c r="D452" s="1" t="s">
        <v>39</v>
      </c>
      <c r="E452" s="1" t="s">
        <v>43</v>
      </c>
      <c r="F452" s="1" t="s">
        <v>41</v>
      </c>
      <c r="G452" s="1">
        <v>9576</v>
      </c>
      <c r="H452" s="1">
        <f>'1_Departamento_n'!C10</f>
        <v>944956</v>
      </c>
      <c r="I452" s="1">
        <f>'1_Departamento_n'!H10</f>
        <v>1312</v>
      </c>
      <c r="J452" s="1">
        <f>'0_Parametros'!B7</f>
        <v>10</v>
      </c>
      <c r="K452" s="3">
        <f>(I452-SUM($J$450:$J$505))*G452/H452</f>
        <v>7.6206214892545265</v>
      </c>
      <c r="L452" s="1">
        <f>INT(K452)</f>
        <v>7</v>
      </c>
      <c r="M452" s="3">
        <f>K452-L452</f>
        <v>0.6206214892545265</v>
      </c>
      <c r="N452" s="1">
        <f>COUNTIF($M$450:$M$505,"&gt;"&amp;M452)+COUNTIF($M$450:M452,M452)</f>
        <v>18</v>
      </c>
      <c r="O452" s="1">
        <f>J452+L452+IF(N452&lt;=I452-SUM($J$450:$J$505)-SUM($L$450:$L$505),1,0)</f>
        <v>18</v>
      </c>
    </row>
    <row r="453" spans="1:15">
      <c r="A453" s="1" t="s">
        <v>51</v>
      </c>
      <c r="B453" s="1" t="s">
        <v>59</v>
      </c>
      <c r="C453" s="1" t="s">
        <v>38</v>
      </c>
      <c r="D453" s="1" t="s">
        <v>39</v>
      </c>
      <c r="E453" s="1" t="s">
        <v>43</v>
      </c>
      <c r="F453" s="1" t="s">
        <v>42</v>
      </c>
      <c r="G453" s="1">
        <v>1124</v>
      </c>
      <c r="H453" s="1">
        <f>'1_Departamento_n'!C10</f>
        <v>944956</v>
      </c>
      <c r="I453" s="1">
        <f>'1_Departamento_n'!H10</f>
        <v>1312</v>
      </c>
      <c r="J453" s="1">
        <f>'0_Parametros'!B7</f>
        <v>10</v>
      </c>
      <c r="K453" s="3">
        <f>(I453-SUM($J$450:$J$505))*G453/H453</f>
        <v>0.8944839759734845</v>
      </c>
      <c r="L453" s="1">
        <f>INT(K453)</f>
        <v>0</v>
      </c>
      <c r="M453" s="3">
        <f>K453-L453</f>
        <v>0.8944839759734845</v>
      </c>
      <c r="N453" s="1">
        <f>COUNTIF($M$450:$M$505,"&gt;"&amp;M453)+COUNTIF($M$450:M453,M453)</f>
        <v>2</v>
      </c>
      <c r="O453" s="1">
        <f>J453+L453+IF(N453&lt;=I453-SUM($J$450:$J$505)-SUM($L$450:$L$505),1,0)</f>
        <v>11</v>
      </c>
    </row>
    <row r="454" spans="1:15">
      <c r="A454" s="1" t="s">
        <v>51</v>
      </c>
      <c r="B454" s="1" t="s">
        <v>59</v>
      </c>
      <c r="C454" s="1" t="s">
        <v>38</v>
      </c>
      <c r="D454" s="1" t="s">
        <v>39</v>
      </c>
      <c r="E454" s="1" t="s">
        <v>44</v>
      </c>
      <c r="F454" s="1" t="s">
        <v>41</v>
      </c>
      <c r="G454" s="1">
        <v>10303</v>
      </c>
      <c r="H454" s="1">
        <f>'1_Departamento_n'!C10</f>
        <v>944956</v>
      </c>
      <c r="I454" s="1">
        <f>'1_Departamento_n'!H10</f>
        <v>1312</v>
      </c>
      <c r="J454" s="1">
        <f>'0_Parametros'!B7</f>
        <v>10</v>
      </c>
      <c r="K454" s="3">
        <f>(I454-SUM($J$450:$J$505))*G454/H454</f>
        <v>8.19917117834058</v>
      </c>
      <c r="L454" s="1">
        <f>INT(K454)</f>
        <v>8</v>
      </c>
      <c r="M454" s="3">
        <f>K454-L454</f>
        <v>0.1991711783405794</v>
      </c>
      <c r="N454" s="1">
        <f>COUNTIF($M$450:$M$505,"&gt;"&amp;M454)+COUNTIF($M$450:M454,M454)</f>
        <v>37</v>
      </c>
      <c r="O454" s="1">
        <f>J454+L454+IF(N454&lt;=I454-SUM($J$450:$J$505)-SUM($L$450:$L$505),1,0)</f>
        <v>18</v>
      </c>
    </row>
    <row r="455" spans="1:15">
      <c r="A455" s="1" t="s">
        <v>51</v>
      </c>
      <c r="B455" s="1" t="s">
        <v>59</v>
      </c>
      <c r="C455" s="1" t="s">
        <v>38</v>
      </c>
      <c r="D455" s="1" t="s">
        <v>39</v>
      </c>
      <c r="E455" s="1" t="s">
        <v>44</v>
      </c>
      <c r="F455" s="1" t="s">
        <v>42</v>
      </c>
      <c r="G455" s="1">
        <v>2206</v>
      </c>
      <c r="H455" s="1">
        <f>'1_Departamento_n'!C10</f>
        <v>944956</v>
      </c>
      <c r="I455" s="1">
        <f>'1_Departamento_n'!H10</f>
        <v>1312</v>
      </c>
      <c r="J455" s="1">
        <f>'0_Parametros'!B7</f>
        <v>10</v>
      </c>
      <c r="K455" s="3">
        <f>(I455-SUM($J$450:$J$505))*G455/H455</f>
        <v>1.7555441734853263</v>
      </c>
      <c r="L455" s="1">
        <f>INT(K455)</f>
        <v>1</v>
      </c>
      <c r="M455" s="3">
        <f>K455-L455</f>
        <v>0.7555441734853263</v>
      </c>
      <c r="N455" s="1">
        <f>COUNTIF($M$450:$M$505,"&gt;"&amp;M455)+COUNTIF($M$450:M455,M455)</f>
        <v>9</v>
      </c>
      <c r="O455" s="1">
        <f>J455+L455+IF(N455&lt;=I455-SUM($J$450:$J$505)-SUM($L$450:$L$505),1,0)</f>
        <v>12</v>
      </c>
    </row>
    <row r="456" spans="1:15">
      <c r="A456" s="1" t="s">
        <v>51</v>
      </c>
      <c r="B456" s="1" t="s">
        <v>59</v>
      </c>
      <c r="C456" s="1" t="s">
        <v>38</v>
      </c>
      <c r="D456" s="1" t="s">
        <v>39</v>
      </c>
      <c r="E456" s="1" t="s">
        <v>45</v>
      </c>
      <c r="F456" s="1" t="s">
        <v>41</v>
      </c>
      <c r="G456" s="1">
        <v>13676</v>
      </c>
      <c r="H456" s="1">
        <f>'1_Departamento_n'!C10</f>
        <v>944956</v>
      </c>
      <c r="I456" s="1">
        <f>'1_Departamento_n'!H10</f>
        <v>1312</v>
      </c>
      <c r="J456" s="1">
        <f>'0_Parametros'!B7</f>
        <v>10</v>
      </c>
      <c r="K456" s="3">
        <f>(I456-SUM($J$450:$J$505))*G456/H456</f>
        <v>10.88341891051012</v>
      </c>
      <c r="L456" s="1">
        <f>INT(K456)</f>
        <v>10</v>
      </c>
      <c r="M456" s="3">
        <f>K456-L456</f>
        <v>0.8834189105101196</v>
      </c>
      <c r="N456" s="1">
        <f>COUNTIF($M$450:$M$505,"&gt;"&amp;M456)+COUNTIF($M$450:M456,M456)</f>
        <v>4</v>
      </c>
      <c r="O456" s="1">
        <f>J456+L456+IF(N456&lt;=I456-SUM($J$450:$J$505)-SUM($L$450:$L$505),1,0)</f>
        <v>21</v>
      </c>
    </row>
    <row r="457" spans="1:15">
      <c r="A457" s="1" t="s">
        <v>51</v>
      </c>
      <c r="B457" s="1" t="s">
        <v>59</v>
      </c>
      <c r="C457" s="1" t="s">
        <v>38</v>
      </c>
      <c r="D457" s="1" t="s">
        <v>39</v>
      </c>
      <c r="E457" s="1" t="s">
        <v>45</v>
      </c>
      <c r="F457" s="1" t="s">
        <v>42</v>
      </c>
      <c r="G457" s="1">
        <v>1955</v>
      </c>
      <c r="H457" s="1">
        <f>'1_Departamento_n'!C10</f>
        <v>944956</v>
      </c>
      <c r="I457" s="1">
        <f>'1_Departamento_n'!H10</f>
        <v>1312</v>
      </c>
      <c r="J457" s="1">
        <f>'0_Parametros'!B7</f>
        <v>10</v>
      </c>
      <c r="K457" s="3">
        <f>(I457-SUM($J$450:$J$505))*G457/H457</f>
        <v>1.555797306964557</v>
      </c>
      <c r="L457" s="1">
        <f>INT(K457)</f>
        <v>1</v>
      </c>
      <c r="M457" s="3">
        <f>K457-L457</f>
        <v>0.555797306964557</v>
      </c>
      <c r="N457" s="1">
        <f>COUNTIF($M$450:$M$505,"&gt;"&amp;M457)+COUNTIF($M$450:M457,M457)</f>
        <v>20</v>
      </c>
      <c r="O457" s="1">
        <f>J457+L457+IF(N457&lt;=I457-SUM($J$450:$J$505)-SUM($L$450:$L$505),1,0)</f>
        <v>12</v>
      </c>
    </row>
    <row r="458" spans="1:15">
      <c r="A458" s="1" t="s">
        <v>51</v>
      </c>
      <c r="B458" s="1" t="s">
        <v>59</v>
      </c>
      <c r="C458" s="1" t="s">
        <v>38</v>
      </c>
      <c r="D458" s="1" t="s">
        <v>39</v>
      </c>
      <c r="E458" s="1" t="s">
        <v>46</v>
      </c>
      <c r="F458" s="1" t="s">
        <v>41</v>
      </c>
      <c r="G458" s="1">
        <v>11801</v>
      </c>
      <c r="H458" s="1">
        <f>'1_Departamento_n'!C10</f>
        <v>944956</v>
      </c>
      <c r="I458" s="1">
        <f>'1_Departamento_n'!H10</f>
        <v>1312</v>
      </c>
      <c r="J458" s="1">
        <f>'0_Parametros'!B7</f>
        <v>10</v>
      </c>
      <c r="K458" s="3">
        <f>(I458-SUM($J$450:$J$505))*G458/H458</f>
        <v>9.3912859434725</v>
      </c>
      <c r="L458" s="1">
        <f>INT(K458)</f>
        <v>9</v>
      </c>
      <c r="M458" s="3">
        <f>K458-L458</f>
        <v>0.3912859434725</v>
      </c>
      <c r="N458" s="1">
        <f>COUNTIF($M$450:$M$505,"&gt;"&amp;M458)+COUNTIF($M$450:M458,M458)</f>
        <v>30</v>
      </c>
      <c r="O458" s="1">
        <f>J458+L458+IF(N458&lt;=I458-SUM($J$450:$J$505)-SUM($L$450:$L$505),1,0)</f>
        <v>19</v>
      </c>
    </row>
    <row r="459" spans="1:15">
      <c r="A459" s="1" t="s">
        <v>51</v>
      </c>
      <c r="B459" s="1" t="s">
        <v>59</v>
      </c>
      <c r="C459" s="1" t="s">
        <v>38</v>
      </c>
      <c r="D459" s="1" t="s">
        <v>39</v>
      </c>
      <c r="E459" s="1" t="s">
        <v>46</v>
      </c>
      <c r="F459" s="1" t="s">
        <v>42</v>
      </c>
      <c r="G459" s="1">
        <v>1275</v>
      </c>
      <c r="H459" s="1">
        <f>'1_Departamento_n'!C10</f>
        <v>944956</v>
      </c>
      <c r="I459" s="1">
        <f>'1_Departamento_n'!H10</f>
        <v>1312</v>
      </c>
      <c r="J459" s="1">
        <f>'0_Parametros'!B7</f>
        <v>10</v>
      </c>
      <c r="K459" s="3">
        <f>(I459-SUM($J$450:$J$505))*G459/H459</f>
        <v>1.0146504175855806</v>
      </c>
      <c r="L459" s="1">
        <f>INT(K459)</f>
        <v>1</v>
      </c>
      <c r="M459" s="3">
        <f>K459-L459</f>
        <v>0.01465041758558061</v>
      </c>
      <c r="N459" s="1">
        <f>COUNTIF($M$450:$M$505,"&gt;"&amp;M459)+COUNTIF($M$450:M459,M459)</f>
        <v>55</v>
      </c>
      <c r="O459" s="1">
        <f>J459+L459+IF(N459&lt;=I459-SUM($J$450:$J$505)-SUM($L$450:$L$505),1,0)</f>
        <v>11</v>
      </c>
    </row>
    <row r="460" spans="1:15">
      <c r="A460" s="1" t="s">
        <v>51</v>
      </c>
      <c r="B460" s="1" t="s">
        <v>59</v>
      </c>
      <c r="C460" s="1" t="s">
        <v>38</v>
      </c>
      <c r="D460" s="1" t="s">
        <v>39</v>
      </c>
      <c r="E460" s="1" t="s">
        <v>47</v>
      </c>
      <c r="F460" s="1" t="s">
        <v>41</v>
      </c>
      <c r="G460" s="1">
        <v>7951</v>
      </c>
      <c r="H460" s="1">
        <f>'1_Departamento_n'!C10</f>
        <v>944956</v>
      </c>
      <c r="I460" s="1">
        <f>'1_Departamento_n'!H10</f>
        <v>1312</v>
      </c>
      <c r="J460" s="1">
        <f>'0_Parametros'!B7</f>
        <v>10</v>
      </c>
      <c r="K460" s="3">
        <f>(I460-SUM($J$450:$J$505))*G460/H460</f>
        <v>6.32743958448859</v>
      </c>
      <c r="L460" s="1">
        <f>INT(K460)</f>
        <v>6</v>
      </c>
      <c r="M460" s="3">
        <f>K460-L460</f>
        <v>0.32743958448859</v>
      </c>
      <c r="N460" s="1">
        <f>COUNTIF($M$450:$M$505,"&gt;"&amp;M460)+COUNTIF($M$450:M460,M460)</f>
        <v>33</v>
      </c>
      <c r="O460" s="1">
        <f>J460+L460+IF(N460&lt;=I460-SUM($J$450:$J$505)-SUM($L$450:$L$505),1,0)</f>
        <v>16</v>
      </c>
    </row>
    <row r="461" spans="1:15">
      <c r="A461" s="1" t="s">
        <v>51</v>
      </c>
      <c r="B461" s="1" t="s">
        <v>59</v>
      </c>
      <c r="C461" s="1" t="s">
        <v>38</v>
      </c>
      <c r="D461" s="1" t="s">
        <v>39</v>
      </c>
      <c r="E461" s="1" t="s">
        <v>47</v>
      </c>
      <c r="F461" s="1" t="s">
        <v>42</v>
      </c>
      <c r="G461" s="1">
        <v>647</v>
      </c>
      <c r="H461" s="1">
        <f>'1_Departamento_n'!C10</f>
        <v>944956</v>
      </c>
      <c r="I461" s="1">
        <f>'1_Departamento_n'!H10</f>
        <v>1312</v>
      </c>
      <c r="J461" s="1">
        <f>'0_Parametros'!B7</f>
        <v>10</v>
      </c>
      <c r="K461" s="3">
        <f>(I461-SUM($J$450:$J$505))*G461/H461</f>
        <v>0.5148853491591143</v>
      </c>
      <c r="L461" s="1">
        <f>INT(K461)</f>
        <v>0</v>
      </c>
      <c r="M461" s="3">
        <f>K461-L461</f>
        <v>0.5148853491591143</v>
      </c>
      <c r="N461" s="1">
        <f>COUNTIF($M$450:$M$505,"&gt;"&amp;M461)+COUNTIF($M$450:M461,M461)</f>
        <v>24</v>
      </c>
      <c r="O461" s="1">
        <f>J461+L461+IF(N461&lt;=I461-SUM($J$450:$J$505)-SUM($L$450:$L$505),1,0)</f>
        <v>11</v>
      </c>
    </row>
    <row r="462" spans="1:15">
      <c r="A462" s="1" t="s">
        <v>51</v>
      </c>
      <c r="B462" s="1" t="s">
        <v>59</v>
      </c>
      <c r="C462" s="1" t="s">
        <v>38</v>
      </c>
      <c r="D462" s="1" t="s">
        <v>39</v>
      </c>
      <c r="E462" s="1" t="s">
        <v>48</v>
      </c>
      <c r="F462" s="1" t="s">
        <v>41</v>
      </c>
      <c r="G462" s="1">
        <v>12431</v>
      </c>
      <c r="H462" s="1">
        <f>'1_Departamento_n'!C10</f>
        <v>944956</v>
      </c>
      <c r="I462" s="1">
        <f>'1_Departamento_n'!H10</f>
        <v>1312</v>
      </c>
      <c r="J462" s="1">
        <f>'0_Parametros'!B7</f>
        <v>10</v>
      </c>
      <c r="K462" s="3">
        <f>(I462-SUM($J$450:$J$505))*G462/H462</f>
        <v>9.89264262039714</v>
      </c>
      <c r="L462" s="1">
        <f>INT(K462)</f>
        <v>9</v>
      </c>
      <c r="M462" s="3">
        <f>K462-L462</f>
        <v>0.8926426203971403</v>
      </c>
      <c r="N462" s="1">
        <f>COUNTIF($M$450:$M$505,"&gt;"&amp;M462)+COUNTIF($M$450:M462,M462)</f>
        <v>3</v>
      </c>
      <c r="O462" s="1">
        <f>J462+L462+IF(N462&lt;=I462-SUM($J$450:$J$505)-SUM($L$450:$L$505),1,0)</f>
        <v>20</v>
      </c>
    </row>
    <row r="463" spans="1:15">
      <c r="A463" s="1" t="s">
        <v>51</v>
      </c>
      <c r="B463" s="1" t="s">
        <v>59</v>
      </c>
      <c r="C463" s="1" t="s">
        <v>38</v>
      </c>
      <c r="D463" s="1" t="s">
        <v>39</v>
      </c>
      <c r="E463" s="1" t="s">
        <v>48</v>
      </c>
      <c r="F463" s="1" t="s">
        <v>42</v>
      </c>
      <c r="G463" s="1">
        <v>506</v>
      </c>
      <c r="H463" s="1">
        <f>'1_Departamento_n'!C10</f>
        <v>944956</v>
      </c>
      <c r="I463" s="1">
        <f>'1_Departamento_n'!H10</f>
        <v>1312</v>
      </c>
      <c r="J463" s="1">
        <f>'0_Parametros'!B7</f>
        <v>10</v>
      </c>
      <c r="K463" s="3">
        <f>(I463-SUM($J$450:$J$505))*G463/H463</f>
        <v>0.40267695003788534</v>
      </c>
      <c r="L463" s="1">
        <f>INT(K463)</f>
        <v>0</v>
      </c>
      <c r="M463" s="3">
        <f>K463-L463</f>
        <v>0.40267695003788534</v>
      </c>
      <c r="N463" s="1">
        <f>COUNTIF($M$450:$M$505,"&gt;"&amp;M463)+COUNTIF($M$450:M463,M463)</f>
        <v>29</v>
      </c>
      <c r="O463" s="1">
        <f>J463+L463+IF(N463&lt;=I463-SUM($J$450:$J$505)-SUM($L$450:$L$505),1,0)</f>
        <v>10</v>
      </c>
    </row>
    <row r="464" spans="1:15">
      <c r="A464" s="1" t="s">
        <v>51</v>
      </c>
      <c r="B464" s="1" t="s">
        <v>59</v>
      </c>
      <c r="C464" s="1" t="s">
        <v>38</v>
      </c>
      <c r="D464" s="1" t="s">
        <v>49</v>
      </c>
      <c r="E464" s="1" t="s">
        <v>40</v>
      </c>
      <c r="F464" s="1" t="s">
        <v>41</v>
      </c>
      <c r="G464" s="1">
        <v>8418</v>
      </c>
      <c r="H464" s="1">
        <f>'1_Departamento_n'!C10</f>
        <v>944956</v>
      </c>
      <c r="I464" s="1">
        <f>'1_Departamento_n'!H10</f>
        <v>1312</v>
      </c>
      <c r="J464" s="1">
        <f>'0_Parametros'!B7</f>
        <v>10</v>
      </c>
      <c r="K464" s="3">
        <f>(I464-SUM($J$450:$J$505))*G464/H464</f>
        <v>6.699080168812093</v>
      </c>
      <c r="L464" s="1">
        <f>INT(K464)</f>
        <v>6</v>
      </c>
      <c r="M464" s="3">
        <f>K464-L464</f>
        <v>0.6990801688120927</v>
      </c>
      <c r="N464" s="1">
        <f>COUNTIF($M$450:$M$505,"&gt;"&amp;M464)+COUNTIF($M$450:M464,M464)</f>
        <v>13</v>
      </c>
      <c r="O464" s="1">
        <f>J464+L464+IF(N464&lt;=I464-SUM($J$450:$J$505)-SUM($L$450:$L$505),1,0)</f>
        <v>17</v>
      </c>
    </row>
    <row r="465" spans="1:15">
      <c r="A465" s="1" t="s">
        <v>51</v>
      </c>
      <c r="B465" s="1" t="s">
        <v>59</v>
      </c>
      <c r="C465" s="1" t="s">
        <v>38</v>
      </c>
      <c r="D465" s="1" t="s">
        <v>49</v>
      </c>
      <c r="E465" s="1" t="s">
        <v>40</v>
      </c>
      <c r="F465" s="1" t="s">
        <v>42</v>
      </c>
      <c r="G465" s="1">
        <v>1484</v>
      </c>
      <c r="H465" s="1">
        <f>'1_Departamento_n'!C10</f>
        <v>944956</v>
      </c>
      <c r="I465" s="1">
        <f>'1_Departamento_n'!H10</f>
        <v>1312</v>
      </c>
      <c r="J465" s="1">
        <f>'0_Parametros'!B7</f>
        <v>10</v>
      </c>
      <c r="K465" s="3">
        <f>(I465-SUM($J$450:$J$505))*G465/H465</f>
        <v>1.1809735056447073</v>
      </c>
      <c r="L465" s="1">
        <f>INT(K465)</f>
        <v>1</v>
      </c>
      <c r="M465" s="3">
        <f>K465-L465</f>
        <v>0.18097350564470727</v>
      </c>
      <c r="N465" s="1">
        <f>COUNTIF($M$450:$M$505,"&gt;"&amp;M465)+COUNTIF($M$450:M465,M465)</f>
        <v>39</v>
      </c>
      <c r="O465" s="1">
        <f>J465+L465+IF(N465&lt;=I465-SUM($J$450:$J$505)-SUM($L$450:$L$505),1,0)</f>
        <v>11</v>
      </c>
    </row>
    <row r="466" spans="1:15">
      <c r="A466" s="1" t="s">
        <v>51</v>
      </c>
      <c r="B466" s="1" t="s">
        <v>59</v>
      </c>
      <c r="C466" s="1" t="s">
        <v>38</v>
      </c>
      <c r="D466" s="1" t="s">
        <v>49</v>
      </c>
      <c r="E466" s="1" t="s">
        <v>43</v>
      </c>
      <c r="F466" s="1" t="s">
        <v>41</v>
      </c>
      <c r="G466" s="1">
        <v>10201</v>
      </c>
      <c r="H466" s="1">
        <f>'1_Departamento_n'!C10</f>
        <v>944956</v>
      </c>
      <c r="I466" s="1">
        <f>'1_Departamento_n'!H10</f>
        <v>1312</v>
      </c>
      <c r="J466" s="1">
        <f>'0_Parametros'!B7</f>
        <v>10</v>
      </c>
      <c r="K466" s="3">
        <f>(I466-SUM($J$450:$J$505))*G466/H466</f>
        <v>8.117999144933732</v>
      </c>
      <c r="L466" s="1">
        <f>INT(K466)</f>
        <v>8</v>
      </c>
      <c r="M466" s="3">
        <f>K466-L466</f>
        <v>0.11799914493373187</v>
      </c>
      <c r="N466" s="1">
        <f>COUNTIF($M$450:$M$505,"&gt;"&amp;M466)+COUNTIF($M$450:M466,M466)</f>
        <v>46</v>
      </c>
      <c r="O466" s="1">
        <f>J466+L466+IF(N466&lt;=I466-SUM($J$450:$J$505)-SUM($L$450:$L$505),1,0)</f>
        <v>18</v>
      </c>
    </row>
    <row r="467" spans="1:15">
      <c r="A467" s="1" t="s">
        <v>51</v>
      </c>
      <c r="B467" s="1" t="s">
        <v>59</v>
      </c>
      <c r="C467" s="1" t="s">
        <v>38</v>
      </c>
      <c r="D467" s="1" t="s">
        <v>49</v>
      </c>
      <c r="E467" s="1" t="s">
        <v>43</v>
      </c>
      <c r="F467" s="1" t="s">
        <v>42</v>
      </c>
      <c r="G467" s="1">
        <v>1292</v>
      </c>
      <c r="H467" s="1">
        <f>'1_Departamento_n'!C10</f>
        <v>944956</v>
      </c>
      <c r="I467" s="1">
        <f>'1_Departamento_n'!H10</f>
        <v>1312</v>
      </c>
      <c r="J467" s="1">
        <f>'0_Parametros'!B7</f>
        <v>10</v>
      </c>
      <c r="K467" s="3">
        <f>(I467-SUM($J$450:$J$505))*G467/H467</f>
        <v>1.0281790898200551</v>
      </c>
      <c r="L467" s="1">
        <f>INT(K467)</f>
        <v>1</v>
      </c>
      <c r="M467" s="3">
        <f>K467-L467</f>
        <v>0.028179089820055125</v>
      </c>
      <c r="N467" s="1">
        <f>COUNTIF($M$450:$M$505,"&gt;"&amp;M467)+COUNTIF($M$450:M467,M467)</f>
        <v>54</v>
      </c>
      <c r="O467" s="1">
        <f>J467+L467+IF(N467&lt;=I467-SUM($J$450:$J$505)-SUM($L$450:$L$505),1,0)</f>
        <v>11</v>
      </c>
    </row>
    <row r="468" spans="1:15">
      <c r="A468" s="1" t="s">
        <v>51</v>
      </c>
      <c r="B468" s="1" t="s">
        <v>59</v>
      </c>
      <c r="C468" s="1" t="s">
        <v>38</v>
      </c>
      <c r="D468" s="1" t="s">
        <v>49</v>
      </c>
      <c r="E468" s="1" t="s">
        <v>44</v>
      </c>
      <c r="F468" s="1" t="s">
        <v>41</v>
      </c>
      <c r="G468" s="1">
        <v>11314</v>
      </c>
      <c r="H468" s="1">
        <f>'1_Departamento_n'!C10</f>
        <v>944956</v>
      </c>
      <c r="I468" s="1">
        <f>'1_Departamento_n'!H10</f>
        <v>1312</v>
      </c>
      <c r="J468" s="1">
        <f>'0_Parametros'!B7</f>
        <v>10</v>
      </c>
      <c r="K468" s="3">
        <f>(I468-SUM($J$450:$J$505))*G468/H468</f>
        <v>9.003729274167263</v>
      </c>
      <c r="L468" s="1">
        <f>INT(K468)</f>
        <v>9</v>
      </c>
      <c r="M468" s="3">
        <f>K468-L468</f>
        <v>0.003729274167262986</v>
      </c>
      <c r="N468" s="1">
        <f>COUNTIF($M$450:$M$505,"&gt;"&amp;M468)+COUNTIF($M$450:M468,M468)</f>
        <v>56</v>
      </c>
      <c r="O468" s="1">
        <f>J468+L468+IF(N468&lt;=I468-SUM($J$450:$J$505)-SUM($L$450:$L$505),1,0)</f>
        <v>19</v>
      </c>
    </row>
    <row r="469" spans="1:15">
      <c r="A469" s="1" t="s">
        <v>51</v>
      </c>
      <c r="B469" s="1" t="s">
        <v>59</v>
      </c>
      <c r="C469" s="1" t="s">
        <v>38</v>
      </c>
      <c r="D469" s="1" t="s">
        <v>49</v>
      </c>
      <c r="E469" s="1" t="s">
        <v>44</v>
      </c>
      <c r="F469" s="1" t="s">
        <v>42</v>
      </c>
      <c r="G469" s="1">
        <v>2847</v>
      </c>
      <c r="H469" s="1">
        <f>'1_Departamento_n'!C10</f>
        <v>944956</v>
      </c>
      <c r="I469" s="1">
        <f>'1_Departamento_n'!H10</f>
        <v>1312</v>
      </c>
      <c r="J469" s="1">
        <f>'0_Parametros'!B7</f>
        <v>10</v>
      </c>
      <c r="K469" s="3">
        <f>(I469-SUM($J$450:$J$505))*G469/H469</f>
        <v>2.26565469714992</v>
      </c>
      <c r="L469" s="1">
        <f>INT(K469)</f>
        <v>2</v>
      </c>
      <c r="M469" s="3">
        <f>K469-L469</f>
        <v>0.26565469714992007</v>
      </c>
      <c r="N469" s="1">
        <f>COUNTIF($M$450:$M$505,"&gt;"&amp;M469)+COUNTIF($M$450:M469,M469)</f>
        <v>35</v>
      </c>
      <c r="O469" s="1">
        <f>J469+L469+IF(N469&lt;=I469-SUM($J$450:$J$505)-SUM($L$450:$L$505),1,0)</f>
        <v>12</v>
      </c>
    </row>
    <row r="470" spans="1:15">
      <c r="A470" s="1" t="s">
        <v>51</v>
      </c>
      <c r="B470" s="1" t="s">
        <v>59</v>
      </c>
      <c r="C470" s="1" t="s">
        <v>38</v>
      </c>
      <c r="D470" s="1" t="s">
        <v>49</v>
      </c>
      <c r="E470" s="1" t="s">
        <v>45</v>
      </c>
      <c r="F470" s="1" t="s">
        <v>41</v>
      </c>
      <c r="G470" s="1">
        <v>13367</v>
      </c>
      <c r="H470" s="1">
        <f>'1_Departamento_n'!C10</f>
        <v>944956</v>
      </c>
      <c r="I470" s="1">
        <f>'1_Departamento_n'!H10</f>
        <v>1312</v>
      </c>
      <c r="J470" s="1">
        <f>'0_Parametros'!B7</f>
        <v>10</v>
      </c>
      <c r="K470" s="3">
        <f>(I470-SUM($J$450:$J$505))*G470/H470</f>
        <v>10.63751539754232</v>
      </c>
      <c r="L470" s="1">
        <f>INT(K470)</f>
        <v>10</v>
      </c>
      <c r="M470" s="3">
        <f>K470-L470</f>
        <v>0.6375153975423196</v>
      </c>
      <c r="N470" s="1">
        <f>COUNTIF($M$450:$M$505,"&gt;"&amp;M470)+COUNTIF($M$450:M470,M470)</f>
        <v>16</v>
      </c>
      <c r="O470" s="1">
        <f>J470+L470+IF(N470&lt;=I470-SUM($J$450:$J$505)-SUM($L$450:$L$505),1,0)</f>
        <v>21</v>
      </c>
    </row>
    <row r="471" spans="1:15">
      <c r="A471" s="1" t="s">
        <v>51</v>
      </c>
      <c r="B471" s="1" t="s">
        <v>59</v>
      </c>
      <c r="C471" s="1" t="s">
        <v>38</v>
      </c>
      <c r="D471" s="1" t="s">
        <v>49</v>
      </c>
      <c r="E471" s="1" t="s">
        <v>45</v>
      </c>
      <c r="F471" s="1" t="s">
        <v>42</v>
      </c>
      <c r="G471" s="1">
        <v>2692</v>
      </c>
      <c r="H471" s="1">
        <f>'1_Departamento_n'!C10</f>
        <v>944956</v>
      </c>
      <c r="I471" s="1">
        <f>'1_Departamento_n'!H10</f>
        <v>1312</v>
      </c>
      <c r="J471" s="1">
        <f>'0_Parametros'!B7</f>
        <v>10</v>
      </c>
      <c r="K471" s="3">
        <f>(I471-SUM($J$450:$J$505))*G471/H471</f>
        <v>2.142305038541477</v>
      </c>
      <c r="L471" s="1">
        <f>INT(K471)</f>
        <v>2</v>
      </c>
      <c r="M471" s="3">
        <f>K471-L471</f>
        <v>0.14230503854147702</v>
      </c>
      <c r="N471" s="1">
        <f>COUNTIF($M$450:$M$505,"&gt;"&amp;M471)+COUNTIF($M$450:M471,M471)</f>
        <v>44</v>
      </c>
      <c r="O471" s="1">
        <f>J471+L471+IF(N471&lt;=I471-SUM($J$450:$J$505)-SUM($L$450:$L$505),1,0)</f>
        <v>12</v>
      </c>
    </row>
    <row r="472" spans="1:15">
      <c r="A472" s="1" t="s">
        <v>51</v>
      </c>
      <c r="B472" s="1" t="s">
        <v>59</v>
      </c>
      <c r="C472" s="1" t="s">
        <v>38</v>
      </c>
      <c r="D472" s="1" t="s">
        <v>49</v>
      </c>
      <c r="E472" s="1" t="s">
        <v>46</v>
      </c>
      <c r="F472" s="1" t="s">
        <v>41</v>
      </c>
      <c r="G472" s="1">
        <v>11435</v>
      </c>
      <c r="H472" s="1">
        <f>'1_Departamento_n'!C10</f>
        <v>944956</v>
      </c>
      <c r="I472" s="1">
        <f>'1_Departamento_n'!H10</f>
        <v>1312</v>
      </c>
      <c r="J472" s="1">
        <f>'0_Parametros'!B7</f>
        <v>10</v>
      </c>
      <c r="K472" s="3">
        <f>(I472-SUM($J$450:$J$505))*G472/H472</f>
        <v>9.100021588306758</v>
      </c>
      <c r="L472" s="1">
        <f>INT(K472)</f>
        <v>9</v>
      </c>
      <c r="M472" s="3">
        <f>K472-L472</f>
        <v>0.10002158830675789</v>
      </c>
      <c r="N472" s="1">
        <f>COUNTIF($M$450:$M$505,"&gt;"&amp;M472)+COUNTIF($M$450:M472,M472)</f>
        <v>50</v>
      </c>
      <c r="O472" s="1">
        <f>J472+L472+IF(N472&lt;=I472-SUM($J$450:$J$505)-SUM($L$450:$L$505),1,0)</f>
        <v>19</v>
      </c>
    </row>
    <row r="473" spans="1:15">
      <c r="A473" s="1" t="s">
        <v>51</v>
      </c>
      <c r="B473" s="1" t="s">
        <v>59</v>
      </c>
      <c r="C473" s="1" t="s">
        <v>38</v>
      </c>
      <c r="D473" s="1" t="s">
        <v>49</v>
      </c>
      <c r="E473" s="1" t="s">
        <v>46</v>
      </c>
      <c r="F473" s="1" t="s">
        <v>42</v>
      </c>
      <c r="G473" s="1">
        <v>1647</v>
      </c>
      <c r="H473" s="1">
        <f>'1_Departamento_n'!C10</f>
        <v>944956</v>
      </c>
      <c r="I473" s="1">
        <f>'1_Departamento_n'!H10</f>
        <v>1312</v>
      </c>
      <c r="J473" s="1">
        <f>'0_Parametros'!B7</f>
        <v>10</v>
      </c>
      <c r="K473" s="3">
        <f>(I473-SUM($J$450:$J$505))*G473/H473</f>
        <v>1.3106895982458442</v>
      </c>
      <c r="L473" s="1">
        <f>INT(K473)</f>
        <v>1</v>
      </c>
      <c r="M473" s="3">
        <f>K473-L473</f>
        <v>0.3106895982458442</v>
      </c>
      <c r="N473" s="1">
        <f>COUNTIF($M$450:$M$505,"&gt;"&amp;M473)+COUNTIF($M$450:M473,M473)</f>
        <v>34</v>
      </c>
      <c r="O473" s="1">
        <f>J473+L473+IF(N473&lt;=I473-SUM($J$450:$J$505)-SUM($L$450:$L$505),1,0)</f>
        <v>11</v>
      </c>
    </row>
    <row r="474" spans="1:15">
      <c r="A474" s="1" t="s">
        <v>51</v>
      </c>
      <c r="B474" s="1" t="s">
        <v>59</v>
      </c>
      <c r="C474" s="1" t="s">
        <v>38</v>
      </c>
      <c r="D474" s="1" t="s">
        <v>49</v>
      </c>
      <c r="E474" s="1" t="s">
        <v>47</v>
      </c>
      <c r="F474" s="1" t="s">
        <v>41</v>
      </c>
      <c r="G474" s="1">
        <v>7493</v>
      </c>
      <c r="H474" s="1">
        <f>'1_Departamento_n'!C10</f>
        <v>944956</v>
      </c>
      <c r="I474" s="1">
        <f>'1_Departamento_n'!H10</f>
        <v>1312</v>
      </c>
      <c r="J474" s="1">
        <f>'0_Parametros'!B7</f>
        <v>10</v>
      </c>
      <c r="K474" s="3">
        <f>(I474-SUM($J$450:$J$505))*G474/H474</f>
        <v>5.9629612384068675</v>
      </c>
      <c r="L474" s="1">
        <f>INT(K474)</f>
        <v>5</v>
      </c>
      <c r="M474" s="3">
        <f>K474-L474</f>
        <v>0.9629612384068675</v>
      </c>
      <c r="N474" s="1">
        <f>COUNTIF($M$450:$M$505,"&gt;"&amp;M474)+COUNTIF($M$450:M474,M474)</f>
        <v>1</v>
      </c>
      <c r="O474" s="1">
        <f>J474+L474+IF(N474&lt;=I474-SUM($J$450:$J$505)-SUM($L$450:$L$505),1,0)</f>
        <v>16</v>
      </c>
    </row>
    <row r="475" spans="1:15">
      <c r="A475" s="1" t="s">
        <v>51</v>
      </c>
      <c r="B475" s="1" t="s">
        <v>59</v>
      </c>
      <c r="C475" s="1" t="s">
        <v>38</v>
      </c>
      <c r="D475" s="1" t="s">
        <v>49</v>
      </c>
      <c r="E475" s="1" t="s">
        <v>47</v>
      </c>
      <c r="F475" s="1" t="s">
        <v>42</v>
      </c>
      <c r="G475" s="1">
        <v>794</v>
      </c>
      <c r="H475" s="1">
        <f>'1_Departamento_n'!C10</f>
        <v>944956</v>
      </c>
      <c r="I475" s="1">
        <f>'1_Departamento_n'!H10</f>
        <v>1312</v>
      </c>
      <c r="J475" s="1">
        <f>'0_Parametros'!B7</f>
        <v>10</v>
      </c>
      <c r="K475" s="3">
        <f>(I475-SUM($J$450:$J$505))*G475/H475</f>
        <v>0.6318685737748636</v>
      </c>
      <c r="L475" s="1">
        <f>INT(K475)</f>
        <v>0</v>
      </c>
      <c r="M475" s="3">
        <f>K475-L475</f>
        <v>0.6318685737748636</v>
      </c>
      <c r="N475" s="1">
        <f>COUNTIF($M$450:$M$505,"&gt;"&amp;M475)+COUNTIF($M$450:M475,M475)</f>
        <v>17</v>
      </c>
      <c r="O475" s="1">
        <f>J475+L475+IF(N475&lt;=I475-SUM($J$450:$J$505)-SUM($L$450:$L$505),1,0)</f>
        <v>11</v>
      </c>
    </row>
    <row r="476" spans="1:15">
      <c r="A476" s="1" t="s">
        <v>51</v>
      </c>
      <c r="B476" s="1" t="s">
        <v>59</v>
      </c>
      <c r="C476" s="1" t="s">
        <v>38</v>
      </c>
      <c r="D476" s="1" t="s">
        <v>49</v>
      </c>
      <c r="E476" s="1" t="s">
        <v>48</v>
      </c>
      <c r="F476" s="1" t="s">
        <v>41</v>
      </c>
      <c r="G476" s="1">
        <v>10718</v>
      </c>
      <c r="H476" s="1">
        <f>'1_Departamento_n'!C10</f>
        <v>944956</v>
      </c>
      <c r="I476" s="1">
        <f>'1_Departamento_n'!H10</f>
        <v>1312</v>
      </c>
      <c r="J476" s="1">
        <f>'0_Parametros'!B7</f>
        <v>10</v>
      </c>
      <c r="K476" s="3">
        <f>(I476-SUM($J$450:$J$505))*G476/H476</f>
        <v>8.529429941711571</v>
      </c>
      <c r="L476" s="1">
        <f>INT(K476)</f>
        <v>8</v>
      </c>
      <c r="M476" s="3">
        <f>K476-L476</f>
        <v>0.5294299417115713</v>
      </c>
      <c r="N476" s="1">
        <f>COUNTIF($M$450:$M$505,"&gt;"&amp;M476)+COUNTIF($M$450:M476,M476)</f>
        <v>22</v>
      </c>
      <c r="O476" s="1">
        <f>J476+L476+IF(N476&lt;=I476-SUM($J$450:$J$505)-SUM($L$450:$L$505),1,0)</f>
        <v>19</v>
      </c>
    </row>
    <row r="477" spans="1:15">
      <c r="A477" s="1" t="s">
        <v>51</v>
      </c>
      <c r="B477" s="1" t="s">
        <v>59</v>
      </c>
      <c r="C477" s="1" t="s">
        <v>38</v>
      </c>
      <c r="D477" s="1" t="s">
        <v>49</v>
      </c>
      <c r="E477" s="1" t="s">
        <v>48</v>
      </c>
      <c r="F477" s="1" t="s">
        <v>42</v>
      </c>
      <c r="G477" s="1">
        <v>593</v>
      </c>
      <c r="H477" s="1">
        <f>'1_Departamento_n'!C10</f>
        <v>944956</v>
      </c>
      <c r="I477" s="1">
        <f>'1_Departamento_n'!H10</f>
        <v>1312</v>
      </c>
      <c r="J477" s="1">
        <f>'0_Parametros'!B7</f>
        <v>10</v>
      </c>
      <c r="K477" s="3">
        <f>(I477-SUM($J$450:$J$505))*G477/H477</f>
        <v>0.4719119197084309</v>
      </c>
      <c r="L477" s="1">
        <f>INT(K477)</f>
        <v>0</v>
      </c>
      <c r="M477" s="3">
        <f>K477-L477</f>
        <v>0.4719119197084309</v>
      </c>
      <c r="N477" s="1">
        <f>COUNTIF($M$450:$M$505,"&gt;"&amp;M477)+COUNTIF($M$450:M477,M477)</f>
        <v>28</v>
      </c>
      <c r="O477" s="1">
        <f>J477+L477+IF(N477&lt;=I477-SUM($J$450:$J$505)-SUM($L$450:$L$505),1,0)</f>
        <v>10</v>
      </c>
    </row>
    <row r="478" spans="1:15">
      <c r="A478" s="1" t="s">
        <v>51</v>
      </c>
      <c r="B478" s="1" t="s">
        <v>59</v>
      </c>
      <c r="C478" s="1" t="s">
        <v>50</v>
      </c>
      <c r="D478" s="1" t="s">
        <v>39</v>
      </c>
      <c r="E478" s="1" t="s">
        <v>40</v>
      </c>
      <c r="F478" s="1" t="s">
        <v>41</v>
      </c>
      <c r="G478" s="1">
        <v>30812</v>
      </c>
      <c r="H478" s="1">
        <f>'1_Departamento_n'!C10</f>
        <v>944956</v>
      </c>
      <c r="I478" s="1">
        <f>'1_Departamento_n'!H10</f>
        <v>1312</v>
      </c>
      <c r="J478" s="1">
        <f>'0_Parametros'!B7</f>
        <v>10</v>
      </c>
      <c r="K478" s="3">
        <f>(I478-SUM($J$450:$J$505))*G478/H478</f>
        <v>24.520320522860324</v>
      </c>
      <c r="L478" s="1">
        <f>INT(K478)</f>
        <v>24</v>
      </c>
      <c r="M478" s="3">
        <f>K478-L478</f>
        <v>0.5203205228603238</v>
      </c>
      <c r="N478" s="1">
        <f>COUNTIF($M$450:$M$505,"&gt;"&amp;M478)+COUNTIF($M$450:M478,M478)</f>
        <v>23</v>
      </c>
      <c r="O478" s="1">
        <f>J478+L478+IF(N478&lt;=I478-SUM($J$450:$J$505)-SUM($L$450:$L$505),1,0)</f>
        <v>35</v>
      </c>
    </row>
    <row r="479" spans="1:15">
      <c r="A479" s="1" t="s">
        <v>51</v>
      </c>
      <c r="B479" s="1" t="s">
        <v>59</v>
      </c>
      <c r="C479" s="1" t="s">
        <v>50</v>
      </c>
      <c r="D479" s="1" t="s">
        <v>39</v>
      </c>
      <c r="E479" s="1" t="s">
        <v>40</v>
      </c>
      <c r="F479" s="1" t="s">
        <v>42</v>
      </c>
      <c r="G479" s="1">
        <v>21548</v>
      </c>
      <c r="H479" s="1">
        <f>'1_Departamento_n'!C10</f>
        <v>944956</v>
      </c>
      <c r="I479" s="1">
        <f>'1_Departamento_n'!H10</f>
        <v>1312</v>
      </c>
      <c r="J479" s="1">
        <f>'0_Parametros'!B7</f>
        <v>10</v>
      </c>
      <c r="K479" s="3">
        <f>(I479-SUM($J$450:$J$505))*G479/H479</f>
        <v>17.147989959320856</v>
      </c>
      <c r="L479" s="1">
        <f>INT(K479)</f>
        <v>17</v>
      </c>
      <c r="M479" s="3">
        <f>K479-L479</f>
        <v>0.14798995932085646</v>
      </c>
      <c r="N479" s="1">
        <f>COUNTIF($M$450:$M$505,"&gt;"&amp;M479)+COUNTIF($M$450:M479,M479)</f>
        <v>42</v>
      </c>
      <c r="O479" s="1">
        <f>J479+L479+IF(N479&lt;=I479-SUM($J$450:$J$505)-SUM($L$450:$L$505),1,0)</f>
        <v>27</v>
      </c>
    </row>
    <row r="480" spans="1:15">
      <c r="A480" s="1" t="s">
        <v>51</v>
      </c>
      <c r="B480" s="1" t="s">
        <v>59</v>
      </c>
      <c r="C480" s="1" t="s">
        <v>50</v>
      </c>
      <c r="D480" s="1" t="s">
        <v>39</v>
      </c>
      <c r="E480" s="1" t="s">
        <v>43</v>
      </c>
      <c r="F480" s="1" t="s">
        <v>41</v>
      </c>
      <c r="G480" s="1">
        <v>42330</v>
      </c>
      <c r="H480" s="1">
        <f>'1_Departamento_n'!C10</f>
        <v>944956</v>
      </c>
      <c r="I480" s="1">
        <f>'1_Departamento_n'!H10</f>
        <v>1312</v>
      </c>
      <c r="J480" s="1">
        <f>'0_Parametros'!B7</f>
        <v>10</v>
      </c>
      <c r="K480" s="3">
        <f>(I480-SUM($J$450:$J$505))*G480/H480</f>
        <v>33.68639386384128</v>
      </c>
      <c r="L480" s="1">
        <f>INT(K480)</f>
        <v>33</v>
      </c>
      <c r="M480" s="3">
        <f>K480-L480</f>
        <v>0.6863938638412819</v>
      </c>
      <c r="N480" s="1">
        <f>COUNTIF($M$450:$M$505,"&gt;"&amp;M480)+COUNTIF($M$450:M480,M480)</f>
        <v>14</v>
      </c>
      <c r="O480" s="1">
        <f>J480+L480+IF(N480&lt;=I480-SUM($J$450:$J$505)-SUM($L$450:$L$505),1,0)</f>
        <v>44</v>
      </c>
    </row>
    <row r="481" spans="1:15">
      <c r="A481" s="1" t="s">
        <v>51</v>
      </c>
      <c r="B481" s="1" t="s">
        <v>59</v>
      </c>
      <c r="C481" s="1" t="s">
        <v>50</v>
      </c>
      <c r="D481" s="1" t="s">
        <v>39</v>
      </c>
      <c r="E481" s="1" t="s">
        <v>43</v>
      </c>
      <c r="F481" s="1" t="s">
        <v>42</v>
      </c>
      <c r="G481" s="1">
        <v>24943</v>
      </c>
      <c r="H481" s="1">
        <f>'1_Departamento_n'!C10</f>
        <v>944956</v>
      </c>
      <c r="I481" s="1">
        <f>'1_Departamento_n'!H10</f>
        <v>1312</v>
      </c>
      <c r="J481" s="1">
        <f>'0_Parametros'!B7</f>
        <v>10</v>
      </c>
      <c r="K481" s="3">
        <f>(I481-SUM($J$450:$J$505))*G481/H481</f>
        <v>19.849745384970305</v>
      </c>
      <c r="L481" s="1">
        <f>INT(K481)</f>
        <v>19</v>
      </c>
      <c r="M481" s="3">
        <f>K481-L481</f>
        <v>0.8497453849703049</v>
      </c>
      <c r="N481" s="1">
        <f>COUNTIF($M$450:$M$505,"&gt;"&amp;M481)+COUNTIF($M$450:M481,M481)</f>
        <v>6</v>
      </c>
      <c r="O481" s="1">
        <f>J481+L481+IF(N481&lt;=I481-SUM($J$450:$J$505)-SUM($L$450:$L$505),1,0)</f>
        <v>30</v>
      </c>
    </row>
    <row r="482" spans="1:15">
      <c r="A482" s="1" t="s">
        <v>51</v>
      </c>
      <c r="B482" s="1" t="s">
        <v>59</v>
      </c>
      <c r="C482" s="1" t="s">
        <v>50</v>
      </c>
      <c r="D482" s="1" t="s">
        <v>39</v>
      </c>
      <c r="E482" s="1" t="s">
        <v>44</v>
      </c>
      <c r="F482" s="1" t="s">
        <v>41</v>
      </c>
      <c r="G482" s="1">
        <v>37790</v>
      </c>
      <c r="H482" s="1">
        <f>'1_Departamento_n'!C10</f>
        <v>944956</v>
      </c>
      <c r="I482" s="1">
        <f>'1_Departamento_n'!H10</f>
        <v>1312</v>
      </c>
      <c r="J482" s="1">
        <f>'0_Parametros'!B7</f>
        <v>10</v>
      </c>
      <c r="K482" s="3">
        <f>(I482-SUM($J$450:$J$505))*G482/H482</f>
        <v>30.073442572987524</v>
      </c>
      <c r="L482" s="1">
        <f>INT(K482)</f>
        <v>30</v>
      </c>
      <c r="M482" s="3">
        <f>K482-L482</f>
        <v>0.0734425729875241</v>
      </c>
      <c r="N482" s="1">
        <f>COUNTIF($M$450:$M$505,"&gt;"&amp;M482)+COUNTIF($M$450:M482,M482)</f>
        <v>52</v>
      </c>
      <c r="O482" s="1">
        <f>J482+L482+IF(N482&lt;=I482-SUM($J$450:$J$505)-SUM($L$450:$L$505),1,0)</f>
        <v>40</v>
      </c>
    </row>
    <row r="483" spans="1:15">
      <c r="A483" s="1" t="s">
        <v>51</v>
      </c>
      <c r="B483" s="1" t="s">
        <v>59</v>
      </c>
      <c r="C483" s="1" t="s">
        <v>50</v>
      </c>
      <c r="D483" s="1" t="s">
        <v>39</v>
      </c>
      <c r="E483" s="1" t="s">
        <v>44</v>
      </c>
      <c r="F483" s="1" t="s">
        <v>42</v>
      </c>
      <c r="G483" s="1">
        <v>21548</v>
      </c>
      <c r="H483" s="1">
        <f>'1_Departamento_n'!C10</f>
        <v>944956</v>
      </c>
      <c r="I483" s="1">
        <f>'1_Departamento_n'!H10</f>
        <v>1312</v>
      </c>
      <c r="J483" s="1">
        <f>'0_Parametros'!B7</f>
        <v>10</v>
      </c>
      <c r="K483" s="3">
        <f>(I483-SUM($J$450:$J$505))*G483/H483</f>
        <v>17.147989959320856</v>
      </c>
      <c r="L483" s="1">
        <f>INT(K483)</f>
        <v>17</v>
      </c>
      <c r="M483" s="3">
        <f>K483-L483</f>
        <v>0.14798995932085646</v>
      </c>
      <c r="N483" s="1">
        <f>COUNTIF($M$450:$M$505,"&gt;"&amp;M483)+COUNTIF($M$450:M483,M483)</f>
        <v>43</v>
      </c>
      <c r="O483" s="1">
        <f>J483+L483+IF(N483&lt;=I483-SUM($J$450:$J$505)-SUM($L$450:$L$505),1,0)</f>
        <v>27</v>
      </c>
    </row>
    <row r="484" spans="1:15">
      <c r="A484" s="1" t="s">
        <v>51</v>
      </c>
      <c r="B484" s="1" t="s">
        <v>59</v>
      </c>
      <c r="C484" s="1" t="s">
        <v>50</v>
      </c>
      <c r="D484" s="1" t="s">
        <v>39</v>
      </c>
      <c r="E484" s="1" t="s">
        <v>45</v>
      </c>
      <c r="F484" s="1" t="s">
        <v>41</v>
      </c>
      <c r="G484" s="1">
        <v>34071</v>
      </c>
      <c r="H484" s="1">
        <f>'1_Departamento_n'!C10</f>
        <v>944956</v>
      </c>
      <c r="I484" s="1">
        <f>'1_Departamento_n'!H10</f>
        <v>1312</v>
      </c>
      <c r="J484" s="1">
        <f>'0_Parametros'!B7</f>
        <v>10</v>
      </c>
      <c r="K484" s="3">
        <f>(I484-SUM($J$450:$J$505))*G484/H484</f>
        <v>27.113846570633978</v>
      </c>
      <c r="L484" s="1">
        <f>INT(K484)</f>
        <v>27</v>
      </c>
      <c r="M484" s="3">
        <f>K484-L484</f>
        <v>0.11384657063397796</v>
      </c>
      <c r="N484" s="1">
        <f>COUNTIF($M$450:$M$505,"&gt;"&amp;M484)+COUNTIF($M$450:M484,M484)</f>
        <v>47</v>
      </c>
      <c r="O484" s="1">
        <f>J484+L484+IF(N484&lt;=I484-SUM($J$450:$J$505)-SUM($L$450:$L$505),1,0)</f>
        <v>37</v>
      </c>
    </row>
    <row r="485" spans="1:15">
      <c r="A485" s="1" t="s">
        <v>51</v>
      </c>
      <c r="B485" s="1" t="s">
        <v>59</v>
      </c>
      <c r="C485" s="1" t="s">
        <v>50</v>
      </c>
      <c r="D485" s="1" t="s">
        <v>39</v>
      </c>
      <c r="E485" s="1" t="s">
        <v>45</v>
      </c>
      <c r="F485" s="1" t="s">
        <v>42</v>
      </c>
      <c r="G485" s="1">
        <v>18450</v>
      </c>
      <c r="H485" s="1">
        <f>'1_Departamento_n'!C10</f>
        <v>944956</v>
      </c>
      <c r="I485" s="1">
        <f>'1_Departamento_n'!H10</f>
        <v>1312</v>
      </c>
      <c r="J485" s="1">
        <f>'0_Parametros'!B7</f>
        <v>10</v>
      </c>
      <c r="K485" s="3">
        <f>(I485-SUM($J$450:$J$505))*G485/H485</f>
        <v>14.682588395650168</v>
      </c>
      <c r="L485" s="1">
        <f>INT(K485)</f>
        <v>14</v>
      </c>
      <c r="M485" s="3">
        <f>K485-L485</f>
        <v>0.6825883956501677</v>
      </c>
      <c r="N485" s="1">
        <f>COUNTIF($M$450:$M$505,"&gt;"&amp;M485)+COUNTIF($M$450:M485,M485)</f>
        <v>15</v>
      </c>
      <c r="O485" s="1">
        <f>J485+L485+IF(N485&lt;=I485-SUM($J$450:$J$505)-SUM($L$450:$L$505),1,0)</f>
        <v>25</v>
      </c>
    </row>
    <row r="486" spans="1:15">
      <c r="A486" s="1" t="s">
        <v>51</v>
      </c>
      <c r="B486" s="1" t="s">
        <v>59</v>
      </c>
      <c r="C486" s="1" t="s">
        <v>50</v>
      </c>
      <c r="D486" s="1" t="s">
        <v>39</v>
      </c>
      <c r="E486" s="1" t="s">
        <v>46</v>
      </c>
      <c r="F486" s="1" t="s">
        <v>41</v>
      </c>
      <c r="G486" s="1">
        <v>30599</v>
      </c>
      <c r="H486" s="1">
        <f>'1_Departamento_n'!C10</f>
        <v>944956</v>
      </c>
      <c r="I486" s="1">
        <f>'1_Departamento_n'!H10</f>
        <v>1312</v>
      </c>
      <c r="J486" s="1">
        <f>'0_Parametros'!B7</f>
        <v>10</v>
      </c>
      <c r="K486" s="3">
        <f>(I486-SUM($J$450:$J$505))*G486/H486</f>
        <v>24.35081421780485</v>
      </c>
      <c r="L486" s="1">
        <f>INT(K486)</f>
        <v>24</v>
      </c>
      <c r="M486" s="3">
        <f>K486-L486</f>
        <v>0.35081421780484945</v>
      </c>
      <c r="N486" s="1">
        <f>COUNTIF($M$450:$M$505,"&gt;"&amp;M486)+COUNTIF($M$450:M486,M486)</f>
        <v>32</v>
      </c>
      <c r="O486" s="1">
        <f>J486+L486+IF(N486&lt;=I486-SUM($J$450:$J$505)-SUM($L$450:$L$505),1,0)</f>
        <v>34</v>
      </c>
    </row>
    <row r="487" spans="1:15">
      <c r="A487" s="1" t="s">
        <v>51</v>
      </c>
      <c r="B487" s="1" t="s">
        <v>59</v>
      </c>
      <c r="C487" s="1" t="s">
        <v>50</v>
      </c>
      <c r="D487" s="1" t="s">
        <v>39</v>
      </c>
      <c r="E487" s="1" t="s">
        <v>46</v>
      </c>
      <c r="F487" s="1" t="s">
        <v>42</v>
      </c>
      <c r="G487" s="1">
        <v>15690</v>
      </c>
      <c r="H487" s="1">
        <f>'1_Departamento_n'!C10</f>
        <v>944956</v>
      </c>
      <c r="I487" s="1">
        <f>'1_Departamento_n'!H10</f>
        <v>1312</v>
      </c>
      <c r="J487" s="1">
        <f>'0_Parametros'!B7</f>
        <v>10</v>
      </c>
      <c r="K487" s="3">
        <f>(I487-SUM($J$450:$J$505))*G487/H487</f>
        <v>12.486168668170793</v>
      </c>
      <c r="L487" s="1">
        <f>INT(K487)</f>
        <v>12</v>
      </c>
      <c r="M487" s="3">
        <f>K487-L487</f>
        <v>0.48616866817079263</v>
      </c>
      <c r="N487" s="1">
        <f>COUNTIF($M$450:$M$505,"&gt;"&amp;M487)+COUNTIF($M$450:M487,M487)</f>
        <v>26</v>
      </c>
      <c r="O487" s="1">
        <f>J487+L487+IF(N487&lt;=I487-SUM($J$450:$J$505)-SUM($L$450:$L$505),1,0)</f>
        <v>22</v>
      </c>
    </row>
    <row r="488" spans="1:15">
      <c r="A488" s="1" t="s">
        <v>51</v>
      </c>
      <c r="B488" s="1" t="s">
        <v>59</v>
      </c>
      <c r="C488" s="1" t="s">
        <v>50</v>
      </c>
      <c r="D488" s="1" t="s">
        <v>39</v>
      </c>
      <c r="E488" s="1" t="s">
        <v>47</v>
      </c>
      <c r="F488" s="1" t="s">
        <v>41</v>
      </c>
      <c r="G488" s="1">
        <v>27817</v>
      </c>
      <c r="H488" s="1">
        <f>'1_Departamento_n'!C10</f>
        <v>944956</v>
      </c>
      <c r="I488" s="1">
        <f>'1_Departamento_n'!H10</f>
        <v>1312</v>
      </c>
      <c r="J488" s="1">
        <f>'0_Parametros'!B7</f>
        <v>10</v>
      </c>
      <c r="K488" s="3">
        <f>(I488-SUM($J$450:$J$505))*G488/H488</f>
        <v>22.136886796845566</v>
      </c>
      <c r="L488" s="1">
        <f>INT(K488)</f>
        <v>22</v>
      </c>
      <c r="M488" s="3">
        <f>K488-L488</f>
        <v>0.13688679684556604</v>
      </c>
      <c r="N488" s="1">
        <f>COUNTIF($M$450:$M$505,"&gt;"&amp;M488)+COUNTIF($M$450:M488,M488)</f>
        <v>45</v>
      </c>
      <c r="O488" s="1">
        <f>J488+L488+IF(N488&lt;=I488-SUM($J$450:$J$505)-SUM($L$450:$L$505),1,0)</f>
        <v>32</v>
      </c>
    </row>
    <row r="489" spans="1:15">
      <c r="A489" s="1" t="s">
        <v>51</v>
      </c>
      <c r="B489" s="1" t="s">
        <v>59</v>
      </c>
      <c r="C489" s="1" t="s">
        <v>50</v>
      </c>
      <c r="D489" s="1" t="s">
        <v>39</v>
      </c>
      <c r="E489" s="1" t="s">
        <v>47</v>
      </c>
      <c r="F489" s="1" t="s">
        <v>42</v>
      </c>
      <c r="G489" s="1">
        <v>14438</v>
      </c>
      <c r="H489" s="1">
        <f>'1_Departamento_n'!C10</f>
        <v>944956</v>
      </c>
      <c r="I489" s="1">
        <f>'1_Departamento_n'!H10</f>
        <v>1312</v>
      </c>
      <c r="J489" s="1">
        <f>'0_Parametros'!B7</f>
        <v>10</v>
      </c>
      <c r="K489" s="3">
        <f>(I489-SUM($J$450:$J$505))*G489/H489</f>
        <v>11.489821748314208</v>
      </c>
      <c r="L489" s="1">
        <f>INT(K489)</f>
        <v>11</v>
      </c>
      <c r="M489" s="3">
        <f>K489-L489</f>
        <v>0.489821748314208</v>
      </c>
      <c r="N489" s="1">
        <f>COUNTIF($M$450:$M$505,"&gt;"&amp;M489)+COUNTIF($M$450:M489,M489)</f>
        <v>25</v>
      </c>
      <c r="O489" s="1">
        <f>J489+L489+IF(N489&lt;=I489-SUM($J$450:$J$505)-SUM($L$450:$L$505),1,0)</f>
        <v>21</v>
      </c>
    </row>
    <row r="490" spans="1:15">
      <c r="A490" s="1" t="s">
        <v>51</v>
      </c>
      <c r="B490" s="1" t="s">
        <v>59</v>
      </c>
      <c r="C490" s="1" t="s">
        <v>50</v>
      </c>
      <c r="D490" s="1" t="s">
        <v>39</v>
      </c>
      <c r="E490" s="1" t="s">
        <v>48</v>
      </c>
      <c r="F490" s="1" t="s">
        <v>41</v>
      </c>
      <c r="G490" s="1">
        <v>43626</v>
      </c>
      <c r="H490" s="1">
        <f>'1_Departamento_n'!C10</f>
        <v>944956</v>
      </c>
      <c r="I490" s="1">
        <f>'1_Departamento_n'!H10</f>
        <v>1312</v>
      </c>
      <c r="J490" s="1">
        <f>'0_Parametros'!B7</f>
        <v>10</v>
      </c>
      <c r="K490" s="3">
        <f>(I490-SUM($J$450:$J$505))*G490/H490</f>
        <v>34.71775617065768</v>
      </c>
      <c r="L490" s="1">
        <f>INT(K490)</f>
        <v>34</v>
      </c>
      <c r="M490" s="3">
        <f>K490-L490</f>
        <v>0.7177561706576796</v>
      </c>
      <c r="N490" s="1">
        <f>COUNTIF($M$450:$M$505,"&gt;"&amp;M490)+COUNTIF($M$450:M490,M490)</f>
        <v>12</v>
      </c>
      <c r="O490" s="1">
        <f>J490+L490+IF(N490&lt;=I490-SUM($J$450:$J$505)-SUM($L$450:$L$505),1,0)</f>
        <v>45</v>
      </c>
    </row>
    <row r="491" spans="1:15">
      <c r="A491" s="1" t="s">
        <v>51</v>
      </c>
      <c r="B491" s="1" t="s">
        <v>59</v>
      </c>
      <c r="C491" s="1" t="s">
        <v>50</v>
      </c>
      <c r="D491" s="1" t="s">
        <v>39</v>
      </c>
      <c r="E491" s="1" t="s">
        <v>48</v>
      </c>
      <c r="F491" s="1" t="s">
        <v>42</v>
      </c>
      <c r="G491" s="1">
        <v>28562</v>
      </c>
      <c r="H491" s="1">
        <f>'1_Departamento_n'!C10</f>
        <v>944956</v>
      </c>
      <c r="I491" s="1">
        <f>'1_Departamento_n'!H10</f>
        <v>1312</v>
      </c>
      <c r="J491" s="1">
        <f>'0_Parametros'!B7</f>
        <v>10</v>
      </c>
      <c r="K491" s="3">
        <f>(I491-SUM($J$450:$J$505))*G491/H491</f>
        <v>22.72976096241518</v>
      </c>
      <c r="L491" s="1">
        <f>INT(K491)</f>
        <v>22</v>
      </c>
      <c r="M491" s="3">
        <f>K491-L491</f>
        <v>0.7297609624151811</v>
      </c>
      <c r="N491" s="1">
        <f>COUNTIF($M$450:$M$505,"&gt;"&amp;M491)+COUNTIF($M$450:M491,M491)</f>
        <v>10</v>
      </c>
      <c r="O491" s="1">
        <f>J491+L491+IF(N491&lt;=I491-SUM($J$450:$J$505)-SUM($L$450:$L$505),1,0)</f>
        <v>33</v>
      </c>
    </row>
    <row r="492" spans="1:15">
      <c r="A492" s="1" t="s">
        <v>51</v>
      </c>
      <c r="B492" s="1" t="s">
        <v>59</v>
      </c>
      <c r="C492" s="1" t="s">
        <v>50</v>
      </c>
      <c r="D492" s="1" t="s">
        <v>49</v>
      </c>
      <c r="E492" s="1" t="s">
        <v>40</v>
      </c>
      <c r="F492" s="1" t="s">
        <v>41</v>
      </c>
      <c r="G492" s="1">
        <v>32325</v>
      </c>
      <c r="H492" s="1">
        <f>'1_Departamento_n'!C10</f>
        <v>944956</v>
      </c>
      <c r="I492" s="1">
        <f>'1_Departamento_n'!H10</f>
        <v>1312</v>
      </c>
      <c r="J492" s="1">
        <f>'0_Parametros'!B7</f>
        <v>10</v>
      </c>
      <c r="K492" s="3">
        <f>(I492-SUM($J$450:$J$505))*G492/H492</f>
        <v>25.724372351728547</v>
      </c>
      <c r="L492" s="1">
        <f>INT(K492)</f>
        <v>25</v>
      </c>
      <c r="M492" s="3">
        <f>K492-L492</f>
        <v>0.7243723517285474</v>
      </c>
      <c r="N492" s="1">
        <f>COUNTIF($M$450:$M$505,"&gt;"&amp;M492)+COUNTIF($M$450:M492,M492)</f>
        <v>11</v>
      </c>
      <c r="O492" s="1">
        <f>J492+L492+IF(N492&lt;=I492-SUM($J$450:$J$505)-SUM($L$450:$L$505),1,0)</f>
        <v>36</v>
      </c>
    </row>
    <row r="493" spans="1:15">
      <c r="A493" s="1" t="s">
        <v>51</v>
      </c>
      <c r="B493" s="1" t="s">
        <v>59</v>
      </c>
      <c r="C493" s="1" t="s">
        <v>50</v>
      </c>
      <c r="D493" s="1" t="s">
        <v>49</v>
      </c>
      <c r="E493" s="1" t="s">
        <v>40</v>
      </c>
      <c r="F493" s="1" t="s">
        <v>42</v>
      </c>
      <c r="G493" s="1">
        <v>22751</v>
      </c>
      <c r="H493" s="1">
        <f>'1_Departamento_n'!C10</f>
        <v>944956</v>
      </c>
      <c r="I493" s="1">
        <f>'1_Departamento_n'!H10</f>
        <v>1312</v>
      </c>
      <c r="J493" s="1">
        <f>'0_Parametros'!B7</f>
        <v>10</v>
      </c>
      <c r="K493" s="3">
        <f>(I493-SUM($J$450:$J$505))*G493/H493</f>
        <v>18.105342470972193</v>
      </c>
      <c r="L493" s="1">
        <f>INT(K493)</f>
        <v>18</v>
      </c>
      <c r="M493" s="3">
        <f>K493-L493</f>
        <v>0.10534247097219307</v>
      </c>
      <c r="N493" s="1">
        <f>COUNTIF($M$450:$M$505,"&gt;"&amp;M493)+COUNTIF($M$450:M493,M493)</f>
        <v>49</v>
      </c>
      <c r="O493" s="1">
        <f>J493+L493+IF(N493&lt;=I493-SUM($J$450:$J$505)-SUM($L$450:$L$505),1,0)</f>
        <v>28</v>
      </c>
    </row>
    <row r="494" spans="1:15">
      <c r="A494" s="1" t="s">
        <v>51</v>
      </c>
      <c r="B494" s="1" t="s">
        <v>59</v>
      </c>
      <c r="C494" s="1" t="s">
        <v>50</v>
      </c>
      <c r="D494" s="1" t="s">
        <v>49</v>
      </c>
      <c r="E494" s="1" t="s">
        <v>43</v>
      </c>
      <c r="F494" s="1" t="s">
        <v>41</v>
      </c>
      <c r="G494" s="1">
        <v>44202</v>
      </c>
      <c r="H494" s="1">
        <f>'1_Departamento_n'!C10</f>
        <v>944956</v>
      </c>
      <c r="I494" s="1">
        <f>'1_Departamento_n'!H10</f>
        <v>1312</v>
      </c>
      <c r="J494" s="1">
        <f>'0_Parametros'!B7</f>
        <v>10</v>
      </c>
      <c r="K494" s="3">
        <f>(I494-SUM($J$450:$J$505))*G494/H494</f>
        <v>35.17613941813164</v>
      </c>
      <c r="L494" s="1">
        <f>INT(K494)</f>
        <v>35</v>
      </c>
      <c r="M494" s="3">
        <f>K494-L494</f>
        <v>0.17613941813164047</v>
      </c>
      <c r="N494" s="1">
        <f>COUNTIF($M$450:$M$505,"&gt;"&amp;M494)+COUNTIF($M$450:M494,M494)</f>
        <v>41</v>
      </c>
      <c r="O494" s="1">
        <f>J494+L494+IF(N494&lt;=I494-SUM($J$450:$J$505)-SUM($L$450:$L$505),1,0)</f>
        <v>45</v>
      </c>
    </row>
    <row r="495" spans="1:15">
      <c r="A495" s="1" t="s">
        <v>51</v>
      </c>
      <c r="B495" s="1" t="s">
        <v>59</v>
      </c>
      <c r="C495" s="1" t="s">
        <v>50</v>
      </c>
      <c r="D495" s="1" t="s">
        <v>49</v>
      </c>
      <c r="E495" s="1" t="s">
        <v>43</v>
      </c>
      <c r="F495" s="1" t="s">
        <v>42</v>
      </c>
      <c r="G495" s="1">
        <v>25271</v>
      </c>
      <c r="H495" s="1">
        <f>'1_Departamento_n'!C10</f>
        <v>944956</v>
      </c>
      <c r="I495" s="1">
        <f>'1_Departamento_n'!H10</f>
        <v>1312</v>
      </c>
      <c r="J495" s="1">
        <f>'0_Parametros'!B7</f>
        <v>10</v>
      </c>
      <c r="K495" s="3">
        <f>(I495-SUM($J$450:$J$505))*G495/H495</f>
        <v>20.110769178670754</v>
      </c>
      <c r="L495" s="1">
        <f>INT(K495)</f>
        <v>20</v>
      </c>
      <c r="M495" s="3">
        <f>K495-L495</f>
        <v>0.11076917867075409</v>
      </c>
      <c r="N495" s="1">
        <f>COUNTIF($M$450:$M$505,"&gt;"&amp;M495)+COUNTIF($M$450:M495,M495)</f>
        <v>48</v>
      </c>
      <c r="O495" s="1">
        <f>J495+L495+IF(N495&lt;=I495-SUM($J$450:$J$505)-SUM($L$450:$L$505),1,0)</f>
        <v>30</v>
      </c>
    </row>
    <row r="496" spans="1:15">
      <c r="A496" s="1" t="s">
        <v>51</v>
      </c>
      <c r="B496" s="1" t="s">
        <v>59</v>
      </c>
      <c r="C496" s="1" t="s">
        <v>50</v>
      </c>
      <c r="D496" s="1" t="s">
        <v>49</v>
      </c>
      <c r="E496" s="1" t="s">
        <v>44</v>
      </c>
      <c r="F496" s="1" t="s">
        <v>41</v>
      </c>
      <c r="G496" s="1">
        <v>33132</v>
      </c>
      <c r="H496" s="1">
        <f>'1_Departamento_n'!C10</f>
        <v>944956</v>
      </c>
      <c r="I496" s="1">
        <f>'1_Departamento_n'!H10</f>
        <v>1312</v>
      </c>
      <c r="J496" s="1">
        <f>'0_Parametros'!B7</f>
        <v>10</v>
      </c>
      <c r="K496" s="3">
        <f>(I496-SUM($J$450:$J$505))*G496/H496</f>
        <v>26.366586380741538</v>
      </c>
      <c r="L496" s="1">
        <f>INT(K496)</f>
        <v>26</v>
      </c>
      <c r="M496" s="3">
        <f>K496-L496</f>
        <v>0.3665863807415377</v>
      </c>
      <c r="N496" s="1">
        <f>COUNTIF($M$450:$M$505,"&gt;"&amp;M496)+COUNTIF($M$450:M496,M496)</f>
        <v>31</v>
      </c>
      <c r="O496" s="1">
        <f>J496+L496+IF(N496&lt;=I496-SUM($J$450:$J$505)-SUM($L$450:$L$505),1,0)</f>
        <v>36</v>
      </c>
    </row>
    <row r="497" spans="1:15">
      <c r="A497" s="1" t="s">
        <v>51</v>
      </c>
      <c r="B497" s="1" t="s">
        <v>59</v>
      </c>
      <c r="C497" s="1" t="s">
        <v>50</v>
      </c>
      <c r="D497" s="1" t="s">
        <v>49</v>
      </c>
      <c r="E497" s="1" t="s">
        <v>44</v>
      </c>
      <c r="F497" s="1" t="s">
        <v>42</v>
      </c>
      <c r="G497" s="1">
        <v>17402</v>
      </c>
      <c r="H497" s="1">
        <f>'1_Departamento_n'!C10</f>
        <v>944956</v>
      </c>
      <c r="I497" s="1">
        <f>'1_Departamento_n'!H10</f>
        <v>1312</v>
      </c>
      <c r="J497" s="1">
        <f>'0_Parametros'!B7</f>
        <v>10</v>
      </c>
      <c r="K497" s="3">
        <f>(I497-SUM($J$450:$J$505))*G497/H497</f>
        <v>13.848585542607275</v>
      </c>
      <c r="L497" s="1">
        <f>INT(K497)</f>
        <v>13</v>
      </c>
      <c r="M497" s="3">
        <f>K497-L497</f>
        <v>0.8485855426072746</v>
      </c>
      <c r="N497" s="1">
        <f>COUNTIF($M$450:$M$505,"&gt;"&amp;M497)+COUNTIF($M$450:M497,M497)</f>
        <v>7</v>
      </c>
      <c r="O497" s="1">
        <f>J497+L497+IF(N497&lt;=I497-SUM($J$450:$J$505)-SUM($L$450:$L$505),1,0)</f>
        <v>24</v>
      </c>
    </row>
    <row r="498" spans="1:15">
      <c r="A498" s="1" t="s">
        <v>51</v>
      </c>
      <c r="B498" s="1" t="s">
        <v>59</v>
      </c>
      <c r="C498" s="1" t="s">
        <v>50</v>
      </c>
      <c r="D498" s="1" t="s">
        <v>49</v>
      </c>
      <c r="E498" s="1" t="s">
        <v>45</v>
      </c>
      <c r="F498" s="1" t="s">
        <v>41</v>
      </c>
      <c r="G498" s="1">
        <v>30404</v>
      </c>
      <c r="H498" s="1">
        <f>'1_Departamento_n'!C10</f>
        <v>944956</v>
      </c>
      <c r="I498" s="1">
        <f>'1_Departamento_n'!H10</f>
        <v>1312</v>
      </c>
      <c r="J498" s="1">
        <f>'0_Parametros'!B7</f>
        <v>10</v>
      </c>
      <c r="K498" s="3">
        <f>(I498-SUM($J$450:$J$505))*G498/H498</f>
        <v>24.195632389232937</v>
      </c>
      <c r="L498" s="1">
        <f>INT(K498)</f>
        <v>24</v>
      </c>
      <c r="M498" s="3">
        <f>K498-L498</f>
        <v>0.19563238923293724</v>
      </c>
      <c r="N498" s="1">
        <f>COUNTIF($M$450:$M$505,"&gt;"&amp;M498)+COUNTIF($M$450:M498,M498)</f>
        <v>38</v>
      </c>
      <c r="O498" s="1">
        <f>J498+L498+IF(N498&lt;=I498-SUM($J$450:$J$505)-SUM($L$450:$L$505),1,0)</f>
        <v>34</v>
      </c>
    </row>
    <row r="499" spans="1:15">
      <c r="A499" s="1" t="s">
        <v>51</v>
      </c>
      <c r="B499" s="1" t="s">
        <v>59</v>
      </c>
      <c r="C499" s="1" t="s">
        <v>50</v>
      </c>
      <c r="D499" s="1" t="s">
        <v>49</v>
      </c>
      <c r="E499" s="1" t="s">
        <v>45</v>
      </c>
      <c r="F499" s="1" t="s">
        <v>42</v>
      </c>
      <c r="G499" s="1">
        <v>15759</v>
      </c>
      <c r="H499" s="1">
        <f>'1_Departamento_n'!C10</f>
        <v>944956</v>
      </c>
      <c r="I499" s="1">
        <f>'1_Departamento_n'!H10</f>
        <v>1312</v>
      </c>
      <c r="J499" s="1">
        <f>'0_Parametros'!B7</f>
        <v>10</v>
      </c>
      <c r="K499" s="3">
        <f>(I499-SUM($J$450:$J$505))*G499/H499</f>
        <v>12.541079161357777</v>
      </c>
      <c r="L499" s="1">
        <f>INT(K499)</f>
        <v>12</v>
      </c>
      <c r="M499" s="3">
        <f>K499-L499</f>
        <v>0.5410791613577768</v>
      </c>
      <c r="N499" s="1">
        <f>COUNTIF($M$450:$M$505,"&gt;"&amp;M499)+COUNTIF($M$450:M499,M499)</f>
        <v>21</v>
      </c>
      <c r="O499" s="1">
        <f>J499+L499+IF(N499&lt;=I499-SUM($J$450:$J$505)-SUM($L$450:$L$505),1,0)</f>
        <v>23</v>
      </c>
    </row>
    <row r="500" spans="1:15">
      <c r="A500" s="1" t="s">
        <v>51</v>
      </c>
      <c r="B500" s="1" t="s">
        <v>59</v>
      </c>
      <c r="C500" s="1" t="s">
        <v>50</v>
      </c>
      <c r="D500" s="1" t="s">
        <v>49</v>
      </c>
      <c r="E500" s="1" t="s">
        <v>46</v>
      </c>
      <c r="F500" s="1" t="s">
        <v>41</v>
      </c>
      <c r="G500" s="1">
        <v>28674</v>
      </c>
      <c r="H500" s="1">
        <f>'1_Departamento_n'!C10</f>
        <v>944956</v>
      </c>
      <c r="I500" s="1">
        <f>'1_Departamento_n'!H10</f>
        <v>1312</v>
      </c>
      <c r="J500" s="1">
        <f>'0_Parametros'!B7</f>
        <v>10</v>
      </c>
      <c r="K500" s="3">
        <f>(I500-SUM($J$450:$J$505))*G500/H500</f>
        <v>22.818891038312895</v>
      </c>
      <c r="L500" s="1">
        <f>INT(K500)</f>
        <v>22</v>
      </c>
      <c r="M500" s="3">
        <f>K500-L500</f>
        <v>0.8188910383128949</v>
      </c>
      <c r="N500" s="1">
        <f>COUNTIF($M$450:$M$505,"&gt;"&amp;M500)+COUNTIF($M$450:M500,M500)</f>
        <v>8</v>
      </c>
      <c r="O500" s="1">
        <f>J500+L500+IF(N500&lt;=I500-SUM($J$450:$J$505)-SUM($L$450:$L$505),1,0)</f>
        <v>33</v>
      </c>
    </row>
    <row r="501" spans="1:15">
      <c r="A501" s="1" t="s">
        <v>51</v>
      </c>
      <c r="B501" s="1" t="s">
        <v>59</v>
      </c>
      <c r="C501" s="1" t="s">
        <v>50</v>
      </c>
      <c r="D501" s="1" t="s">
        <v>49</v>
      </c>
      <c r="E501" s="1" t="s">
        <v>46</v>
      </c>
      <c r="F501" s="1" t="s">
        <v>42</v>
      </c>
      <c r="G501" s="1">
        <v>15338</v>
      </c>
      <c r="H501" s="1">
        <f>'1_Departamento_n'!C10</f>
        <v>944956</v>
      </c>
      <c r="I501" s="1">
        <f>'1_Departamento_n'!H10</f>
        <v>1312</v>
      </c>
      <c r="J501" s="1">
        <f>'0_Parametros'!B7</f>
        <v>10</v>
      </c>
      <c r="K501" s="3">
        <f>(I501-SUM($J$450:$J$505))*G501/H501</f>
        <v>12.206045572492265</v>
      </c>
      <c r="L501" s="1">
        <f>INT(K501)</f>
        <v>12</v>
      </c>
      <c r="M501" s="3">
        <f>K501-L501</f>
        <v>0.20604557249226474</v>
      </c>
      <c r="N501" s="1">
        <f>COUNTIF($M$450:$M$505,"&gt;"&amp;M501)+COUNTIF($M$450:M501,M501)</f>
        <v>36</v>
      </c>
      <c r="O501" s="1">
        <f>J501+L501+IF(N501&lt;=I501-SUM($J$450:$J$505)-SUM($L$450:$L$505),1,0)</f>
        <v>22</v>
      </c>
    </row>
    <row r="502" spans="1:15">
      <c r="A502" s="1" t="s">
        <v>51</v>
      </c>
      <c r="B502" s="1" t="s">
        <v>59</v>
      </c>
      <c r="C502" s="1" t="s">
        <v>50</v>
      </c>
      <c r="D502" s="1" t="s">
        <v>49</v>
      </c>
      <c r="E502" s="1" t="s">
        <v>47</v>
      </c>
      <c r="F502" s="1" t="s">
        <v>41</v>
      </c>
      <c r="G502" s="1">
        <v>27477</v>
      </c>
      <c r="H502" s="1">
        <f>'1_Departamento_n'!C10</f>
        <v>944956</v>
      </c>
      <c r="I502" s="1">
        <f>'1_Departamento_n'!H10</f>
        <v>1312</v>
      </c>
      <c r="J502" s="1">
        <f>'0_Parametros'!B7</f>
        <v>10</v>
      </c>
      <c r="K502" s="3">
        <f>(I502-SUM($J$450:$J$505))*G502/H502</f>
        <v>21.86631335215608</v>
      </c>
      <c r="L502" s="1">
        <f>INT(K502)</f>
        <v>21</v>
      </c>
      <c r="M502" s="3">
        <f>K502-L502</f>
        <v>0.8663133521560802</v>
      </c>
      <c r="N502" s="1">
        <f>COUNTIF($M$450:$M$505,"&gt;"&amp;M502)+COUNTIF($M$450:M502,M502)</f>
        <v>5</v>
      </c>
      <c r="O502" s="1">
        <f>J502+L502+IF(N502&lt;=I502-SUM($J$450:$J$505)-SUM($L$450:$L$505),1,0)</f>
        <v>32</v>
      </c>
    </row>
    <row r="503" spans="1:15">
      <c r="A503" s="1" t="s">
        <v>51</v>
      </c>
      <c r="B503" s="1" t="s">
        <v>59</v>
      </c>
      <c r="C503" s="1" t="s">
        <v>50</v>
      </c>
      <c r="D503" s="1" t="s">
        <v>49</v>
      </c>
      <c r="E503" s="1" t="s">
        <v>47</v>
      </c>
      <c r="F503" s="1" t="s">
        <v>42</v>
      </c>
      <c r="G503" s="1">
        <v>16560</v>
      </c>
      <c r="H503" s="1">
        <f>'1_Departamento_n'!C10</f>
        <v>944956</v>
      </c>
      <c r="I503" s="1">
        <f>'1_Departamento_n'!H10</f>
        <v>1312</v>
      </c>
      <c r="J503" s="1">
        <f>'0_Parametros'!B7</f>
        <v>10</v>
      </c>
      <c r="K503" s="3">
        <f>(I503-SUM($J$450:$J$505))*G503/H503</f>
        <v>13.178518364876249</v>
      </c>
      <c r="L503" s="1">
        <f>INT(K503)</f>
        <v>13</v>
      </c>
      <c r="M503" s="3">
        <f>K503-L503</f>
        <v>0.17851836487624873</v>
      </c>
      <c r="N503" s="1">
        <f>COUNTIF($M$450:$M$505,"&gt;"&amp;M503)+COUNTIF($M$450:M503,M503)</f>
        <v>40</v>
      </c>
      <c r="O503" s="1">
        <f>J503+L503+IF(N503&lt;=I503-SUM($J$450:$J$505)-SUM($L$450:$L$505),1,0)</f>
        <v>23</v>
      </c>
    </row>
    <row r="504" spans="1:15">
      <c r="A504" s="1" t="s">
        <v>51</v>
      </c>
      <c r="B504" s="1" t="s">
        <v>59</v>
      </c>
      <c r="C504" s="1" t="s">
        <v>50</v>
      </c>
      <c r="D504" s="1" t="s">
        <v>49</v>
      </c>
      <c r="E504" s="1" t="s">
        <v>48</v>
      </c>
      <c r="F504" s="1" t="s">
        <v>41</v>
      </c>
      <c r="G504" s="1">
        <v>41512</v>
      </c>
      <c r="H504" s="1">
        <f>'1_Departamento_n'!C10</f>
        <v>944956</v>
      </c>
      <c r="I504" s="1">
        <f>'1_Departamento_n'!H10</f>
        <v>1312</v>
      </c>
      <c r="J504" s="1">
        <f>'0_Parametros'!B7</f>
        <v>10</v>
      </c>
      <c r="K504" s="3">
        <f>(I504-SUM($J$450:$J$505))*G504/H504</f>
        <v>33.035425988088335</v>
      </c>
      <c r="L504" s="1">
        <f>INT(K504)</f>
        <v>33</v>
      </c>
      <c r="M504" s="3">
        <f>K504-L504</f>
        <v>0.03542598808833475</v>
      </c>
      <c r="N504" s="1">
        <f>COUNTIF($M$450:$M$505,"&gt;"&amp;M504)+COUNTIF($M$450:M504,M504)</f>
        <v>53</v>
      </c>
      <c r="O504" s="1">
        <f>J504+L504+IF(N504&lt;=I504-SUM($J$450:$J$505)-SUM($L$450:$L$505),1,0)</f>
        <v>43</v>
      </c>
    </row>
    <row r="505" spans="1:15">
      <c r="A505" s="1" t="s">
        <v>51</v>
      </c>
      <c r="B505" s="1" t="s">
        <v>59</v>
      </c>
      <c r="C505" s="1" t="s">
        <v>50</v>
      </c>
      <c r="D505" s="1" t="s">
        <v>49</v>
      </c>
      <c r="E505" s="1" t="s">
        <v>48</v>
      </c>
      <c r="F505" s="1" t="s">
        <v>42</v>
      </c>
      <c r="G505" s="1">
        <v>34669</v>
      </c>
      <c r="H505" s="1">
        <f>'1_Departamento_n'!C10</f>
        <v>944956</v>
      </c>
      <c r="I505" s="1">
        <f>'1_Departamento_n'!H10</f>
        <v>1312</v>
      </c>
      <c r="J505" s="1">
        <f>'0_Parametros'!B7</f>
        <v>10</v>
      </c>
      <c r="K505" s="3">
        <f>(I505-SUM($J$450:$J$505))*G505/H505</f>
        <v>27.589737511587842</v>
      </c>
      <c r="L505" s="1">
        <f>INT(K505)</f>
        <v>27</v>
      </c>
      <c r="M505" s="3">
        <f>K505-L505</f>
        <v>0.5897375115878418</v>
      </c>
      <c r="N505" s="1">
        <f>COUNTIF($M$450:$M$505,"&gt;"&amp;M505)+COUNTIF($M$450:M505,M505)</f>
        <v>19</v>
      </c>
      <c r="O505" s="1">
        <f>J505+L505+IF(N505&lt;=I505-SUM($J$450:$J$505)-SUM($L$450:$L$505),1,0)</f>
        <v>38</v>
      </c>
    </row>
    <row r="506" spans="1:15">
      <c r="A506" s="1" t="s">
        <v>60</v>
      </c>
      <c r="B506" s="1" t="s">
        <v>61</v>
      </c>
      <c r="C506" s="1" t="s">
        <v>38</v>
      </c>
      <c r="D506" s="1" t="s">
        <v>39</v>
      </c>
      <c r="E506" s="1" t="s">
        <v>40</v>
      </c>
      <c r="F506" s="1" t="s">
        <v>41</v>
      </c>
      <c r="G506" s="1">
        <v>146793</v>
      </c>
      <c r="H506" s="1">
        <f>'1_Departamento_n'!C11</f>
        <v>6959952</v>
      </c>
      <c r="I506" s="1">
        <f>'1_Departamento_n'!H11</f>
        <v>1313</v>
      </c>
      <c r="J506" s="1">
        <f>'0_Parametros'!B7</f>
        <v>10</v>
      </c>
      <c r="K506" s="3">
        <f>(I506-SUM($J$506:$J$561))*G506/H506</f>
        <v>15.881593579955723</v>
      </c>
      <c r="L506" s="1">
        <f>INT(K506)</f>
        <v>15</v>
      </c>
      <c r="M506" s="3">
        <f>K506-L506</f>
        <v>0.8815935799557231</v>
      </c>
      <c r="N506" s="1">
        <f>COUNTIF($M$506:$M$561,"&gt;"&amp;M506)+COUNTIF($M$506:M506,M506)</f>
        <v>7</v>
      </c>
      <c r="O506" s="1">
        <f>J506+L506+IF(N506&lt;=I506-SUM($J$506:$J$561)-SUM($L$506:$L$561),1,0)</f>
        <v>26</v>
      </c>
    </row>
    <row r="507" spans="1:15">
      <c r="A507" s="1" t="s">
        <v>60</v>
      </c>
      <c r="B507" s="1" t="s">
        <v>61</v>
      </c>
      <c r="C507" s="1" t="s">
        <v>38</v>
      </c>
      <c r="D507" s="1" t="s">
        <v>39</v>
      </c>
      <c r="E507" s="1" t="s">
        <v>40</v>
      </c>
      <c r="F507" s="1" t="s">
        <v>42</v>
      </c>
      <c r="G507" s="1">
        <v>10920</v>
      </c>
      <c r="H507" s="1">
        <f>'1_Departamento_n'!C11</f>
        <v>6959952</v>
      </c>
      <c r="I507" s="1">
        <f>'1_Departamento_n'!H11</f>
        <v>1313</v>
      </c>
      <c r="J507" s="1">
        <f>'0_Parametros'!B7</f>
        <v>10</v>
      </c>
      <c r="K507" s="3">
        <f>(I507-SUM($J$506:$J$561))*G507/H507</f>
        <v>1.1814391823391885</v>
      </c>
      <c r="L507" s="1">
        <f>INT(K507)</f>
        <v>1</v>
      </c>
      <c r="M507" s="3">
        <f>K507-L507</f>
        <v>0.18143918233918854</v>
      </c>
      <c r="N507" s="1">
        <f>COUNTIF($M$506:$M$561,"&gt;"&amp;M507)+COUNTIF($M$506:M507,M507)</f>
        <v>44</v>
      </c>
      <c r="O507" s="1">
        <f>J507+L507+IF(N507&lt;=I507-SUM($J$506:$J$561)-SUM($L$506:$L$561),1,0)</f>
        <v>11</v>
      </c>
    </row>
    <row r="508" spans="1:15">
      <c r="A508" s="1" t="s">
        <v>60</v>
      </c>
      <c r="B508" s="1" t="s">
        <v>61</v>
      </c>
      <c r="C508" s="1" t="s">
        <v>38</v>
      </c>
      <c r="D508" s="1" t="s">
        <v>39</v>
      </c>
      <c r="E508" s="1" t="s">
        <v>43</v>
      </c>
      <c r="F508" s="1" t="s">
        <v>41</v>
      </c>
      <c r="G508" s="1">
        <v>214055</v>
      </c>
      <c r="H508" s="1">
        <f>'1_Departamento_n'!C11</f>
        <v>6959952</v>
      </c>
      <c r="I508" s="1">
        <f>'1_Departamento_n'!H11</f>
        <v>1313</v>
      </c>
      <c r="J508" s="1">
        <f>'0_Parametros'!B7</f>
        <v>10</v>
      </c>
      <c r="K508" s="3">
        <f>(I508-SUM($J$506:$J$561))*G508/H508</f>
        <v>23.158696353078298</v>
      </c>
      <c r="L508" s="1">
        <f>INT(K508)</f>
        <v>23</v>
      </c>
      <c r="M508" s="3">
        <f>K508-L508</f>
        <v>0.1586963530782981</v>
      </c>
      <c r="N508" s="1">
        <f>COUNTIF($M$506:$M$561,"&gt;"&amp;M508)+COUNTIF($M$506:M508,M508)</f>
        <v>45</v>
      </c>
      <c r="O508" s="1">
        <f>J508+L508+IF(N508&lt;=I508-SUM($J$506:$J$561)-SUM($L$506:$L$561),1,0)</f>
        <v>33</v>
      </c>
    </row>
    <row r="509" spans="1:15">
      <c r="A509" s="1" t="s">
        <v>60</v>
      </c>
      <c r="B509" s="1" t="s">
        <v>61</v>
      </c>
      <c r="C509" s="1" t="s">
        <v>38</v>
      </c>
      <c r="D509" s="1" t="s">
        <v>39</v>
      </c>
      <c r="E509" s="1" t="s">
        <v>43</v>
      </c>
      <c r="F509" s="1" t="s">
        <v>42</v>
      </c>
      <c r="G509" s="1">
        <v>14007</v>
      </c>
      <c r="H509" s="1">
        <f>'1_Departamento_n'!C11</f>
        <v>6959952</v>
      </c>
      <c r="I509" s="1">
        <f>'1_Departamento_n'!H11</f>
        <v>1313</v>
      </c>
      <c r="J509" s="1">
        <f>'0_Parametros'!B7</f>
        <v>10</v>
      </c>
      <c r="K509" s="3">
        <f>(I509-SUM($J$506:$J$561))*G509/H509</f>
        <v>1.5154229511927668</v>
      </c>
      <c r="L509" s="1">
        <f>INT(K509)</f>
        <v>1</v>
      </c>
      <c r="M509" s="3">
        <f>K509-L509</f>
        <v>0.5154229511927668</v>
      </c>
      <c r="N509" s="1">
        <f>COUNTIF($M$506:$M$561,"&gt;"&amp;M509)+COUNTIF($M$506:M509,M509)</f>
        <v>31</v>
      </c>
      <c r="O509" s="1">
        <f>J509+L509+IF(N509&lt;=I509-SUM($J$506:$J$561)-SUM($L$506:$L$561),1,0)</f>
        <v>11</v>
      </c>
    </row>
    <row r="510" spans="1:15">
      <c r="A510" s="1" t="s">
        <v>60</v>
      </c>
      <c r="B510" s="1" t="s">
        <v>61</v>
      </c>
      <c r="C510" s="1" t="s">
        <v>38</v>
      </c>
      <c r="D510" s="1" t="s">
        <v>39</v>
      </c>
      <c r="E510" s="1" t="s">
        <v>44</v>
      </c>
      <c r="F510" s="1" t="s">
        <v>41</v>
      </c>
      <c r="G510" s="1">
        <v>314258</v>
      </c>
      <c r="H510" s="1">
        <f>'1_Departamento_n'!C11</f>
        <v>6959952</v>
      </c>
      <c r="I510" s="1">
        <f>'1_Departamento_n'!H11</f>
        <v>1313</v>
      </c>
      <c r="J510" s="1">
        <f>'0_Parametros'!B7</f>
        <v>10</v>
      </c>
      <c r="K510" s="3">
        <f>(I510-SUM($J$506:$J$561))*G510/H510</f>
        <v>33.99969913585611</v>
      </c>
      <c r="L510" s="1">
        <f>INT(K510)</f>
        <v>33</v>
      </c>
      <c r="M510" s="3">
        <f>K510-L510</f>
        <v>0.9996991358561118</v>
      </c>
      <c r="N510" s="1">
        <f>COUNTIF($M$506:$M$561,"&gt;"&amp;M510)+COUNTIF($M$506:M510,M510)</f>
        <v>1</v>
      </c>
      <c r="O510" s="1">
        <f>J510+L510+IF(N510&lt;=I510-SUM($J$506:$J$561)-SUM($L$506:$L$561),1,0)</f>
        <v>44</v>
      </c>
    </row>
    <row r="511" spans="1:15">
      <c r="A511" s="1" t="s">
        <v>60</v>
      </c>
      <c r="B511" s="1" t="s">
        <v>61</v>
      </c>
      <c r="C511" s="1" t="s">
        <v>38</v>
      </c>
      <c r="D511" s="1" t="s">
        <v>39</v>
      </c>
      <c r="E511" s="1" t="s">
        <v>44</v>
      </c>
      <c r="F511" s="1" t="s">
        <v>42</v>
      </c>
      <c r="G511" s="1">
        <v>24766</v>
      </c>
      <c r="H511" s="1">
        <f>'1_Departamento_n'!C11</f>
        <v>6959952</v>
      </c>
      <c r="I511" s="1">
        <f>'1_Departamento_n'!H11</f>
        <v>1313</v>
      </c>
      <c r="J511" s="1">
        <f>'0_Parametros'!B7</f>
        <v>10</v>
      </c>
      <c r="K511" s="3">
        <f>(I511-SUM($J$506:$J$561))*G511/H511</f>
        <v>2.679443478920544</v>
      </c>
      <c r="L511" s="1">
        <f>INT(K511)</f>
        <v>2</v>
      </c>
      <c r="M511" s="3">
        <f>K511-L511</f>
        <v>0.6794434789205441</v>
      </c>
      <c r="N511" s="1">
        <f>COUNTIF($M$506:$M$561,"&gt;"&amp;M511)+COUNTIF($M$506:M511,M511)</f>
        <v>18</v>
      </c>
      <c r="O511" s="1">
        <f>J511+L511+IF(N511&lt;=I511-SUM($J$506:$J$561)-SUM($L$506:$L$561),1,0)</f>
        <v>13</v>
      </c>
    </row>
    <row r="512" spans="1:15">
      <c r="A512" s="1" t="s">
        <v>60</v>
      </c>
      <c r="B512" s="1" t="s">
        <v>61</v>
      </c>
      <c r="C512" s="1" t="s">
        <v>38</v>
      </c>
      <c r="D512" s="1" t="s">
        <v>39</v>
      </c>
      <c r="E512" s="1" t="s">
        <v>45</v>
      </c>
      <c r="F512" s="1" t="s">
        <v>41</v>
      </c>
      <c r="G512" s="1">
        <v>359475</v>
      </c>
      <c r="H512" s="1">
        <f>'1_Departamento_n'!C11</f>
        <v>6959952</v>
      </c>
      <c r="I512" s="1">
        <f>'1_Departamento_n'!H11</f>
        <v>1313</v>
      </c>
      <c r="J512" s="1">
        <f>'0_Parametros'!B7</f>
        <v>10</v>
      </c>
      <c r="K512" s="3">
        <f>(I512-SUM($J$506:$J$561))*G512/H512</f>
        <v>38.89174451203112</v>
      </c>
      <c r="L512" s="1">
        <f>INT(K512)</f>
        <v>38</v>
      </c>
      <c r="M512" s="3">
        <f>K512-L512</f>
        <v>0.8917445120311172</v>
      </c>
      <c r="N512" s="1">
        <f>COUNTIF($M$506:$M$561,"&gt;"&amp;M512)+COUNTIF($M$506:M512,M512)</f>
        <v>5</v>
      </c>
      <c r="O512" s="1">
        <f>J512+L512+IF(N512&lt;=I512-SUM($J$506:$J$561)-SUM($L$506:$L$561),1,0)</f>
        <v>49</v>
      </c>
    </row>
    <row r="513" spans="1:15">
      <c r="A513" s="1" t="s">
        <v>60</v>
      </c>
      <c r="B513" s="1" t="s">
        <v>61</v>
      </c>
      <c r="C513" s="1" t="s">
        <v>38</v>
      </c>
      <c r="D513" s="1" t="s">
        <v>39</v>
      </c>
      <c r="E513" s="1" t="s">
        <v>45</v>
      </c>
      <c r="F513" s="1" t="s">
        <v>42</v>
      </c>
      <c r="G513" s="1">
        <v>19599</v>
      </c>
      <c r="H513" s="1">
        <f>'1_Departamento_n'!C11</f>
        <v>6959952</v>
      </c>
      <c r="I513" s="1">
        <f>'1_Departamento_n'!H11</f>
        <v>1313</v>
      </c>
      <c r="J513" s="1">
        <f>'0_Parametros'!B7</f>
        <v>10</v>
      </c>
      <c r="K513" s="3">
        <f>(I513-SUM($J$506:$J$561))*G513/H513</f>
        <v>2.120423675335692</v>
      </c>
      <c r="L513" s="1">
        <f>INT(K513)</f>
        <v>2</v>
      </c>
      <c r="M513" s="3">
        <f>K513-L513</f>
        <v>0.12042367533569198</v>
      </c>
      <c r="N513" s="1">
        <f>COUNTIF($M$506:$M$561,"&gt;"&amp;M513)+COUNTIF($M$506:M513,M513)</f>
        <v>47</v>
      </c>
      <c r="O513" s="1">
        <f>J513+L513+IF(N513&lt;=I513-SUM($J$506:$J$561)-SUM($L$506:$L$561),1,0)</f>
        <v>12</v>
      </c>
    </row>
    <row r="514" spans="1:15">
      <c r="A514" s="1" t="s">
        <v>60</v>
      </c>
      <c r="B514" s="1" t="s">
        <v>61</v>
      </c>
      <c r="C514" s="1" t="s">
        <v>38</v>
      </c>
      <c r="D514" s="1" t="s">
        <v>39</v>
      </c>
      <c r="E514" s="1" t="s">
        <v>46</v>
      </c>
      <c r="F514" s="1" t="s">
        <v>41</v>
      </c>
      <c r="G514" s="1">
        <v>299803</v>
      </c>
      <c r="H514" s="1">
        <f>'1_Departamento_n'!C11</f>
        <v>6959952</v>
      </c>
      <c r="I514" s="1">
        <f>'1_Departamento_n'!H11</f>
        <v>1313</v>
      </c>
      <c r="J514" s="1">
        <f>'0_Parametros'!B7</f>
        <v>10</v>
      </c>
      <c r="K514" s="3">
        <f>(I514-SUM($J$506:$J$561))*G514/H514</f>
        <v>32.43580688487507</v>
      </c>
      <c r="L514" s="1">
        <f>INT(K514)</f>
        <v>32</v>
      </c>
      <c r="M514" s="3">
        <f>K514-L514</f>
        <v>0.43580688487507047</v>
      </c>
      <c r="N514" s="1">
        <f>COUNTIF($M$506:$M$561,"&gt;"&amp;M514)+COUNTIF($M$506:M514,M514)</f>
        <v>33</v>
      </c>
      <c r="O514" s="1">
        <f>J514+L514+IF(N514&lt;=I514-SUM($J$506:$J$561)-SUM($L$506:$L$561),1,0)</f>
        <v>42</v>
      </c>
    </row>
    <row r="515" spans="1:15">
      <c r="A515" s="1" t="s">
        <v>60</v>
      </c>
      <c r="B515" s="1" t="s">
        <v>61</v>
      </c>
      <c r="C515" s="1" t="s">
        <v>38</v>
      </c>
      <c r="D515" s="1" t="s">
        <v>39</v>
      </c>
      <c r="E515" s="1" t="s">
        <v>46</v>
      </c>
      <c r="F515" s="1" t="s">
        <v>42</v>
      </c>
      <c r="G515" s="1">
        <v>14017</v>
      </c>
      <c r="H515" s="1">
        <f>'1_Departamento_n'!C11</f>
        <v>6959952</v>
      </c>
      <c r="I515" s="1">
        <f>'1_Departamento_n'!H11</f>
        <v>1313</v>
      </c>
      <c r="J515" s="1">
        <f>'0_Parametros'!B7</f>
        <v>10</v>
      </c>
      <c r="K515" s="3">
        <f>(I515-SUM($J$506:$J$561))*G515/H515</f>
        <v>1.516504855205898</v>
      </c>
      <c r="L515" s="1">
        <f>INT(K515)</f>
        <v>1</v>
      </c>
      <c r="M515" s="3">
        <f>K515-L515</f>
        <v>0.516504855205898</v>
      </c>
      <c r="N515" s="1">
        <f>COUNTIF($M$506:$M$561,"&gt;"&amp;M515)+COUNTIF($M$506:M515,M515)</f>
        <v>30</v>
      </c>
      <c r="O515" s="1">
        <f>J515+L515+IF(N515&lt;=I515-SUM($J$506:$J$561)-SUM($L$506:$L$561),1,0)</f>
        <v>11</v>
      </c>
    </row>
    <row r="516" spans="1:15">
      <c r="A516" s="1" t="s">
        <v>60</v>
      </c>
      <c r="B516" s="1" t="s">
        <v>61</v>
      </c>
      <c r="C516" s="1" t="s">
        <v>38</v>
      </c>
      <c r="D516" s="1" t="s">
        <v>39</v>
      </c>
      <c r="E516" s="1" t="s">
        <v>47</v>
      </c>
      <c r="F516" s="1" t="s">
        <v>41</v>
      </c>
      <c r="G516" s="1">
        <v>245409</v>
      </c>
      <c r="H516" s="1">
        <f>'1_Departamento_n'!C11</f>
        <v>6959952</v>
      </c>
      <c r="I516" s="1">
        <f>'1_Departamento_n'!H11</f>
        <v>1313</v>
      </c>
      <c r="J516" s="1">
        <f>'0_Parametros'!B7</f>
        <v>10</v>
      </c>
      <c r="K516" s="3">
        <f>(I516-SUM($J$506:$J$561))*G516/H516</f>
        <v>26.550898195849626</v>
      </c>
      <c r="L516" s="1">
        <f>INT(K516)</f>
        <v>26</v>
      </c>
      <c r="M516" s="3">
        <f>K516-L516</f>
        <v>0.5508981958496264</v>
      </c>
      <c r="N516" s="1">
        <f>COUNTIF($M$506:$M$561,"&gt;"&amp;M516)+COUNTIF($M$506:M516,M516)</f>
        <v>27</v>
      </c>
      <c r="O516" s="1">
        <f>J516+L516+IF(N516&lt;=I516-SUM($J$506:$J$561)-SUM($L$506:$L$561),1,0)</f>
        <v>37</v>
      </c>
    </row>
    <row r="517" spans="1:15">
      <c r="A517" s="1" t="s">
        <v>60</v>
      </c>
      <c r="B517" s="1" t="s">
        <v>61</v>
      </c>
      <c r="C517" s="1" t="s">
        <v>38</v>
      </c>
      <c r="D517" s="1" t="s">
        <v>39</v>
      </c>
      <c r="E517" s="1" t="s">
        <v>47</v>
      </c>
      <c r="F517" s="1" t="s">
        <v>42</v>
      </c>
      <c r="G517" s="1">
        <v>9301</v>
      </c>
      <c r="H517" s="1">
        <f>'1_Departamento_n'!C11</f>
        <v>6959952</v>
      </c>
      <c r="I517" s="1">
        <f>'1_Departamento_n'!H11</f>
        <v>1313</v>
      </c>
      <c r="J517" s="1">
        <f>'0_Parametros'!B7</f>
        <v>10</v>
      </c>
      <c r="K517" s="3">
        <f>(I517-SUM($J$506:$J$561))*G517/H517</f>
        <v>1.0062789226132594</v>
      </c>
      <c r="L517" s="1">
        <f>INT(K517)</f>
        <v>1</v>
      </c>
      <c r="M517" s="3">
        <f>K517-L517</f>
        <v>0.006278922613259352</v>
      </c>
      <c r="N517" s="1">
        <f>COUNTIF($M$506:$M$561,"&gt;"&amp;M517)+COUNTIF($M$506:M517,M517)</f>
        <v>56</v>
      </c>
      <c r="O517" s="1">
        <f>J517+L517+IF(N517&lt;=I517-SUM($J$506:$J$561)-SUM($L$506:$L$561),1,0)</f>
        <v>11</v>
      </c>
    </row>
    <row r="518" spans="1:15">
      <c r="A518" s="1" t="s">
        <v>60</v>
      </c>
      <c r="B518" s="1" t="s">
        <v>61</v>
      </c>
      <c r="C518" s="1" t="s">
        <v>38</v>
      </c>
      <c r="D518" s="1" t="s">
        <v>39</v>
      </c>
      <c r="E518" s="1" t="s">
        <v>48</v>
      </c>
      <c r="F518" s="1" t="s">
        <v>41</v>
      </c>
      <c r="G518" s="1">
        <v>435386</v>
      </c>
      <c r="H518" s="1">
        <f>'1_Departamento_n'!C11</f>
        <v>6959952</v>
      </c>
      <c r="I518" s="1">
        <f>'1_Departamento_n'!H11</f>
        <v>1313</v>
      </c>
      <c r="J518" s="1">
        <f>'0_Parametros'!B7</f>
        <v>10</v>
      </c>
      <c r="K518" s="3">
        <f>(I518-SUM($J$506:$J$561))*G518/H518</f>
        <v>47.1045860661108</v>
      </c>
      <c r="L518" s="1">
        <f>INT(K518)</f>
        <v>47</v>
      </c>
      <c r="M518" s="3">
        <f>K518-L518</f>
        <v>0.10458606611079801</v>
      </c>
      <c r="N518" s="1">
        <f>COUNTIF($M$506:$M$561,"&gt;"&amp;M518)+COUNTIF($M$506:M518,M518)</f>
        <v>52</v>
      </c>
      <c r="O518" s="1">
        <f>J518+L518+IF(N518&lt;=I518-SUM($J$506:$J$561)-SUM($L$506:$L$561),1,0)</f>
        <v>57</v>
      </c>
    </row>
    <row r="519" spans="1:15">
      <c r="A519" s="1" t="s">
        <v>60</v>
      </c>
      <c r="B519" s="1" t="s">
        <v>61</v>
      </c>
      <c r="C519" s="1" t="s">
        <v>38</v>
      </c>
      <c r="D519" s="1" t="s">
        <v>39</v>
      </c>
      <c r="E519" s="1" t="s">
        <v>48</v>
      </c>
      <c r="F519" s="1" t="s">
        <v>42</v>
      </c>
      <c r="G519" s="1">
        <v>11823</v>
      </c>
      <c r="H519" s="1">
        <f>'1_Departamento_n'!C11</f>
        <v>6959952</v>
      </c>
      <c r="I519" s="1">
        <f>'1_Departamento_n'!H11</f>
        <v>1313</v>
      </c>
      <c r="J519" s="1">
        <f>'0_Parametros'!B7</f>
        <v>10</v>
      </c>
      <c r="K519" s="3">
        <f>(I519-SUM($J$506:$J$561))*G519/H519</f>
        <v>1.2791351147249292</v>
      </c>
      <c r="L519" s="1">
        <f>INT(K519)</f>
        <v>1</v>
      </c>
      <c r="M519" s="3">
        <f>K519-L519</f>
        <v>0.27913511472492925</v>
      </c>
      <c r="N519" s="1">
        <f>COUNTIF($M$506:$M$561,"&gt;"&amp;M519)+COUNTIF($M$506:M519,M519)</f>
        <v>39</v>
      </c>
      <c r="O519" s="1">
        <f>J519+L519+IF(N519&lt;=I519-SUM($J$506:$J$561)-SUM($L$506:$L$561),1,0)</f>
        <v>11</v>
      </c>
    </row>
    <row r="520" spans="1:15">
      <c r="A520" s="1" t="s">
        <v>60</v>
      </c>
      <c r="B520" s="1" t="s">
        <v>61</v>
      </c>
      <c r="C520" s="1" t="s">
        <v>38</v>
      </c>
      <c r="D520" s="1" t="s">
        <v>49</v>
      </c>
      <c r="E520" s="1" t="s">
        <v>40</v>
      </c>
      <c r="F520" s="1" t="s">
        <v>41</v>
      </c>
      <c r="G520" s="1">
        <v>153720</v>
      </c>
      <c r="H520" s="1">
        <f>'1_Departamento_n'!C11</f>
        <v>6959952</v>
      </c>
      <c r="I520" s="1">
        <f>'1_Departamento_n'!H11</f>
        <v>1313</v>
      </c>
      <c r="J520" s="1">
        <f>'0_Parametros'!B7</f>
        <v>10</v>
      </c>
      <c r="K520" s="3">
        <f>(I520-SUM($J$506:$J$561))*G520/H520</f>
        <v>16.631028489851655</v>
      </c>
      <c r="L520" s="1">
        <f>INT(K520)</f>
        <v>16</v>
      </c>
      <c r="M520" s="3">
        <f>K520-L520</f>
        <v>0.6310284898516549</v>
      </c>
      <c r="N520" s="1">
        <f>COUNTIF($M$506:$M$561,"&gt;"&amp;M520)+COUNTIF($M$506:M520,M520)</f>
        <v>23</v>
      </c>
      <c r="O520" s="1">
        <f>J520+L520+IF(N520&lt;=I520-SUM($J$506:$J$561)-SUM($L$506:$L$561),1,0)</f>
        <v>27</v>
      </c>
    </row>
    <row r="521" spans="1:15">
      <c r="A521" s="1" t="s">
        <v>60</v>
      </c>
      <c r="B521" s="1" t="s">
        <v>61</v>
      </c>
      <c r="C521" s="1" t="s">
        <v>38</v>
      </c>
      <c r="D521" s="1" t="s">
        <v>49</v>
      </c>
      <c r="E521" s="1" t="s">
        <v>40</v>
      </c>
      <c r="F521" s="1" t="s">
        <v>42</v>
      </c>
      <c r="G521" s="1">
        <v>11543</v>
      </c>
      <c r="H521" s="1">
        <f>'1_Departamento_n'!C11</f>
        <v>6959952</v>
      </c>
      <c r="I521" s="1">
        <f>'1_Departamento_n'!H11</f>
        <v>1313</v>
      </c>
      <c r="J521" s="1">
        <f>'0_Parametros'!B7</f>
        <v>10</v>
      </c>
      <c r="K521" s="3">
        <f>(I521-SUM($J$506:$J$561))*G521/H521</f>
        <v>1.2488418023572576</v>
      </c>
      <c r="L521" s="1">
        <f>INT(K521)</f>
        <v>1</v>
      </c>
      <c r="M521" s="3">
        <f>K521-L521</f>
        <v>0.2488418023572576</v>
      </c>
      <c r="N521" s="1">
        <f>COUNTIF($M$506:$M$561,"&gt;"&amp;M521)+COUNTIF($M$506:M521,M521)</f>
        <v>42</v>
      </c>
      <c r="O521" s="1">
        <f>J521+L521+IF(N521&lt;=I521-SUM($J$506:$J$561)-SUM($L$506:$L$561),1,0)</f>
        <v>11</v>
      </c>
    </row>
    <row r="522" spans="1:15">
      <c r="A522" s="1" t="s">
        <v>60</v>
      </c>
      <c r="B522" s="1" t="s">
        <v>61</v>
      </c>
      <c r="C522" s="1" t="s">
        <v>38</v>
      </c>
      <c r="D522" s="1" t="s">
        <v>49</v>
      </c>
      <c r="E522" s="1" t="s">
        <v>43</v>
      </c>
      <c r="F522" s="1" t="s">
        <v>41</v>
      </c>
      <c r="G522" s="1">
        <v>222151</v>
      </c>
      <c r="H522" s="1">
        <f>'1_Departamento_n'!C11</f>
        <v>6959952</v>
      </c>
      <c r="I522" s="1">
        <f>'1_Departamento_n'!H11</f>
        <v>1313</v>
      </c>
      <c r="J522" s="1">
        <f>'0_Parametros'!B7</f>
        <v>10</v>
      </c>
      <c r="K522" s="3">
        <f>(I522-SUM($J$506:$J$561))*G522/H522</f>
        <v>24.034605842109254</v>
      </c>
      <c r="L522" s="1">
        <f>INT(K522)</f>
        <v>24</v>
      </c>
      <c r="M522" s="3">
        <f>K522-L522</f>
        <v>0.034605842109254326</v>
      </c>
      <c r="N522" s="1">
        <f>COUNTIF($M$506:$M$561,"&gt;"&amp;M522)+COUNTIF($M$506:M522,M522)</f>
        <v>55</v>
      </c>
      <c r="O522" s="1">
        <f>J522+L522+IF(N522&lt;=I522-SUM($J$506:$J$561)-SUM($L$506:$L$561),1,0)</f>
        <v>34</v>
      </c>
    </row>
    <row r="523" spans="1:15">
      <c r="A523" s="1" t="s">
        <v>60</v>
      </c>
      <c r="B523" s="1" t="s">
        <v>61</v>
      </c>
      <c r="C523" s="1" t="s">
        <v>38</v>
      </c>
      <c r="D523" s="1" t="s">
        <v>49</v>
      </c>
      <c r="E523" s="1" t="s">
        <v>43</v>
      </c>
      <c r="F523" s="1" t="s">
        <v>42</v>
      </c>
      <c r="G523" s="1">
        <v>15184</v>
      </c>
      <c r="H523" s="1">
        <f>'1_Departamento_n'!C11</f>
        <v>6959952</v>
      </c>
      <c r="I523" s="1">
        <f>'1_Departamento_n'!H11</f>
        <v>1313</v>
      </c>
      <c r="J523" s="1">
        <f>'0_Parametros'!B7</f>
        <v>10</v>
      </c>
      <c r="K523" s="3">
        <f>(I523-SUM($J$506:$J$561))*G523/H523</f>
        <v>1.6427630535383002</v>
      </c>
      <c r="L523" s="1">
        <f>INT(K523)</f>
        <v>1</v>
      </c>
      <c r="M523" s="3">
        <f>K523-L523</f>
        <v>0.6427630535383002</v>
      </c>
      <c r="N523" s="1">
        <f>COUNTIF($M$506:$M$561,"&gt;"&amp;M523)+COUNTIF($M$506:M523,M523)</f>
        <v>21</v>
      </c>
      <c r="O523" s="1">
        <f>J523+L523+IF(N523&lt;=I523-SUM($J$506:$J$561)-SUM($L$506:$L$561),1,0)</f>
        <v>12</v>
      </c>
    </row>
    <row r="524" spans="1:15">
      <c r="A524" s="1" t="s">
        <v>60</v>
      </c>
      <c r="B524" s="1" t="s">
        <v>61</v>
      </c>
      <c r="C524" s="1" t="s">
        <v>38</v>
      </c>
      <c r="D524" s="1" t="s">
        <v>49</v>
      </c>
      <c r="E524" s="1" t="s">
        <v>44</v>
      </c>
      <c r="F524" s="1" t="s">
        <v>41</v>
      </c>
      <c r="G524" s="1">
        <v>314765</v>
      </c>
      <c r="H524" s="1">
        <f>'1_Departamento_n'!C11</f>
        <v>6959952</v>
      </c>
      <c r="I524" s="1">
        <f>'1_Departamento_n'!H11</f>
        <v>1313</v>
      </c>
      <c r="J524" s="1">
        <f>'0_Parametros'!B7</f>
        <v>10</v>
      </c>
      <c r="K524" s="3">
        <f>(I524-SUM($J$506:$J$561))*G524/H524</f>
        <v>34.05455166932186</v>
      </c>
      <c r="L524" s="1">
        <f>INT(K524)</f>
        <v>34</v>
      </c>
      <c r="M524" s="3">
        <f>K524-L524</f>
        <v>0.054551669321860174</v>
      </c>
      <c r="N524" s="1">
        <f>COUNTIF($M$506:$M$561,"&gt;"&amp;M524)+COUNTIF($M$506:M524,M524)</f>
        <v>54</v>
      </c>
      <c r="O524" s="1">
        <f>J524+L524+IF(N524&lt;=I524-SUM($J$506:$J$561)-SUM($L$506:$L$561),1,0)</f>
        <v>44</v>
      </c>
    </row>
    <row r="525" spans="1:15">
      <c r="A525" s="1" t="s">
        <v>60</v>
      </c>
      <c r="B525" s="1" t="s">
        <v>61</v>
      </c>
      <c r="C525" s="1" t="s">
        <v>38</v>
      </c>
      <c r="D525" s="1" t="s">
        <v>49</v>
      </c>
      <c r="E525" s="1" t="s">
        <v>44</v>
      </c>
      <c r="F525" s="1" t="s">
        <v>42</v>
      </c>
      <c r="G525" s="1">
        <v>33881</v>
      </c>
      <c r="H525" s="1">
        <f>'1_Departamento_n'!C11</f>
        <v>6959952</v>
      </c>
      <c r="I525" s="1">
        <f>'1_Departamento_n'!H11</f>
        <v>1313</v>
      </c>
      <c r="J525" s="1">
        <f>'0_Parametros'!B7</f>
        <v>10</v>
      </c>
      <c r="K525" s="3">
        <f>(I525-SUM($J$506:$J$561))*G525/H525</f>
        <v>3.665598986889565</v>
      </c>
      <c r="L525" s="1">
        <f>INT(K525)</f>
        <v>3</v>
      </c>
      <c r="M525" s="3">
        <f>K525-L525</f>
        <v>0.6655989868895649</v>
      </c>
      <c r="N525" s="1">
        <f>COUNTIF($M$506:$M$561,"&gt;"&amp;M525)+COUNTIF($M$506:M525,M525)</f>
        <v>19</v>
      </c>
      <c r="O525" s="1">
        <f>J525+L525+IF(N525&lt;=I525-SUM($J$506:$J$561)-SUM($L$506:$L$561),1,0)</f>
        <v>14</v>
      </c>
    </row>
    <row r="526" spans="1:15">
      <c r="A526" s="1" t="s">
        <v>60</v>
      </c>
      <c r="B526" s="1" t="s">
        <v>61</v>
      </c>
      <c r="C526" s="1" t="s">
        <v>38</v>
      </c>
      <c r="D526" s="1" t="s">
        <v>49</v>
      </c>
      <c r="E526" s="1" t="s">
        <v>45</v>
      </c>
      <c r="F526" s="1" t="s">
        <v>41</v>
      </c>
      <c r="G526" s="1">
        <v>347474</v>
      </c>
      <c r="H526" s="1">
        <f>'1_Departamento_n'!C11</f>
        <v>6959952</v>
      </c>
      <c r="I526" s="1">
        <f>'1_Departamento_n'!H11</f>
        <v>1313</v>
      </c>
      <c r="J526" s="1">
        <f>'0_Parametros'!B7</f>
        <v>10</v>
      </c>
      <c r="K526" s="3">
        <f>(I526-SUM($J$506:$J$561))*G526/H526</f>
        <v>37.593351505872455</v>
      </c>
      <c r="L526" s="1">
        <f>INT(K526)</f>
        <v>37</v>
      </c>
      <c r="M526" s="3">
        <f>K526-L526</f>
        <v>0.5933515058724552</v>
      </c>
      <c r="N526" s="1">
        <f>COUNTIF($M$506:$M$561,"&gt;"&amp;M526)+COUNTIF($M$506:M526,M526)</f>
        <v>26</v>
      </c>
      <c r="O526" s="1">
        <f>J526+L526+IF(N526&lt;=I526-SUM($J$506:$J$561)-SUM($L$506:$L$561),1,0)</f>
        <v>48</v>
      </c>
    </row>
    <row r="527" spans="1:15">
      <c r="A527" s="1" t="s">
        <v>60</v>
      </c>
      <c r="B527" s="1" t="s">
        <v>61</v>
      </c>
      <c r="C527" s="1" t="s">
        <v>38</v>
      </c>
      <c r="D527" s="1" t="s">
        <v>49</v>
      </c>
      <c r="E527" s="1" t="s">
        <v>45</v>
      </c>
      <c r="F527" s="1" t="s">
        <v>42</v>
      </c>
      <c r="G527" s="1">
        <v>25606</v>
      </c>
      <c r="H527" s="1">
        <f>'1_Departamento_n'!C11</f>
        <v>6959952</v>
      </c>
      <c r="I527" s="1">
        <f>'1_Departamento_n'!H11</f>
        <v>1313</v>
      </c>
      <c r="J527" s="1">
        <f>'0_Parametros'!B7</f>
        <v>10</v>
      </c>
      <c r="K527" s="3">
        <f>(I527-SUM($J$506:$J$561))*G527/H527</f>
        <v>2.7703234160235586</v>
      </c>
      <c r="L527" s="1">
        <f>INT(K527)</f>
        <v>2</v>
      </c>
      <c r="M527" s="3">
        <f>K527-L527</f>
        <v>0.7703234160235586</v>
      </c>
      <c r="N527" s="1">
        <f>COUNTIF($M$506:$M$561,"&gt;"&amp;M527)+COUNTIF($M$506:M527,M527)</f>
        <v>11</v>
      </c>
      <c r="O527" s="1">
        <f>J527+L527+IF(N527&lt;=I527-SUM($J$506:$J$561)-SUM($L$506:$L$561),1,0)</f>
        <v>13</v>
      </c>
    </row>
    <row r="528" spans="1:15">
      <c r="A528" s="1" t="s">
        <v>60</v>
      </c>
      <c r="B528" s="1" t="s">
        <v>61</v>
      </c>
      <c r="C528" s="1" t="s">
        <v>38</v>
      </c>
      <c r="D528" s="1" t="s">
        <v>49</v>
      </c>
      <c r="E528" s="1" t="s">
        <v>46</v>
      </c>
      <c r="F528" s="1" t="s">
        <v>41</v>
      </c>
      <c r="G528" s="1">
        <v>276913</v>
      </c>
      <c r="H528" s="1">
        <f>'1_Departamento_n'!C11</f>
        <v>6959952</v>
      </c>
      <c r="I528" s="1">
        <f>'1_Departamento_n'!H11</f>
        <v>1313</v>
      </c>
      <c r="J528" s="1">
        <f>'0_Parametros'!B7</f>
        <v>10</v>
      </c>
      <c r="K528" s="3">
        <f>(I528-SUM($J$506:$J$561))*G528/H528</f>
        <v>29.959328598817923</v>
      </c>
      <c r="L528" s="1">
        <f>INT(K528)</f>
        <v>29</v>
      </c>
      <c r="M528" s="3">
        <f>K528-L528</f>
        <v>0.9593285988179225</v>
      </c>
      <c r="N528" s="1">
        <f>COUNTIF($M$506:$M$561,"&gt;"&amp;M528)+COUNTIF($M$506:M528,M528)</f>
        <v>3</v>
      </c>
      <c r="O528" s="1">
        <f>J528+L528+IF(N528&lt;=I528-SUM($J$506:$J$561)-SUM($L$506:$L$561),1,0)</f>
        <v>40</v>
      </c>
    </row>
    <row r="529" spans="1:15">
      <c r="A529" s="1" t="s">
        <v>60</v>
      </c>
      <c r="B529" s="1" t="s">
        <v>61</v>
      </c>
      <c r="C529" s="1" t="s">
        <v>38</v>
      </c>
      <c r="D529" s="1" t="s">
        <v>49</v>
      </c>
      <c r="E529" s="1" t="s">
        <v>46</v>
      </c>
      <c r="F529" s="1" t="s">
        <v>42</v>
      </c>
      <c r="G529" s="1">
        <v>17954</v>
      </c>
      <c r="H529" s="1">
        <f>'1_Departamento_n'!C11</f>
        <v>6959952</v>
      </c>
      <c r="I529" s="1">
        <f>'1_Departamento_n'!H11</f>
        <v>1313</v>
      </c>
      <c r="J529" s="1">
        <f>'0_Parametros'!B7</f>
        <v>10</v>
      </c>
      <c r="K529" s="3">
        <f>(I529-SUM($J$506:$J$561))*G529/H529</f>
        <v>1.9424504651756218</v>
      </c>
      <c r="L529" s="1">
        <f>INT(K529)</f>
        <v>1</v>
      </c>
      <c r="M529" s="3">
        <f>K529-L529</f>
        <v>0.9424504651756218</v>
      </c>
      <c r="N529" s="1">
        <f>COUNTIF($M$506:$M$561,"&gt;"&amp;M529)+COUNTIF($M$506:M529,M529)</f>
        <v>4</v>
      </c>
      <c r="O529" s="1">
        <f>J529+L529+IF(N529&lt;=I529-SUM($J$506:$J$561)-SUM($L$506:$L$561),1,0)</f>
        <v>12</v>
      </c>
    </row>
    <row r="530" spans="1:15">
      <c r="A530" s="1" t="s">
        <v>60</v>
      </c>
      <c r="B530" s="1" t="s">
        <v>61</v>
      </c>
      <c r="C530" s="1" t="s">
        <v>38</v>
      </c>
      <c r="D530" s="1" t="s">
        <v>49</v>
      </c>
      <c r="E530" s="1" t="s">
        <v>47</v>
      </c>
      <c r="F530" s="1" t="s">
        <v>41</v>
      </c>
      <c r="G530" s="1">
        <v>211564</v>
      </c>
      <c r="H530" s="1">
        <f>'1_Departamento_n'!C11</f>
        <v>6959952</v>
      </c>
      <c r="I530" s="1">
        <f>'1_Departamento_n'!H11</f>
        <v>1313</v>
      </c>
      <c r="J530" s="1">
        <f>'0_Parametros'!B7</f>
        <v>10</v>
      </c>
      <c r="K530" s="3">
        <f>(I530-SUM($J$506:$J$561))*G530/H530</f>
        <v>22.889194063407334</v>
      </c>
      <c r="L530" s="1">
        <f>INT(K530)</f>
        <v>22</v>
      </c>
      <c r="M530" s="3">
        <f>K530-L530</f>
        <v>0.8891940634073343</v>
      </c>
      <c r="N530" s="1">
        <f>COUNTIF($M$506:$M$561,"&gt;"&amp;M530)+COUNTIF($M$506:M530,M530)</f>
        <v>6</v>
      </c>
      <c r="O530" s="1">
        <f>J530+L530+IF(N530&lt;=I530-SUM($J$506:$J$561)-SUM($L$506:$L$561),1,0)</f>
        <v>33</v>
      </c>
    </row>
    <row r="531" spans="1:15">
      <c r="A531" s="1" t="s">
        <v>60</v>
      </c>
      <c r="B531" s="1" t="s">
        <v>61</v>
      </c>
      <c r="C531" s="1" t="s">
        <v>38</v>
      </c>
      <c r="D531" s="1" t="s">
        <v>49</v>
      </c>
      <c r="E531" s="1" t="s">
        <v>47</v>
      </c>
      <c r="F531" s="1" t="s">
        <v>42</v>
      </c>
      <c r="G531" s="1">
        <v>12766</v>
      </c>
      <c r="H531" s="1">
        <f>'1_Departamento_n'!C11</f>
        <v>6959952</v>
      </c>
      <c r="I531" s="1">
        <f>'1_Departamento_n'!H11</f>
        <v>1313</v>
      </c>
      <c r="J531" s="1">
        <f>'0_Parametros'!B7</f>
        <v>10</v>
      </c>
      <c r="K531" s="3">
        <f>(I531-SUM($J$506:$J$561))*G531/H531</f>
        <v>1.3811586631631942</v>
      </c>
      <c r="L531" s="1">
        <f>INT(K531)</f>
        <v>1</v>
      </c>
      <c r="M531" s="3">
        <f>K531-L531</f>
        <v>0.38115866316319424</v>
      </c>
      <c r="N531" s="1">
        <f>COUNTIF($M$506:$M$561,"&gt;"&amp;M531)+COUNTIF($M$506:M531,M531)</f>
        <v>37</v>
      </c>
      <c r="O531" s="1">
        <f>J531+L531+IF(N531&lt;=I531-SUM($J$506:$J$561)-SUM($L$506:$L$561),1,0)</f>
        <v>11</v>
      </c>
    </row>
    <row r="532" spans="1:15">
      <c r="A532" s="1" t="s">
        <v>60</v>
      </c>
      <c r="B532" s="1" t="s">
        <v>61</v>
      </c>
      <c r="C532" s="1" t="s">
        <v>38</v>
      </c>
      <c r="D532" s="1" t="s">
        <v>49</v>
      </c>
      <c r="E532" s="1" t="s">
        <v>48</v>
      </c>
      <c r="F532" s="1" t="s">
        <v>41</v>
      </c>
      <c r="G532" s="1">
        <v>329919</v>
      </c>
      <c r="H532" s="1">
        <f>'1_Departamento_n'!C11</f>
        <v>6959952</v>
      </c>
      <c r="I532" s="1">
        <f>'1_Departamento_n'!H11</f>
        <v>1313</v>
      </c>
      <c r="J532" s="1">
        <f>'0_Parametros'!B7</f>
        <v>10</v>
      </c>
      <c r="K532" s="3">
        <f>(I532-SUM($J$506:$J$561))*G532/H532</f>
        <v>35.69406901082076</v>
      </c>
      <c r="L532" s="1">
        <f>INT(K532)</f>
        <v>35</v>
      </c>
      <c r="M532" s="3">
        <f>K532-L532</f>
        <v>0.6940690108207619</v>
      </c>
      <c r="N532" s="1">
        <f>COUNTIF($M$506:$M$561,"&gt;"&amp;M532)+COUNTIF($M$506:M532,M532)</f>
        <v>17</v>
      </c>
      <c r="O532" s="1">
        <f>J532+L532+IF(N532&lt;=I532-SUM($J$506:$J$561)-SUM($L$506:$L$561),1,0)</f>
        <v>46</v>
      </c>
    </row>
    <row r="533" spans="1:15">
      <c r="A533" s="1" t="s">
        <v>60</v>
      </c>
      <c r="B533" s="1" t="s">
        <v>61</v>
      </c>
      <c r="C533" s="1" t="s">
        <v>38</v>
      </c>
      <c r="D533" s="1" t="s">
        <v>49</v>
      </c>
      <c r="E533" s="1" t="s">
        <v>48</v>
      </c>
      <c r="F533" s="1" t="s">
        <v>42</v>
      </c>
      <c r="G533" s="1">
        <v>14041</v>
      </c>
      <c r="H533" s="1">
        <f>'1_Departamento_n'!C11</f>
        <v>6959952</v>
      </c>
      <c r="I533" s="1">
        <f>'1_Departamento_n'!H11</f>
        <v>1313</v>
      </c>
      <c r="J533" s="1">
        <f>'0_Parametros'!B7</f>
        <v>10</v>
      </c>
      <c r="K533" s="3">
        <f>(I533-SUM($J$506:$J$561))*G533/H533</f>
        <v>1.5191014248374126</v>
      </c>
      <c r="L533" s="1">
        <f>INT(K533)</f>
        <v>1</v>
      </c>
      <c r="M533" s="3">
        <f>K533-L533</f>
        <v>0.5191014248374126</v>
      </c>
      <c r="N533" s="1">
        <f>COUNTIF($M$506:$M$561,"&gt;"&amp;M533)+COUNTIF($M$506:M533,M533)</f>
        <v>29</v>
      </c>
      <c r="O533" s="1">
        <f>J533+L533+IF(N533&lt;=I533-SUM($J$506:$J$561)-SUM($L$506:$L$561),1,0)</f>
        <v>11</v>
      </c>
    </row>
    <row r="534" spans="1:15">
      <c r="A534" s="1" t="s">
        <v>60</v>
      </c>
      <c r="B534" s="1" t="s">
        <v>61</v>
      </c>
      <c r="C534" s="1" t="s">
        <v>50</v>
      </c>
      <c r="D534" s="1" t="s">
        <v>39</v>
      </c>
      <c r="E534" s="1" t="s">
        <v>40</v>
      </c>
      <c r="F534" s="1" t="s">
        <v>41</v>
      </c>
      <c r="G534" s="1">
        <v>114728</v>
      </c>
      <c r="H534" s="1">
        <f>'1_Departamento_n'!C11</f>
        <v>6959952</v>
      </c>
      <c r="I534" s="1">
        <f>'1_Departamento_n'!H11</f>
        <v>1313</v>
      </c>
      <c r="J534" s="1">
        <f>'0_Parametros'!B7</f>
        <v>10</v>
      </c>
      <c r="K534" s="3">
        <f>(I534-SUM($J$506:$J$561))*G534/H534</f>
        <v>12.412468361850772</v>
      </c>
      <c r="L534" s="1">
        <f>INT(K534)</f>
        <v>12</v>
      </c>
      <c r="M534" s="3">
        <f>K534-L534</f>
        <v>0.41246836185077207</v>
      </c>
      <c r="N534" s="1">
        <f>COUNTIF($M$506:$M$561,"&gt;"&amp;M534)+COUNTIF($M$506:M534,M534)</f>
        <v>34</v>
      </c>
      <c r="O534" s="1">
        <f>J534+L534+IF(N534&lt;=I534-SUM($J$506:$J$561)-SUM($L$506:$L$561),1,0)</f>
        <v>22</v>
      </c>
    </row>
    <row r="535" spans="1:15">
      <c r="A535" s="1" t="s">
        <v>60</v>
      </c>
      <c r="B535" s="1" t="s">
        <v>61</v>
      </c>
      <c r="C535" s="1" t="s">
        <v>50</v>
      </c>
      <c r="D535" s="1" t="s">
        <v>39</v>
      </c>
      <c r="E535" s="1" t="s">
        <v>40</v>
      </c>
      <c r="F535" s="1" t="s">
        <v>42</v>
      </c>
      <c r="G535" s="1">
        <v>62521</v>
      </c>
      <c r="H535" s="1">
        <f>'1_Departamento_n'!C11</f>
        <v>6959952</v>
      </c>
      <c r="I535" s="1">
        <f>'1_Departamento_n'!H11</f>
        <v>1313</v>
      </c>
      <c r="J535" s="1">
        <f>'0_Parametros'!B7</f>
        <v>10</v>
      </c>
      <c r="K535" s="3">
        <f>(I535-SUM($J$506:$J$561))*G535/H535</f>
        <v>6.764172080497107</v>
      </c>
      <c r="L535" s="1">
        <f>INT(K535)</f>
        <v>6</v>
      </c>
      <c r="M535" s="3">
        <f>K535-L535</f>
        <v>0.764172080497107</v>
      </c>
      <c r="N535" s="1">
        <f>COUNTIF($M$506:$M$561,"&gt;"&amp;M535)+COUNTIF($M$506:M535,M535)</f>
        <v>12</v>
      </c>
      <c r="O535" s="1">
        <f>J535+L535+IF(N535&lt;=I535-SUM($J$506:$J$561)-SUM($L$506:$L$561),1,0)</f>
        <v>17</v>
      </c>
    </row>
    <row r="536" spans="1:15">
      <c r="A536" s="1" t="s">
        <v>60</v>
      </c>
      <c r="B536" s="1" t="s">
        <v>61</v>
      </c>
      <c r="C536" s="1" t="s">
        <v>50</v>
      </c>
      <c r="D536" s="1" t="s">
        <v>39</v>
      </c>
      <c r="E536" s="1" t="s">
        <v>43</v>
      </c>
      <c r="F536" s="1" t="s">
        <v>41</v>
      </c>
      <c r="G536" s="1">
        <v>148759</v>
      </c>
      <c r="H536" s="1">
        <f>'1_Departamento_n'!C11</f>
        <v>6959952</v>
      </c>
      <c r="I536" s="1">
        <f>'1_Departamento_n'!H11</f>
        <v>1313</v>
      </c>
      <c r="J536" s="1">
        <f>'0_Parametros'!B7</f>
        <v>10</v>
      </c>
      <c r="K536" s="3">
        <f>(I536-SUM($J$506:$J$561))*G536/H536</f>
        <v>16.094295908937305</v>
      </c>
      <c r="L536" s="1">
        <f>INT(K536)</f>
        <v>16</v>
      </c>
      <c r="M536" s="3">
        <f>K536-L536</f>
        <v>0.09429590893730477</v>
      </c>
      <c r="N536" s="1">
        <f>COUNTIF($M$506:$M$561,"&gt;"&amp;M536)+COUNTIF($M$506:M536,M536)</f>
        <v>53</v>
      </c>
      <c r="O536" s="1">
        <f>J536+L536+IF(N536&lt;=I536-SUM($J$506:$J$561)-SUM($L$506:$L$561),1,0)</f>
        <v>26</v>
      </c>
    </row>
    <row r="537" spans="1:15">
      <c r="A537" s="1" t="s">
        <v>60</v>
      </c>
      <c r="B537" s="1" t="s">
        <v>61</v>
      </c>
      <c r="C537" s="1" t="s">
        <v>50</v>
      </c>
      <c r="D537" s="1" t="s">
        <v>39</v>
      </c>
      <c r="E537" s="1" t="s">
        <v>43</v>
      </c>
      <c r="F537" s="1" t="s">
        <v>42</v>
      </c>
      <c r="G537" s="1">
        <v>75343</v>
      </c>
      <c r="H537" s="1">
        <f>'1_Departamento_n'!C11</f>
        <v>6959952</v>
      </c>
      <c r="I537" s="1">
        <f>'1_Departamento_n'!H11</f>
        <v>1313</v>
      </c>
      <c r="J537" s="1">
        <f>'0_Parametros'!B7</f>
        <v>10</v>
      </c>
      <c r="K537" s="3">
        <f>(I537-SUM($J$506:$J$561))*G537/H537</f>
        <v>8.151389406133836</v>
      </c>
      <c r="L537" s="1">
        <f>INT(K537)</f>
        <v>8</v>
      </c>
      <c r="M537" s="3">
        <f>K537-L537</f>
        <v>0.1513894061338359</v>
      </c>
      <c r="N537" s="1">
        <f>COUNTIF($M$506:$M$561,"&gt;"&amp;M537)+COUNTIF($M$506:M537,M537)</f>
        <v>46</v>
      </c>
      <c r="O537" s="1">
        <f>J537+L537+IF(N537&lt;=I537-SUM($J$506:$J$561)-SUM($L$506:$L$561),1,0)</f>
        <v>18</v>
      </c>
    </row>
    <row r="538" spans="1:15">
      <c r="A538" s="1" t="s">
        <v>60</v>
      </c>
      <c r="B538" s="1" t="s">
        <v>61</v>
      </c>
      <c r="C538" s="1" t="s">
        <v>50</v>
      </c>
      <c r="D538" s="1" t="s">
        <v>39</v>
      </c>
      <c r="E538" s="1" t="s">
        <v>44</v>
      </c>
      <c r="F538" s="1" t="s">
        <v>41</v>
      </c>
      <c r="G538" s="1">
        <v>164004</v>
      </c>
      <c r="H538" s="1">
        <f>'1_Departamento_n'!C11</f>
        <v>6959952</v>
      </c>
      <c r="I538" s="1">
        <f>'1_Departamento_n'!H11</f>
        <v>1313</v>
      </c>
      <c r="J538" s="1">
        <f>'0_Parametros'!B7</f>
        <v>10</v>
      </c>
      <c r="K538" s="3">
        <f>(I538-SUM($J$506:$J$561))*G538/H538</f>
        <v>17.743658576955703</v>
      </c>
      <c r="L538" s="1">
        <f>INT(K538)</f>
        <v>17</v>
      </c>
      <c r="M538" s="3">
        <f>K538-L538</f>
        <v>0.7436585769557027</v>
      </c>
      <c r="N538" s="1">
        <f>COUNTIF($M$506:$M$561,"&gt;"&amp;M538)+COUNTIF($M$506:M538,M538)</f>
        <v>13</v>
      </c>
      <c r="O538" s="1">
        <f>J538+L538+IF(N538&lt;=I538-SUM($J$506:$J$561)-SUM($L$506:$L$561),1,0)</f>
        <v>28</v>
      </c>
    </row>
    <row r="539" spans="1:15">
      <c r="A539" s="1" t="s">
        <v>60</v>
      </c>
      <c r="B539" s="1" t="s">
        <v>61</v>
      </c>
      <c r="C539" s="1" t="s">
        <v>50</v>
      </c>
      <c r="D539" s="1" t="s">
        <v>39</v>
      </c>
      <c r="E539" s="1" t="s">
        <v>44</v>
      </c>
      <c r="F539" s="1" t="s">
        <v>42</v>
      </c>
      <c r="G539" s="1">
        <v>73653</v>
      </c>
      <c r="H539" s="1">
        <f>'1_Departamento_n'!C11</f>
        <v>6959952</v>
      </c>
      <c r="I539" s="1">
        <f>'1_Departamento_n'!H11</f>
        <v>1313</v>
      </c>
      <c r="J539" s="1">
        <f>'0_Parametros'!B7</f>
        <v>10</v>
      </c>
      <c r="K539" s="3">
        <f>(I539-SUM($J$506:$J$561))*G539/H539</f>
        <v>7.968547627914675</v>
      </c>
      <c r="L539" s="1">
        <f>INT(K539)</f>
        <v>7</v>
      </c>
      <c r="M539" s="3">
        <f>K539-L539</f>
        <v>0.968547627914675</v>
      </c>
      <c r="N539" s="1">
        <f>COUNTIF($M$506:$M$561,"&gt;"&amp;M539)+COUNTIF($M$506:M539,M539)</f>
        <v>2</v>
      </c>
      <c r="O539" s="1">
        <f>J539+L539+IF(N539&lt;=I539-SUM($J$506:$J$561)-SUM($L$506:$L$561),1,0)</f>
        <v>18</v>
      </c>
    </row>
    <row r="540" spans="1:15">
      <c r="A540" s="1" t="s">
        <v>60</v>
      </c>
      <c r="B540" s="1" t="s">
        <v>61</v>
      </c>
      <c r="C540" s="1" t="s">
        <v>50</v>
      </c>
      <c r="D540" s="1" t="s">
        <v>39</v>
      </c>
      <c r="E540" s="1" t="s">
        <v>45</v>
      </c>
      <c r="F540" s="1" t="s">
        <v>41</v>
      </c>
      <c r="G540" s="1">
        <v>151438</v>
      </c>
      <c r="H540" s="1">
        <f>'1_Departamento_n'!C11</f>
        <v>6959952</v>
      </c>
      <c r="I540" s="1">
        <f>'1_Departamento_n'!H11</f>
        <v>1313</v>
      </c>
      <c r="J540" s="1">
        <f>'0_Parametros'!B7</f>
        <v>10</v>
      </c>
      <c r="K540" s="3">
        <f>(I540-SUM($J$506:$J$561))*G540/H540</f>
        <v>16.38413799405513</v>
      </c>
      <c r="L540" s="1">
        <f>INT(K540)</f>
        <v>16</v>
      </c>
      <c r="M540" s="3">
        <f>K540-L540</f>
        <v>0.3841379940551306</v>
      </c>
      <c r="N540" s="1">
        <f>COUNTIF($M$506:$M$561,"&gt;"&amp;M540)+COUNTIF($M$506:M540,M540)</f>
        <v>36</v>
      </c>
      <c r="O540" s="1">
        <f>J540+L540+IF(N540&lt;=I540-SUM($J$506:$J$561)-SUM($L$506:$L$561),1,0)</f>
        <v>26</v>
      </c>
    </row>
    <row r="541" spans="1:15">
      <c r="A541" s="1" t="s">
        <v>60</v>
      </c>
      <c r="B541" s="1" t="s">
        <v>61</v>
      </c>
      <c r="C541" s="1" t="s">
        <v>50</v>
      </c>
      <c r="D541" s="1" t="s">
        <v>39</v>
      </c>
      <c r="E541" s="1" t="s">
        <v>45</v>
      </c>
      <c r="F541" s="1" t="s">
        <v>42</v>
      </c>
      <c r="G541" s="1">
        <v>60376</v>
      </c>
      <c r="H541" s="1">
        <f>'1_Departamento_n'!C11</f>
        <v>6959952</v>
      </c>
      <c r="I541" s="1">
        <f>'1_Departamento_n'!H11</f>
        <v>1313</v>
      </c>
      <c r="J541" s="1">
        <f>'0_Parametros'!B7</f>
        <v>10</v>
      </c>
      <c r="K541" s="3">
        <f>(I541-SUM($J$506:$J$561))*G541/H541</f>
        <v>6.53210366968048</v>
      </c>
      <c r="L541" s="1">
        <f>INT(K541)</f>
        <v>6</v>
      </c>
      <c r="M541" s="3">
        <f>K541-L541</f>
        <v>0.5321036696804802</v>
      </c>
      <c r="N541" s="1">
        <f>COUNTIF($M$506:$M$561,"&gt;"&amp;M541)+COUNTIF($M$506:M541,M541)</f>
        <v>28</v>
      </c>
      <c r="O541" s="1">
        <f>J541+L541+IF(N541&lt;=I541-SUM($J$506:$J$561)-SUM($L$506:$L$561),1,0)</f>
        <v>17</v>
      </c>
    </row>
    <row r="542" spans="1:15">
      <c r="A542" s="1" t="s">
        <v>60</v>
      </c>
      <c r="B542" s="1" t="s">
        <v>61</v>
      </c>
      <c r="C542" s="1" t="s">
        <v>50</v>
      </c>
      <c r="D542" s="1" t="s">
        <v>39</v>
      </c>
      <c r="E542" s="1" t="s">
        <v>46</v>
      </c>
      <c r="F542" s="1" t="s">
        <v>41</v>
      </c>
      <c r="G542" s="1">
        <v>126941</v>
      </c>
      <c r="H542" s="1">
        <f>'1_Departamento_n'!C11</f>
        <v>6959952</v>
      </c>
      <c r="I542" s="1">
        <f>'1_Departamento_n'!H11</f>
        <v>1313</v>
      </c>
      <c r="J542" s="1">
        <f>'0_Parametros'!B7</f>
        <v>10</v>
      </c>
      <c r="K542" s="3">
        <f>(I542-SUM($J$506:$J$561))*G542/H542</f>
        <v>13.733797733087814</v>
      </c>
      <c r="L542" s="1">
        <f>INT(K542)</f>
        <v>13</v>
      </c>
      <c r="M542" s="3">
        <f>K542-L542</f>
        <v>0.7337977330878136</v>
      </c>
      <c r="N542" s="1">
        <f>COUNTIF($M$506:$M$561,"&gt;"&amp;M542)+COUNTIF($M$506:M542,M542)</f>
        <v>15</v>
      </c>
      <c r="O542" s="1">
        <f>J542+L542+IF(N542&lt;=I542-SUM($J$506:$J$561)-SUM($L$506:$L$561),1,0)</f>
        <v>24</v>
      </c>
    </row>
    <row r="543" spans="1:15">
      <c r="A543" s="1" t="s">
        <v>60</v>
      </c>
      <c r="B543" s="1" t="s">
        <v>61</v>
      </c>
      <c r="C543" s="1" t="s">
        <v>50</v>
      </c>
      <c r="D543" s="1" t="s">
        <v>39</v>
      </c>
      <c r="E543" s="1" t="s">
        <v>46</v>
      </c>
      <c r="F543" s="1" t="s">
        <v>42</v>
      </c>
      <c r="G543" s="1">
        <v>51842</v>
      </c>
      <c r="H543" s="1">
        <f>'1_Departamento_n'!C11</f>
        <v>6959952</v>
      </c>
      <c r="I543" s="1">
        <f>'1_Departamento_n'!H11</f>
        <v>1313</v>
      </c>
      <c r="J543" s="1">
        <f>'0_Parametros'!B7</f>
        <v>10</v>
      </c>
      <c r="K543" s="3">
        <f>(I543-SUM($J$506:$J$561))*G543/H543</f>
        <v>5.608806784874378</v>
      </c>
      <c r="L543" s="1">
        <f>INT(K543)</f>
        <v>5</v>
      </c>
      <c r="M543" s="3">
        <f>K543-L543</f>
        <v>0.6088067848743783</v>
      </c>
      <c r="N543" s="1">
        <f>COUNTIF($M$506:$M$561,"&gt;"&amp;M543)+COUNTIF($M$506:M543,M543)</f>
        <v>24</v>
      </c>
      <c r="O543" s="1">
        <f>J543+L543+IF(N543&lt;=I543-SUM($J$506:$J$561)-SUM($L$506:$L$561),1,0)</f>
        <v>16</v>
      </c>
    </row>
    <row r="544" spans="1:15">
      <c r="A544" s="1" t="s">
        <v>60</v>
      </c>
      <c r="B544" s="1" t="s">
        <v>61</v>
      </c>
      <c r="C544" s="1" t="s">
        <v>50</v>
      </c>
      <c r="D544" s="1" t="s">
        <v>39</v>
      </c>
      <c r="E544" s="1" t="s">
        <v>47</v>
      </c>
      <c r="F544" s="1" t="s">
        <v>41</v>
      </c>
      <c r="G544" s="1">
        <v>116512</v>
      </c>
      <c r="H544" s="1">
        <f>'1_Departamento_n'!C11</f>
        <v>6959952</v>
      </c>
      <c r="I544" s="1">
        <f>'1_Departamento_n'!H11</f>
        <v>1313</v>
      </c>
      <c r="J544" s="1">
        <f>'0_Parametros'!B7</f>
        <v>10</v>
      </c>
      <c r="K544" s="3">
        <f>(I544-SUM($J$506:$J$561))*G544/H544</f>
        <v>12.605480037793365</v>
      </c>
      <c r="L544" s="1">
        <f>INT(K544)</f>
        <v>12</v>
      </c>
      <c r="M544" s="3">
        <f>K544-L544</f>
        <v>0.6054800377933649</v>
      </c>
      <c r="N544" s="1">
        <f>COUNTIF($M$506:$M$561,"&gt;"&amp;M544)+COUNTIF($M$506:M544,M544)</f>
        <v>25</v>
      </c>
      <c r="O544" s="1">
        <f>J544+L544+IF(N544&lt;=I544-SUM($J$506:$J$561)-SUM($L$506:$L$561),1,0)</f>
        <v>23</v>
      </c>
    </row>
    <row r="545" spans="1:15">
      <c r="A545" s="1" t="s">
        <v>60</v>
      </c>
      <c r="B545" s="1" t="s">
        <v>61</v>
      </c>
      <c r="C545" s="1" t="s">
        <v>50</v>
      </c>
      <c r="D545" s="1" t="s">
        <v>39</v>
      </c>
      <c r="E545" s="1" t="s">
        <v>47</v>
      </c>
      <c r="F545" s="1" t="s">
        <v>42</v>
      </c>
      <c r="G545" s="1">
        <v>44479</v>
      </c>
      <c r="H545" s="1">
        <f>'1_Departamento_n'!C11</f>
        <v>6959952</v>
      </c>
      <c r="I545" s="1">
        <f>'1_Departamento_n'!H11</f>
        <v>1313</v>
      </c>
      <c r="J545" s="1">
        <f>'0_Parametros'!B7</f>
        <v>10</v>
      </c>
      <c r="K545" s="3">
        <f>(I545-SUM($J$506:$J$561))*G545/H545</f>
        <v>4.812200860005931</v>
      </c>
      <c r="L545" s="1">
        <f>INT(K545)</f>
        <v>4</v>
      </c>
      <c r="M545" s="3">
        <f>K545-L545</f>
        <v>0.8122008600059312</v>
      </c>
      <c r="N545" s="1">
        <f>COUNTIF($M$506:$M$561,"&gt;"&amp;M545)+COUNTIF($M$506:M545,M545)</f>
        <v>10</v>
      </c>
      <c r="O545" s="1">
        <f>J545+L545+IF(N545&lt;=I545-SUM($J$506:$J$561)-SUM($L$506:$L$561),1,0)</f>
        <v>15</v>
      </c>
    </row>
    <row r="546" spans="1:15">
      <c r="A546" s="1" t="s">
        <v>60</v>
      </c>
      <c r="B546" s="1" t="s">
        <v>61</v>
      </c>
      <c r="C546" s="1" t="s">
        <v>50</v>
      </c>
      <c r="D546" s="1" t="s">
        <v>39</v>
      </c>
      <c r="E546" s="1" t="s">
        <v>48</v>
      </c>
      <c r="F546" s="1" t="s">
        <v>41</v>
      </c>
      <c r="G546" s="1">
        <v>192924</v>
      </c>
      <c r="H546" s="1">
        <f>'1_Departamento_n'!C11</f>
        <v>6959952</v>
      </c>
      <c r="I546" s="1">
        <f>'1_Departamento_n'!H11</f>
        <v>1313</v>
      </c>
      <c r="J546" s="1">
        <f>'0_Parametros'!B7</f>
        <v>10</v>
      </c>
      <c r="K546" s="3">
        <f>(I546-SUM($J$506:$J$561))*G546/H546</f>
        <v>20.872524982930916</v>
      </c>
      <c r="L546" s="1">
        <f>INT(K546)</f>
        <v>20</v>
      </c>
      <c r="M546" s="3">
        <f>K546-L546</f>
        <v>0.8725249829309156</v>
      </c>
      <c r="N546" s="1">
        <f>COUNTIF($M$506:$M$561,"&gt;"&amp;M546)+COUNTIF($M$506:M546,M546)</f>
        <v>8</v>
      </c>
      <c r="O546" s="1">
        <f>J546+L546+IF(N546&lt;=I546-SUM($J$506:$J$561)-SUM($L$506:$L$561),1,0)</f>
        <v>31</v>
      </c>
    </row>
    <row r="547" spans="1:15">
      <c r="A547" s="1" t="s">
        <v>60</v>
      </c>
      <c r="B547" s="1" t="s">
        <v>61</v>
      </c>
      <c r="C547" s="1" t="s">
        <v>50</v>
      </c>
      <c r="D547" s="1" t="s">
        <v>39</v>
      </c>
      <c r="E547" s="1" t="s">
        <v>48</v>
      </c>
      <c r="F547" s="1" t="s">
        <v>42</v>
      </c>
      <c r="G547" s="1">
        <v>68392</v>
      </c>
      <c r="H547" s="1">
        <f>'1_Departamento_n'!C11</f>
        <v>6959952</v>
      </c>
      <c r="I547" s="1">
        <f>'1_Departamento_n'!H11</f>
        <v>1313</v>
      </c>
      <c r="J547" s="1">
        <f>'0_Parametros'!B7</f>
        <v>10</v>
      </c>
      <c r="K547" s="3">
        <f>(I547-SUM($J$506:$J$561))*G547/H547</f>
        <v>7.39935792660639</v>
      </c>
      <c r="L547" s="1">
        <f>INT(K547)</f>
        <v>7</v>
      </c>
      <c r="M547" s="3">
        <f>K547-L547</f>
        <v>0.39935792660639</v>
      </c>
      <c r="N547" s="1">
        <f>COUNTIF($M$506:$M$561,"&gt;"&amp;M547)+COUNTIF($M$506:M547,M547)</f>
        <v>35</v>
      </c>
      <c r="O547" s="1">
        <f>J547+L547+IF(N547&lt;=I547-SUM($J$506:$J$561)-SUM($L$506:$L$561),1,0)</f>
        <v>17</v>
      </c>
    </row>
    <row r="548" spans="1:15">
      <c r="A548" s="1" t="s">
        <v>60</v>
      </c>
      <c r="B548" s="1" t="s">
        <v>61</v>
      </c>
      <c r="C548" s="1" t="s">
        <v>50</v>
      </c>
      <c r="D548" s="1" t="s">
        <v>49</v>
      </c>
      <c r="E548" s="1" t="s">
        <v>40</v>
      </c>
      <c r="F548" s="1" t="s">
        <v>41</v>
      </c>
      <c r="G548" s="1">
        <v>121165</v>
      </c>
      <c r="H548" s="1">
        <f>'1_Departamento_n'!C11</f>
        <v>6959952</v>
      </c>
      <c r="I548" s="1">
        <f>'1_Departamento_n'!H11</f>
        <v>1313</v>
      </c>
      <c r="J548" s="1">
        <f>'0_Parametros'!B7</f>
        <v>10</v>
      </c>
      <c r="K548" s="3">
        <f>(I548-SUM($J$506:$J$561))*G548/H548</f>
        <v>13.108889975103276</v>
      </c>
      <c r="L548" s="1">
        <f>INT(K548)</f>
        <v>13</v>
      </c>
      <c r="M548" s="3">
        <f>K548-L548</f>
        <v>0.10888997510327592</v>
      </c>
      <c r="N548" s="1">
        <f>COUNTIF($M$506:$M$561,"&gt;"&amp;M548)+COUNTIF($M$506:M548,M548)</f>
        <v>50</v>
      </c>
      <c r="O548" s="1">
        <f>J548+L548+IF(N548&lt;=I548-SUM($J$506:$J$561)-SUM($L$506:$L$561),1,0)</f>
        <v>23</v>
      </c>
    </row>
    <row r="549" spans="1:15">
      <c r="A549" s="1" t="s">
        <v>60</v>
      </c>
      <c r="B549" s="1" t="s">
        <v>61</v>
      </c>
      <c r="C549" s="1" t="s">
        <v>50</v>
      </c>
      <c r="D549" s="1" t="s">
        <v>49</v>
      </c>
      <c r="E549" s="1" t="s">
        <v>40</v>
      </c>
      <c r="F549" s="1" t="s">
        <v>42</v>
      </c>
      <c r="G549" s="1">
        <v>65671</v>
      </c>
      <c r="H549" s="1">
        <f>'1_Departamento_n'!C11</f>
        <v>6959952</v>
      </c>
      <c r="I549" s="1">
        <f>'1_Departamento_n'!H11</f>
        <v>1313</v>
      </c>
      <c r="J549" s="1">
        <f>'0_Parametros'!B7</f>
        <v>10</v>
      </c>
      <c r="K549" s="3">
        <f>(I549-SUM($J$506:$J$561))*G549/H549</f>
        <v>7.104971844633411</v>
      </c>
      <c r="L549" s="1">
        <f>INT(K549)</f>
        <v>7</v>
      </c>
      <c r="M549" s="3">
        <f>K549-L549</f>
        <v>0.10497184463341114</v>
      </c>
      <c r="N549" s="1">
        <f>COUNTIF($M$506:$M$561,"&gt;"&amp;M549)+COUNTIF($M$506:M549,M549)</f>
        <v>51</v>
      </c>
      <c r="O549" s="1">
        <f>J549+L549+IF(N549&lt;=I549-SUM($J$506:$J$561)-SUM($L$506:$L$561),1,0)</f>
        <v>17</v>
      </c>
    </row>
    <row r="550" spans="1:15">
      <c r="A550" s="1" t="s">
        <v>60</v>
      </c>
      <c r="B550" s="1" t="s">
        <v>61</v>
      </c>
      <c r="C550" s="1" t="s">
        <v>50</v>
      </c>
      <c r="D550" s="1" t="s">
        <v>49</v>
      </c>
      <c r="E550" s="1" t="s">
        <v>43</v>
      </c>
      <c r="F550" s="1" t="s">
        <v>41</v>
      </c>
      <c r="G550" s="1">
        <v>153754</v>
      </c>
      <c r="H550" s="1">
        <f>'1_Departamento_n'!C11</f>
        <v>6959952</v>
      </c>
      <c r="I550" s="1">
        <f>'1_Departamento_n'!H11</f>
        <v>1313</v>
      </c>
      <c r="J550" s="1">
        <f>'0_Parametros'!B7</f>
        <v>10</v>
      </c>
      <c r="K550" s="3">
        <f>(I550-SUM($J$506:$J$561))*G550/H550</f>
        <v>16.6347069634963</v>
      </c>
      <c r="L550" s="1">
        <f>INT(K550)</f>
        <v>16</v>
      </c>
      <c r="M550" s="3">
        <f>K550-L550</f>
        <v>0.6347069634962992</v>
      </c>
      <c r="N550" s="1">
        <f>COUNTIF($M$506:$M$561,"&gt;"&amp;M550)+COUNTIF($M$506:M550,M550)</f>
        <v>22</v>
      </c>
      <c r="O550" s="1">
        <f>J550+L550+IF(N550&lt;=I550-SUM($J$506:$J$561)-SUM($L$506:$L$561),1,0)</f>
        <v>27</v>
      </c>
    </row>
    <row r="551" spans="1:15">
      <c r="A551" s="1" t="s">
        <v>60</v>
      </c>
      <c r="B551" s="1" t="s">
        <v>61</v>
      </c>
      <c r="C551" s="1" t="s">
        <v>50</v>
      </c>
      <c r="D551" s="1" t="s">
        <v>49</v>
      </c>
      <c r="E551" s="1" t="s">
        <v>43</v>
      </c>
      <c r="F551" s="1" t="s">
        <v>42</v>
      </c>
      <c r="G551" s="1">
        <v>76523</v>
      </c>
      <c r="H551" s="1">
        <f>'1_Departamento_n'!C11</f>
        <v>6959952</v>
      </c>
      <c r="I551" s="1">
        <f>'1_Departamento_n'!H11</f>
        <v>1313</v>
      </c>
      <c r="J551" s="1">
        <f>'0_Parametros'!B7</f>
        <v>10</v>
      </c>
      <c r="K551" s="3">
        <f>(I551-SUM($J$506:$J$561))*G551/H551</f>
        <v>8.279054079683307</v>
      </c>
      <c r="L551" s="1">
        <f>INT(K551)</f>
        <v>8</v>
      </c>
      <c r="M551" s="3">
        <f>K551-L551</f>
        <v>0.2790540796833074</v>
      </c>
      <c r="N551" s="1">
        <f>COUNTIF($M$506:$M$561,"&gt;"&amp;M551)+COUNTIF($M$506:M551,M551)</f>
        <v>40</v>
      </c>
      <c r="O551" s="1">
        <f>J551+L551+IF(N551&lt;=I551-SUM($J$506:$J$561)-SUM($L$506:$L$561),1,0)</f>
        <v>18</v>
      </c>
    </row>
    <row r="552" spans="1:15">
      <c r="A552" s="1" t="s">
        <v>60</v>
      </c>
      <c r="B552" s="1" t="s">
        <v>61</v>
      </c>
      <c r="C552" s="1" t="s">
        <v>50</v>
      </c>
      <c r="D552" s="1" t="s">
        <v>49</v>
      </c>
      <c r="E552" s="1" t="s">
        <v>44</v>
      </c>
      <c r="F552" s="1" t="s">
        <v>41</v>
      </c>
      <c r="G552" s="1">
        <v>158241</v>
      </c>
      <c r="H552" s="1">
        <f>'1_Departamento_n'!C11</f>
        <v>6959952</v>
      </c>
      <c r="I552" s="1">
        <f>'1_Departamento_n'!H11</f>
        <v>1313</v>
      </c>
      <c r="J552" s="1">
        <f>'0_Parametros'!B7</f>
        <v>10</v>
      </c>
      <c r="K552" s="3">
        <f>(I552-SUM($J$506:$J$561))*G552/H552</f>
        <v>17.120157294188235</v>
      </c>
      <c r="L552" s="1">
        <f>INT(K552)</f>
        <v>17</v>
      </c>
      <c r="M552" s="3">
        <f>K552-L552</f>
        <v>0.1201572941882354</v>
      </c>
      <c r="N552" s="1">
        <f>COUNTIF($M$506:$M$561,"&gt;"&amp;M552)+COUNTIF($M$506:M552,M552)</f>
        <v>48</v>
      </c>
      <c r="O552" s="1">
        <f>J552+L552+IF(N552&lt;=I552-SUM($J$506:$J$561)-SUM($L$506:$L$561),1,0)</f>
        <v>27</v>
      </c>
    </row>
    <row r="553" spans="1:15">
      <c r="A553" s="1" t="s">
        <v>60</v>
      </c>
      <c r="B553" s="1" t="s">
        <v>61</v>
      </c>
      <c r="C553" s="1" t="s">
        <v>50</v>
      </c>
      <c r="D553" s="1" t="s">
        <v>49</v>
      </c>
      <c r="E553" s="1" t="s">
        <v>44</v>
      </c>
      <c r="F553" s="1" t="s">
        <v>42</v>
      </c>
      <c r="G553" s="1">
        <v>71511</v>
      </c>
      <c r="H553" s="1">
        <f>'1_Departamento_n'!C11</f>
        <v>6959952</v>
      </c>
      <c r="I553" s="1">
        <f>'1_Departamento_n'!H11</f>
        <v>1313</v>
      </c>
      <c r="J553" s="1">
        <f>'0_Parametros'!B7</f>
        <v>10</v>
      </c>
      <c r="K553" s="3">
        <f>(I553-SUM($J$506:$J$561))*G553/H553</f>
        <v>7.736803788301988</v>
      </c>
      <c r="L553" s="1">
        <f>INT(K553)</f>
        <v>7</v>
      </c>
      <c r="M553" s="3">
        <f>K553-L553</f>
        <v>0.7368037883019882</v>
      </c>
      <c r="N553" s="1">
        <f>COUNTIF($M$506:$M$561,"&gt;"&amp;M553)+COUNTIF($M$506:M553,M553)</f>
        <v>14</v>
      </c>
      <c r="O553" s="1">
        <f>J553+L553+IF(N553&lt;=I553-SUM($J$506:$J$561)-SUM($L$506:$L$561),1,0)</f>
        <v>18</v>
      </c>
    </row>
    <row r="554" spans="1:15">
      <c r="A554" s="1" t="s">
        <v>60</v>
      </c>
      <c r="B554" s="1" t="s">
        <v>61</v>
      </c>
      <c r="C554" s="1" t="s">
        <v>50</v>
      </c>
      <c r="D554" s="1" t="s">
        <v>49</v>
      </c>
      <c r="E554" s="1" t="s">
        <v>45</v>
      </c>
      <c r="F554" s="1" t="s">
        <v>41</v>
      </c>
      <c r="G554" s="1">
        <v>151008</v>
      </c>
      <c r="H554" s="1">
        <f>'1_Departamento_n'!C11</f>
        <v>6959952</v>
      </c>
      <c r="I554" s="1">
        <f>'1_Departamento_n'!H11</f>
        <v>1313</v>
      </c>
      <c r="J554" s="1">
        <f>'0_Parametros'!B7</f>
        <v>10</v>
      </c>
      <c r="K554" s="3">
        <f>(I554-SUM($J$506:$J$561))*G554/H554</f>
        <v>16.337616121490495</v>
      </c>
      <c r="L554" s="1">
        <f>INT(K554)</f>
        <v>16</v>
      </c>
      <c r="M554" s="3">
        <f>K554-L554</f>
        <v>0.3376161214904947</v>
      </c>
      <c r="N554" s="1">
        <f>COUNTIF($M$506:$M$561,"&gt;"&amp;M554)+COUNTIF($M$506:M554,M554)</f>
        <v>38</v>
      </c>
      <c r="O554" s="1">
        <f>J554+L554+IF(N554&lt;=I554-SUM($J$506:$J$561)-SUM($L$506:$L$561),1,0)</f>
        <v>26</v>
      </c>
    </row>
    <row r="555" spans="1:15">
      <c r="A555" s="1" t="s">
        <v>60</v>
      </c>
      <c r="B555" s="1" t="s">
        <v>61</v>
      </c>
      <c r="C555" s="1" t="s">
        <v>50</v>
      </c>
      <c r="D555" s="1" t="s">
        <v>49</v>
      </c>
      <c r="E555" s="1" t="s">
        <v>45</v>
      </c>
      <c r="F555" s="1" t="s">
        <v>42</v>
      </c>
      <c r="G555" s="1">
        <v>63350</v>
      </c>
      <c r="H555" s="1">
        <f>'1_Departamento_n'!C11</f>
        <v>6959952</v>
      </c>
      <c r="I555" s="1">
        <f>'1_Departamento_n'!H11</f>
        <v>1313</v>
      </c>
      <c r="J555" s="1">
        <f>'0_Parametros'!B7</f>
        <v>10</v>
      </c>
      <c r="K555" s="3">
        <f>(I555-SUM($J$506:$J$561))*G555/H555</f>
        <v>6.853861923185677</v>
      </c>
      <c r="L555" s="1">
        <f>INT(K555)</f>
        <v>6</v>
      </c>
      <c r="M555" s="3">
        <f>K555-L555</f>
        <v>0.8538619231856774</v>
      </c>
      <c r="N555" s="1">
        <f>COUNTIF($M$506:$M$561,"&gt;"&amp;M555)+COUNTIF($M$506:M555,M555)</f>
        <v>9</v>
      </c>
      <c r="O555" s="1">
        <f>J555+L555+IF(N555&lt;=I555-SUM($J$506:$J$561)-SUM($L$506:$L$561),1,0)</f>
        <v>17</v>
      </c>
    </row>
    <row r="556" spans="1:15">
      <c r="A556" s="1" t="s">
        <v>60</v>
      </c>
      <c r="B556" s="1" t="s">
        <v>61</v>
      </c>
      <c r="C556" s="1" t="s">
        <v>50</v>
      </c>
      <c r="D556" s="1" t="s">
        <v>49</v>
      </c>
      <c r="E556" s="1" t="s">
        <v>46</v>
      </c>
      <c r="F556" s="1" t="s">
        <v>41</v>
      </c>
      <c r="G556" s="1">
        <v>113391</v>
      </c>
      <c r="H556" s="1">
        <f>'1_Departamento_n'!C11</f>
        <v>6959952</v>
      </c>
      <c r="I556" s="1">
        <f>'1_Departamento_n'!H11</f>
        <v>1313</v>
      </c>
      <c r="J556" s="1">
        <f>'0_Parametros'!B7</f>
        <v>10</v>
      </c>
      <c r="K556" s="3">
        <f>(I556-SUM($J$506:$J$561))*G556/H556</f>
        <v>12.26781779529514</v>
      </c>
      <c r="L556" s="1">
        <f>INT(K556)</f>
        <v>12</v>
      </c>
      <c r="M556" s="3">
        <f>K556-L556</f>
        <v>0.2678177952951408</v>
      </c>
      <c r="N556" s="1">
        <f>COUNTIF($M$506:$M$561,"&gt;"&amp;M556)+COUNTIF($M$506:M556,M556)</f>
        <v>41</v>
      </c>
      <c r="O556" s="1">
        <f>J556+L556+IF(N556&lt;=I556-SUM($J$506:$J$561)-SUM($L$506:$L$561),1,0)</f>
        <v>22</v>
      </c>
    </row>
    <row r="557" spans="1:15">
      <c r="A557" s="1" t="s">
        <v>60</v>
      </c>
      <c r="B557" s="1" t="s">
        <v>61</v>
      </c>
      <c r="C557" s="1" t="s">
        <v>50</v>
      </c>
      <c r="D557" s="1" t="s">
        <v>49</v>
      </c>
      <c r="E557" s="1" t="s">
        <v>46</v>
      </c>
      <c r="F557" s="1" t="s">
        <v>42</v>
      </c>
      <c r="G557" s="1">
        <v>52762</v>
      </c>
      <c r="H557" s="1">
        <f>'1_Departamento_n'!C11</f>
        <v>6959952</v>
      </c>
      <c r="I557" s="1">
        <f>'1_Departamento_n'!H11</f>
        <v>1313</v>
      </c>
      <c r="J557" s="1">
        <f>'0_Parametros'!B7</f>
        <v>10</v>
      </c>
      <c r="K557" s="3">
        <f>(I557-SUM($J$506:$J$561))*G557/H557</f>
        <v>5.708341954082442</v>
      </c>
      <c r="L557" s="1">
        <f>INT(K557)</f>
        <v>5</v>
      </c>
      <c r="M557" s="3">
        <f>K557-L557</f>
        <v>0.7083419540824423</v>
      </c>
      <c r="N557" s="1">
        <f>COUNTIF($M$506:$M$561,"&gt;"&amp;M557)+COUNTIF($M$506:M557,M557)</f>
        <v>16</v>
      </c>
      <c r="O557" s="1">
        <f>J557+L557+IF(N557&lt;=I557-SUM($J$506:$J$561)-SUM($L$506:$L$561),1,0)</f>
        <v>16</v>
      </c>
    </row>
    <row r="558" spans="1:15">
      <c r="A558" s="1" t="s">
        <v>60</v>
      </c>
      <c r="B558" s="1" t="s">
        <v>61</v>
      </c>
      <c r="C558" s="1" t="s">
        <v>50</v>
      </c>
      <c r="D558" s="1" t="s">
        <v>49</v>
      </c>
      <c r="E558" s="1" t="s">
        <v>47</v>
      </c>
      <c r="F558" s="1" t="s">
        <v>41</v>
      </c>
      <c r="G558" s="1">
        <v>93506</v>
      </c>
      <c r="H558" s="1">
        <f>'1_Departamento_n'!C11</f>
        <v>6959952</v>
      </c>
      <c r="I558" s="1">
        <f>'1_Departamento_n'!H11</f>
        <v>1313</v>
      </c>
      <c r="J558" s="1">
        <f>'0_Parametros'!B7</f>
        <v>10</v>
      </c>
      <c r="K558" s="3">
        <f>(I558-SUM($J$506:$J$561))*G558/H558</f>
        <v>10.116451665183897</v>
      </c>
      <c r="L558" s="1">
        <f>INT(K558)</f>
        <v>10</v>
      </c>
      <c r="M558" s="3">
        <f>K558-L558</f>
        <v>0.11645166518389694</v>
      </c>
      <c r="N558" s="1">
        <f>COUNTIF($M$506:$M$561,"&gt;"&amp;M558)+COUNTIF($M$506:M558,M558)</f>
        <v>49</v>
      </c>
      <c r="O558" s="1">
        <f>J558+L558+IF(N558&lt;=I558-SUM($J$506:$J$561)-SUM($L$506:$L$561),1,0)</f>
        <v>20</v>
      </c>
    </row>
    <row r="559" spans="1:15">
      <c r="A559" s="1" t="s">
        <v>60</v>
      </c>
      <c r="B559" s="1" t="s">
        <v>61</v>
      </c>
      <c r="C559" s="1" t="s">
        <v>50</v>
      </c>
      <c r="D559" s="1" t="s">
        <v>49</v>
      </c>
      <c r="E559" s="1" t="s">
        <v>47</v>
      </c>
      <c r="F559" s="1" t="s">
        <v>42</v>
      </c>
      <c r="G559" s="1">
        <v>47927</v>
      </c>
      <c r="H559" s="1">
        <f>'1_Departamento_n'!C11</f>
        <v>6959952</v>
      </c>
      <c r="I559" s="1">
        <f>'1_Departamento_n'!H11</f>
        <v>1313</v>
      </c>
      <c r="J559" s="1">
        <f>'0_Parametros'!B7</f>
        <v>10</v>
      </c>
      <c r="K559" s="3">
        <f>(I559-SUM($J$506:$J$561))*G559/H559</f>
        <v>5.185241363733543</v>
      </c>
      <c r="L559" s="1">
        <f>INT(K559)</f>
        <v>5</v>
      </c>
      <c r="M559" s="3">
        <f>K559-L559</f>
        <v>0.18524136373354327</v>
      </c>
      <c r="N559" s="1">
        <f>COUNTIF($M$506:$M$561,"&gt;"&amp;M559)+COUNTIF($M$506:M559,M559)</f>
        <v>43</v>
      </c>
      <c r="O559" s="1">
        <f>J559+L559+IF(N559&lt;=I559-SUM($J$506:$J$561)-SUM($L$506:$L$561),1,0)</f>
        <v>15</v>
      </c>
    </row>
    <row r="560" spans="1:15">
      <c r="A560" s="1" t="s">
        <v>60</v>
      </c>
      <c r="B560" s="1" t="s">
        <v>61</v>
      </c>
      <c r="C560" s="1" t="s">
        <v>50</v>
      </c>
      <c r="D560" s="1" t="s">
        <v>49</v>
      </c>
      <c r="E560" s="1" t="s">
        <v>48</v>
      </c>
      <c r="F560" s="1" t="s">
        <v>41</v>
      </c>
      <c r="G560" s="1">
        <v>152075</v>
      </c>
      <c r="H560" s="1">
        <f>'1_Departamento_n'!C11</f>
        <v>6959952</v>
      </c>
      <c r="I560" s="1">
        <f>'1_Departamento_n'!H11</f>
        <v>1313</v>
      </c>
      <c r="J560" s="1">
        <f>'0_Parametros'!B7</f>
        <v>10</v>
      </c>
      <c r="K560" s="3">
        <f>(I560-SUM($J$506:$J$561))*G560/H560</f>
        <v>16.453055279691583</v>
      </c>
      <c r="L560" s="1">
        <f>INT(K560)</f>
        <v>16</v>
      </c>
      <c r="M560" s="3">
        <f>K560-L560</f>
        <v>0.45305527969158277</v>
      </c>
      <c r="N560" s="1">
        <f>COUNTIF($M$506:$M$561,"&gt;"&amp;M560)+COUNTIF($M$506:M560,M560)</f>
        <v>32</v>
      </c>
      <c r="O560" s="1">
        <f>J560+L560+IF(N560&lt;=I560-SUM($J$506:$J$561)-SUM($L$506:$L$561),1,0)</f>
        <v>26</v>
      </c>
    </row>
    <row r="561" spans="1:15">
      <c r="A561" s="1" t="s">
        <v>60</v>
      </c>
      <c r="B561" s="1" t="s">
        <v>61</v>
      </c>
      <c r="C561" s="1" t="s">
        <v>50</v>
      </c>
      <c r="D561" s="1" t="s">
        <v>49</v>
      </c>
      <c r="E561" s="1" t="s">
        <v>48</v>
      </c>
      <c r="F561" s="1" t="s">
        <v>42</v>
      </c>
      <c r="G561" s="1">
        <v>80063</v>
      </c>
      <c r="H561" s="1">
        <f>'1_Departamento_n'!C11</f>
        <v>6959952</v>
      </c>
      <c r="I561" s="1">
        <f>'1_Departamento_n'!H11</f>
        <v>1313</v>
      </c>
      <c r="J561" s="1">
        <f>'0_Parametros'!B7</f>
        <v>10</v>
      </c>
      <c r="K561" s="3">
        <f>(I561-SUM($J$506:$J$561))*G561/H561</f>
        <v>8.662048100331726</v>
      </c>
      <c r="L561" s="1">
        <f>INT(K561)</f>
        <v>8</v>
      </c>
      <c r="M561" s="3">
        <f>K561-L561</f>
        <v>0.6620481003317256</v>
      </c>
      <c r="N561" s="1">
        <f>COUNTIF($M$506:$M$561,"&gt;"&amp;M561)+COUNTIF($M$506:M561,M561)</f>
        <v>20</v>
      </c>
      <c r="O561" s="1">
        <f>J561+L561+IF(N561&lt;=I561-SUM($J$506:$J$561)-SUM($L$506:$L$561),1,0)</f>
        <v>19</v>
      </c>
    </row>
    <row r="562" spans="1:15">
      <c r="A562" s="1" t="s">
        <v>60</v>
      </c>
      <c r="B562" s="1" t="s">
        <v>62</v>
      </c>
      <c r="C562" s="1" t="s">
        <v>38</v>
      </c>
      <c r="D562" s="1" t="s">
        <v>39</v>
      </c>
      <c r="E562" s="1" t="s">
        <v>40</v>
      </c>
      <c r="F562" s="1" t="s">
        <v>41</v>
      </c>
      <c r="G562" s="1">
        <v>15079</v>
      </c>
      <c r="H562" s="1">
        <f>'1_Departamento_n'!C12</f>
        <v>911331</v>
      </c>
      <c r="I562" s="1">
        <f>'1_Departamento_n'!H12</f>
        <v>1312</v>
      </c>
      <c r="J562" s="1">
        <f>'0_Parametros'!B7</f>
        <v>10</v>
      </c>
      <c r="K562" s="3">
        <f>(I562-SUM($J$562:$J$617))*G562/H562</f>
        <v>12.442688770600364</v>
      </c>
      <c r="L562" s="1">
        <f>INT(K562)</f>
        <v>12</v>
      </c>
      <c r="M562" s="3">
        <f>K562-L562</f>
        <v>0.4426887706003644</v>
      </c>
      <c r="N562" s="1">
        <f>COUNTIF($M$562:$M$617,"&gt;"&amp;M562)+COUNTIF($M$562:M562,M562)</f>
        <v>29</v>
      </c>
      <c r="O562" s="1">
        <f>J562+L562+IF(N562&lt;=I562-SUM($J$562:$J$617)-SUM($L$562:$L$617),1,0)</f>
        <v>22</v>
      </c>
    </row>
    <row r="563" spans="1:15">
      <c r="A563" s="1" t="s">
        <v>60</v>
      </c>
      <c r="B563" s="1" t="s">
        <v>62</v>
      </c>
      <c r="C563" s="1" t="s">
        <v>38</v>
      </c>
      <c r="D563" s="1" t="s">
        <v>39</v>
      </c>
      <c r="E563" s="1" t="s">
        <v>40</v>
      </c>
      <c r="F563" s="1" t="s">
        <v>42</v>
      </c>
      <c r="G563" s="1">
        <v>1539</v>
      </c>
      <c r="H563" s="1">
        <f>'1_Departamento_n'!C12</f>
        <v>911331</v>
      </c>
      <c r="I563" s="1">
        <f>'1_Departamento_n'!H12</f>
        <v>1312</v>
      </c>
      <c r="J563" s="1">
        <f>'0_Parametros'!B7</f>
        <v>10</v>
      </c>
      <c r="K563" s="3">
        <f>(I563-SUM($J$562:$J$617))*G563/H563</f>
        <v>1.2699315616389655</v>
      </c>
      <c r="L563" s="1">
        <f>INT(K563)</f>
        <v>1</v>
      </c>
      <c r="M563" s="3">
        <f>K563-L563</f>
        <v>0.2699315616389655</v>
      </c>
      <c r="N563" s="1">
        <f>COUNTIF($M$562:$M$617,"&gt;"&amp;M563)+COUNTIF($M$562:M563,M563)</f>
        <v>41</v>
      </c>
      <c r="O563" s="1">
        <f>J563+L563+IF(N563&lt;=I563-SUM($J$562:$J$617)-SUM($L$562:$L$617),1,0)</f>
        <v>11</v>
      </c>
    </row>
    <row r="564" spans="1:15">
      <c r="A564" s="1" t="s">
        <v>60</v>
      </c>
      <c r="B564" s="1" t="s">
        <v>62</v>
      </c>
      <c r="C564" s="1" t="s">
        <v>38</v>
      </c>
      <c r="D564" s="1" t="s">
        <v>39</v>
      </c>
      <c r="E564" s="1" t="s">
        <v>43</v>
      </c>
      <c r="F564" s="1" t="s">
        <v>41</v>
      </c>
      <c r="G564" s="1">
        <v>23635</v>
      </c>
      <c r="H564" s="1">
        <f>'1_Departamento_n'!C12</f>
        <v>911331</v>
      </c>
      <c r="I564" s="1">
        <f>'1_Departamento_n'!H12</f>
        <v>1312</v>
      </c>
      <c r="J564" s="1">
        <f>'0_Parametros'!B7</f>
        <v>10</v>
      </c>
      <c r="K564" s="3">
        <f>(I564-SUM($J$562:$J$617))*G564/H564</f>
        <v>19.502815113279368</v>
      </c>
      <c r="L564" s="1">
        <f>INT(K564)</f>
        <v>19</v>
      </c>
      <c r="M564" s="3">
        <f>K564-L564</f>
        <v>0.5028151132793681</v>
      </c>
      <c r="N564" s="1">
        <f>COUNTIF($M$562:$M$617,"&gt;"&amp;M564)+COUNTIF($M$562:M564,M564)</f>
        <v>28</v>
      </c>
      <c r="O564" s="1">
        <f>J564+L564+IF(N564&lt;=I564-SUM($J$562:$J$617)-SUM($L$562:$L$617),1,0)</f>
        <v>29</v>
      </c>
    </row>
    <row r="565" spans="1:15">
      <c r="A565" s="1" t="s">
        <v>60</v>
      </c>
      <c r="B565" s="1" t="s">
        <v>62</v>
      </c>
      <c r="C565" s="1" t="s">
        <v>38</v>
      </c>
      <c r="D565" s="1" t="s">
        <v>39</v>
      </c>
      <c r="E565" s="1" t="s">
        <v>43</v>
      </c>
      <c r="F565" s="1" t="s">
        <v>42</v>
      </c>
      <c r="G565" s="1">
        <v>1659</v>
      </c>
      <c r="H565" s="1">
        <f>'1_Departamento_n'!C12</f>
        <v>911331</v>
      </c>
      <c r="I565" s="1">
        <f>'1_Departamento_n'!H12</f>
        <v>1312</v>
      </c>
      <c r="J565" s="1">
        <f>'0_Parametros'!B7</f>
        <v>10</v>
      </c>
      <c r="K565" s="3">
        <f>(I565-SUM($J$562:$J$617))*G565/H565</f>
        <v>1.3689515664451226</v>
      </c>
      <c r="L565" s="1">
        <f>INT(K565)</f>
        <v>1</v>
      </c>
      <c r="M565" s="3">
        <f>K565-L565</f>
        <v>0.3689515664451226</v>
      </c>
      <c r="N565" s="1">
        <f>COUNTIF($M$562:$M$617,"&gt;"&amp;M565)+COUNTIF($M$562:M565,M565)</f>
        <v>32</v>
      </c>
      <c r="O565" s="1">
        <f>J565+L565+IF(N565&lt;=I565-SUM($J$562:$J$617)-SUM($L$562:$L$617),1,0)</f>
        <v>11</v>
      </c>
    </row>
    <row r="566" spans="1:15">
      <c r="A566" s="1" t="s">
        <v>60</v>
      </c>
      <c r="B566" s="1" t="s">
        <v>62</v>
      </c>
      <c r="C566" s="1" t="s">
        <v>38</v>
      </c>
      <c r="D566" s="1" t="s">
        <v>39</v>
      </c>
      <c r="E566" s="1" t="s">
        <v>44</v>
      </c>
      <c r="F566" s="1" t="s">
        <v>41</v>
      </c>
      <c r="G566" s="1">
        <v>31560</v>
      </c>
      <c r="H566" s="1">
        <f>'1_Departamento_n'!C12</f>
        <v>911331</v>
      </c>
      <c r="I566" s="1">
        <f>'1_Departamento_n'!H12</f>
        <v>1312</v>
      </c>
      <c r="J566" s="1">
        <f>'0_Parametros'!B7</f>
        <v>10</v>
      </c>
      <c r="K566" s="3">
        <f>(I566-SUM($J$562:$J$617))*G566/H566</f>
        <v>26.04226126401933</v>
      </c>
      <c r="L566" s="1">
        <f>INT(K566)</f>
        <v>26</v>
      </c>
      <c r="M566" s="3">
        <f>K566-L566</f>
        <v>0.042261264019330724</v>
      </c>
      <c r="N566" s="1">
        <f>COUNTIF($M$562:$M$617,"&gt;"&amp;M566)+COUNTIF($M$562:M566,M566)</f>
        <v>55</v>
      </c>
      <c r="O566" s="1">
        <f>J566+L566+IF(N566&lt;=I566-SUM($J$562:$J$617)-SUM($L$562:$L$617),1,0)</f>
        <v>36</v>
      </c>
    </row>
    <row r="567" spans="1:15">
      <c r="A567" s="1" t="s">
        <v>60</v>
      </c>
      <c r="B567" s="1" t="s">
        <v>62</v>
      </c>
      <c r="C567" s="1" t="s">
        <v>38</v>
      </c>
      <c r="D567" s="1" t="s">
        <v>39</v>
      </c>
      <c r="E567" s="1" t="s">
        <v>44</v>
      </c>
      <c r="F567" s="1" t="s">
        <v>42</v>
      </c>
      <c r="G567" s="1">
        <v>2588</v>
      </c>
      <c r="H567" s="1">
        <f>'1_Departamento_n'!C12</f>
        <v>911331</v>
      </c>
      <c r="I567" s="1">
        <f>'1_Departamento_n'!H12</f>
        <v>1312</v>
      </c>
      <c r="J567" s="1">
        <f>'0_Parametros'!B7</f>
        <v>10</v>
      </c>
      <c r="K567" s="3">
        <f>(I567-SUM($J$562:$J$617))*G567/H567</f>
        <v>2.1355314369861227</v>
      </c>
      <c r="L567" s="1">
        <f>INT(K567)</f>
        <v>2</v>
      </c>
      <c r="M567" s="3">
        <f>K567-L567</f>
        <v>0.1355314369861227</v>
      </c>
      <c r="N567" s="1">
        <f>COUNTIF($M$562:$M$617,"&gt;"&amp;M567)+COUNTIF($M$562:M567,M567)</f>
        <v>47</v>
      </c>
      <c r="O567" s="1">
        <f>J567+L567+IF(N567&lt;=I567-SUM($J$562:$J$617)-SUM($L$562:$L$617),1,0)</f>
        <v>12</v>
      </c>
    </row>
    <row r="568" spans="1:15">
      <c r="A568" s="1" t="s">
        <v>60</v>
      </c>
      <c r="B568" s="1" t="s">
        <v>62</v>
      </c>
      <c r="C568" s="1" t="s">
        <v>38</v>
      </c>
      <c r="D568" s="1" t="s">
        <v>39</v>
      </c>
      <c r="E568" s="1" t="s">
        <v>45</v>
      </c>
      <c r="F568" s="1" t="s">
        <v>41</v>
      </c>
      <c r="G568" s="1">
        <v>37063</v>
      </c>
      <c r="H568" s="1">
        <f>'1_Departamento_n'!C12</f>
        <v>911331</v>
      </c>
      <c r="I568" s="1">
        <f>'1_Departamento_n'!H12</f>
        <v>1312</v>
      </c>
      <c r="J568" s="1">
        <f>'0_Parametros'!B7</f>
        <v>10</v>
      </c>
      <c r="K568" s="3">
        <f>(I568-SUM($J$562:$J$617))*G568/H568</f>
        <v>30.583153651088352</v>
      </c>
      <c r="L568" s="1">
        <f>INT(K568)</f>
        <v>30</v>
      </c>
      <c r="M568" s="3">
        <f>K568-L568</f>
        <v>0.5831536510883524</v>
      </c>
      <c r="N568" s="1">
        <f>COUNTIF($M$562:$M$617,"&gt;"&amp;M568)+COUNTIF($M$562:M568,M568)</f>
        <v>22</v>
      </c>
      <c r="O568" s="1">
        <f>J568+L568+IF(N568&lt;=I568-SUM($J$562:$J$617)-SUM($L$562:$L$617),1,0)</f>
        <v>41</v>
      </c>
    </row>
    <row r="569" spans="1:15">
      <c r="A569" s="1" t="s">
        <v>60</v>
      </c>
      <c r="B569" s="1" t="s">
        <v>62</v>
      </c>
      <c r="C569" s="1" t="s">
        <v>38</v>
      </c>
      <c r="D569" s="1" t="s">
        <v>39</v>
      </c>
      <c r="E569" s="1" t="s">
        <v>45</v>
      </c>
      <c r="F569" s="1" t="s">
        <v>42</v>
      </c>
      <c r="G569" s="1">
        <v>2201</v>
      </c>
      <c r="H569" s="1">
        <f>'1_Departamento_n'!C12</f>
        <v>911331</v>
      </c>
      <c r="I569" s="1">
        <f>'1_Departamento_n'!H12</f>
        <v>1312</v>
      </c>
      <c r="J569" s="1">
        <f>'0_Parametros'!B7</f>
        <v>10</v>
      </c>
      <c r="K569" s="3">
        <f>(I569-SUM($J$562:$J$617))*G569/H569</f>
        <v>1.8161919214862656</v>
      </c>
      <c r="L569" s="1">
        <f>INT(K569)</f>
        <v>1</v>
      </c>
      <c r="M569" s="3">
        <f>K569-L569</f>
        <v>0.8161919214862656</v>
      </c>
      <c r="N569" s="1">
        <f>COUNTIF($M$562:$M$617,"&gt;"&amp;M569)+COUNTIF($M$562:M569,M569)</f>
        <v>11</v>
      </c>
      <c r="O569" s="1">
        <f>J569+L569+IF(N569&lt;=I569-SUM($J$562:$J$617)-SUM($L$562:$L$617),1,0)</f>
        <v>12</v>
      </c>
    </row>
    <row r="570" spans="1:15">
      <c r="A570" s="1" t="s">
        <v>60</v>
      </c>
      <c r="B570" s="1" t="s">
        <v>62</v>
      </c>
      <c r="C570" s="1" t="s">
        <v>38</v>
      </c>
      <c r="D570" s="1" t="s">
        <v>39</v>
      </c>
      <c r="E570" s="1" t="s">
        <v>46</v>
      </c>
      <c r="F570" s="1" t="s">
        <v>41</v>
      </c>
      <c r="G570" s="1">
        <v>34324</v>
      </c>
      <c r="H570" s="1">
        <f>'1_Departamento_n'!C12</f>
        <v>911331</v>
      </c>
      <c r="I570" s="1">
        <f>'1_Departamento_n'!H12</f>
        <v>1312</v>
      </c>
      <c r="J570" s="1">
        <f>'0_Parametros'!B7</f>
        <v>10</v>
      </c>
      <c r="K570" s="3">
        <f>(I570-SUM($J$562:$J$617))*G570/H570</f>
        <v>28.323022041387816</v>
      </c>
      <c r="L570" s="1">
        <f>INT(K570)</f>
        <v>28</v>
      </c>
      <c r="M570" s="3">
        <f>K570-L570</f>
        <v>0.32302204138781576</v>
      </c>
      <c r="N570" s="1">
        <f>COUNTIF($M$562:$M$617,"&gt;"&amp;M570)+COUNTIF($M$562:M570,M570)</f>
        <v>36</v>
      </c>
      <c r="O570" s="1">
        <f>J570+L570+IF(N570&lt;=I570-SUM($J$562:$J$617)-SUM($L$562:$L$617),1,0)</f>
        <v>38</v>
      </c>
    </row>
    <row r="571" spans="1:15">
      <c r="A571" s="1" t="s">
        <v>60</v>
      </c>
      <c r="B571" s="1" t="s">
        <v>62</v>
      </c>
      <c r="C571" s="1" t="s">
        <v>38</v>
      </c>
      <c r="D571" s="1" t="s">
        <v>39</v>
      </c>
      <c r="E571" s="1" t="s">
        <v>46</v>
      </c>
      <c r="F571" s="1" t="s">
        <v>42</v>
      </c>
      <c r="G571" s="1">
        <v>1719</v>
      </c>
      <c r="H571" s="1">
        <f>'1_Departamento_n'!C12</f>
        <v>911331</v>
      </c>
      <c r="I571" s="1">
        <f>'1_Departamento_n'!H12</f>
        <v>1312</v>
      </c>
      <c r="J571" s="1">
        <f>'0_Parametros'!B7</f>
        <v>10</v>
      </c>
      <c r="K571" s="3">
        <f>(I571-SUM($J$562:$J$617))*G571/H571</f>
        <v>1.4184615688482012</v>
      </c>
      <c r="L571" s="1">
        <f>INT(K571)</f>
        <v>1</v>
      </c>
      <c r="M571" s="3">
        <f>K571-L571</f>
        <v>0.4184615688482012</v>
      </c>
      <c r="N571" s="1">
        <f>COUNTIF($M$562:$M$617,"&gt;"&amp;M571)+COUNTIF($M$562:M571,M571)</f>
        <v>30</v>
      </c>
      <c r="O571" s="1">
        <f>J571+L571+IF(N571&lt;=I571-SUM($J$562:$J$617)-SUM($L$562:$L$617),1,0)</f>
        <v>11</v>
      </c>
    </row>
    <row r="572" spans="1:15">
      <c r="A572" s="1" t="s">
        <v>60</v>
      </c>
      <c r="B572" s="1" t="s">
        <v>62</v>
      </c>
      <c r="C572" s="1" t="s">
        <v>38</v>
      </c>
      <c r="D572" s="1" t="s">
        <v>39</v>
      </c>
      <c r="E572" s="1" t="s">
        <v>47</v>
      </c>
      <c r="F572" s="1" t="s">
        <v>41</v>
      </c>
      <c r="G572" s="1">
        <v>30094</v>
      </c>
      <c r="H572" s="1">
        <f>'1_Departamento_n'!C12</f>
        <v>911331</v>
      </c>
      <c r="I572" s="1">
        <f>'1_Departamento_n'!H12</f>
        <v>1312</v>
      </c>
      <c r="J572" s="1">
        <f>'0_Parametros'!B7</f>
        <v>10</v>
      </c>
      <c r="K572" s="3">
        <f>(I572-SUM($J$562:$J$617))*G572/H572</f>
        <v>24.832566871970776</v>
      </c>
      <c r="L572" s="1">
        <f>INT(K572)</f>
        <v>24</v>
      </c>
      <c r="M572" s="3">
        <f>K572-L572</f>
        <v>0.8325668719707764</v>
      </c>
      <c r="N572" s="1">
        <f>COUNTIF($M$562:$M$617,"&gt;"&amp;M572)+COUNTIF($M$562:M572,M572)</f>
        <v>8</v>
      </c>
      <c r="O572" s="1">
        <f>J572+L572+IF(N572&lt;=I572-SUM($J$562:$J$617)-SUM($L$562:$L$617),1,0)</f>
        <v>35</v>
      </c>
    </row>
    <row r="573" spans="1:15">
      <c r="A573" s="1" t="s">
        <v>60</v>
      </c>
      <c r="B573" s="1" t="s">
        <v>62</v>
      </c>
      <c r="C573" s="1" t="s">
        <v>38</v>
      </c>
      <c r="D573" s="1" t="s">
        <v>39</v>
      </c>
      <c r="E573" s="1" t="s">
        <v>47</v>
      </c>
      <c r="F573" s="1" t="s">
        <v>42</v>
      </c>
      <c r="G573" s="1">
        <v>1387</v>
      </c>
      <c r="H573" s="1">
        <f>'1_Departamento_n'!C12</f>
        <v>911331</v>
      </c>
      <c r="I573" s="1">
        <f>'1_Departamento_n'!H12</f>
        <v>1312</v>
      </c>
      <c r="J573" s="1">
        <f>'0_Parametros'!B7</f>
        <v>10</v>
      </c>
      <c r="K573" s="3">
        <f>(I573-SUM($J$562:$J$617))*G573/H573</f>
        <v>1.144506222217833</v>
      </c>
      <c r="L573" s="1">
        <f>INT(K573)</f>
        <v>1</v>
      </c>
      <c r="M573" s="3">
        <f>K573-L573</f>
        <v>0.14450622221783305</v>
      </c>
      <c r="N573" s="1">
        <f>COUNTIF($M$562:$M$617,"&gt;"&amp;M573)+COUNTIF($M$562:M573,M573)</f>
        <v>45</v>
      </c>
      <c r="O573" s="1">
        <f>J573+L573+IF(N573&lt;=I573-SUM($J$562:$J$617)-SUM($L$562:$L$617),1,0)</f>
        <v>11</v>
      </c>
    </row>
    <row r="574" spans="1:15">
      <c r="A574" s="1" t="s">
        <v>60</v>
      </c>
      <c r="B574" s="1" t="s">
        <v>62</v>
      </c>
      <c r="C574" s="1" t="s">
        <v>38</v>
      </c>
      <c r="D574" s="1" t="s">
        <v>39</v>
      </c>
      <c r="E574" s="1" t="s">
        <v>48</v>
      </c>
      <c r="F574" s="1" t="s">
        <v>41</v>
      </c>
      <c r="G574" s="1">
        <v>59714</v>
      </c>
      <c r="H574" s="1">
        <f>'1_Departamento_n'!C12</f>
        <v>911331</v>
      </c>
      <c r="I574" s="1">
        <f>'1_Departamento_n'!H12</f>
        <v>1312</v>
      </c>
      <c r="J574" s="1">
        <f>'0_Parametros'!B7</f>
        <v>10</v>
      </c>
      <c r="K574" s="3">
        <f>(I574-SUM($J$562:$J$617))*G574/H574</f>
        <v>49.27400472495723</v>
      </c>
      <c r="L574" s="1">
        <f>INT(K574)</f>
        <v>49</v>
      </c>
      <c r="M574" s="3">
        <f>K574-L574</f>
        <v>0.27400472495722994</v>
      </c>
      <c r="N574" s="1">
        <f>COUNTIF($M$562:$M$617,"&gt;"&amp;M574)+COUNTIF($M$562:M574,M574)</f>
        <v>40</v>
      </c>
      <c r="O574" s="1">
        <f>J574+L574+IF(N574&lt;=I574-SUM($J$562:$J$617)-SUM($L$562:$L$617),1,0)</f>
        <v>59</v>
      </c>
    </row>
    <row r="575" spans="1:15">
      <c r="A575" s="1" t="s">
        <v>60</v>
      </c>
      <c r="B575" s="1" t="s">
        <v>62</v>
      </c>
      <c r="C575" s="1" t="s">
        <v>38</v>
      </c>
      <c r="D575" s="1" t="s">
        <v>39</v>
      </c>
      <c r="E575" s="1" t="s">
        <v>48</v>
      </c>
      <c r="F575" s="1" t="s">
        <v>42</v>
      </c>
      <c r="G575" s="1">
        <v>2057</v>
      </c>
      <c r="H575" s="1">
        <f>'1_Departamento_n'!C12</f>
        <v>911331</v>
      </c>
      <c r="I575" s="1">
        <f>'1_Departamento_n'!H12</f>
        <v>1312</v>
      </c>
      <c r="J575" s="1">
        <f>'0_Parametros'!B7</f>
        <v>10</v>
      </c>
      <c r="K575" s="3">
        <f>(I575-SUM($J$562:$J$617))*G575/H575</f>
        <v>1.697367915718877</v>
      </c>
      <c r="L575" s="1">
        <f>INT(K575)</f>
        <v>1</v>
      </c>
      <c r="M575" s="3">
        <f>K575-L575</f>
        <v>0.697367915718877</v>
      </c>
      <c r="N575" s="1">
        <f>COUNTIF($M$562:$M$617,"&gt;"&amp;M575)+COUNTIF($M$562:M575,M575)</f>
        <v>18</v>
      </c>
      <c r="O575" s="1">
        <f>J575+L575+IF(N575&lt;=I575-SUM($J$562:$J$617)-SUM($L$562:$L$617),1,0)</f>
        <v>12</v>
      </c>
    </row>
    <row r="576" spans="1:15">
      <c r="A576" s="1" t="s">
        <v>60</v>
      </c>
      <c r="B576" s="1" t="s">
        <v>62</v>
      </c>
      <c r="C576" s="1" t="s">
        <v>38</v>
      </c>
      <c r="D576" s="1" t="s">
        <v>49</v>
      </c>
      <c r="E576" s="1" t="s">
        <v>40</v>
      </c>
      <c r="F576" s="1" t="s">
        <v>41</v>
      </c>
      <c r="G576" s="1">
        <v>15683</v>
      </c>
      <c r="H576" s="1">
        <f>'1_Departamento_n'!C12</f>
        <v>911331</v>
      </c>
      <c r="I576" s="1">
        <f>'1_Departamento_n'!H12</f>
        <v>1312</v>
      </c>
      <c r="J576" s="1">
        <f>'0_Parametros'!B7</f>
        <v>10</v>
      </c>
      <c r="K576" s="3">
        <f>(I576-SUM($J$562:$J$617))*G576/H576</f>
        <v>12.941089461458022</v>
      </c>
      <c r="L576" s="1">
        <f>INT(K576)</f>
        <v>12</v>
      </c>
      <c r="M576" s="3">
        <f>K576-L576</f>
        <v>0.9410894614580219</v>
      </c>
      <c r="N576" s="1">
        <f>COUNTIF($M$562:$M$617,"&gt;"&amp;M576)+COUNTIF($M$562:M576,M576)</f>
        <v>5</v>
      </c>
      <c r="O576" s="1">
        <f>J576+L576+IF(N576&lt;=I576-SUM($J$562:$J$617)-SUM($L$562:$L$617),1,0)</f>
        <v>23</v>
      </c>
    </row>
    <row r="577" spans="1:15">
      <c r="A577" s="1" t="s">
        <v>60</v>
      </c>
      <c r="B577" s="1" t="s">
        <v>62</v>
      </c>
      <c r="C577" s="1" t="s">
        <v>38</v>
      </c>
      <c r="D577" s="1" t="s">
        <v>49</v>
      </c>
      <c r="E577" s="1" t="s">
        <v>40</v>
      </c>
      <c r="F577" s="1" t="s">
        <v>42</v>
      </c>
      <c r="G577" s="1">
        <v>1595</v>
      </c>
      <c r="H577" s="1">
        <f>'1_Departamento_n'!C12</f>
        <v>911331</v>
      </c>
      <c r="I577" s="1">
        <f>'1_Departamento_n'!H12</f>
        <v>1312</v>
      </c>
      <c r="J577" s="1">
        <f>'0_Parametros'!B7</f>
        <v>10</v>
      </c>
      <c r="K577" s="3">
        <f>(I577-SUM($J$562:$J$617))*G577/H577</f>
        <v>1.316140897215172</v>
      </c>
      <c r="L577" s="1">
        <f>INT(K577)</f>
        <v>1</v>
      </c>
      <c r="M577" s="3">
        <f>K577-L577</f>
        <v>0.316140897215172</v>
      </c>
      <c r="N577" s="1">
        <f>COUNTIF($M$562:$M$617,"&gt;"&amp;M577)+COUNTIF($M$562:M577,M577)</f>
        <v>37</v>
      </c>
      <c r="O577" s="1">
        <f>J577+L577+IF(N577&lt;=I577-SUM($J$562:$J$617)-SUM($L$562:$L$617),1,0)</f>
        <v>11</v>
      </c>
    </row>
    <row r="578" spans="1:15">
      <c r="A578" s="1" t="s">
        <v>60</v>
      </c>
      <c r="B578" s="1" t="s">
        <v>62</v>
      </c>
      <c r="C578" s="1" t="s">
        <v>38</v>
      </c>
      <c r="D578" s="1" t="s">
        <v>49</v>
      </c>
      <c r="E578" s="1" t="s">
        <v>43</v>
      </c>
      <c r="F578" s="1" t="s">
        <v>41</v>
      </c>
      <c r="G578" s="1">
        <v>24469</v>
      </c>
      <c r="H578" s="1">
        <f>'1_Departamento_n'!C12</f>
        <v>911331</v>
      </c>
      <c r="I578" s="1">
        <f>'1_Departamento_n'!H12</f>
        <v>1312</v>
      </c>
      <c r="J578" s="1">
        <f>'0_Parametros'!B7</f>
        <v>10</v>
      </c>
      <c r="K578" s="3">
        <f>(I578-SUM($J$562:$J$617))*G578/H578</f>
        <v>20.19100414668216</v>
      </c>
      <c r="L578" s="1">
        <f>INT(K578)</f>
        <v>20</v>
      </c>
      <c r="M578" s="3">
        <f>K578-L578</f>
        <v>0.19100414668216104</v>
      </c>
      <c r="N578" s="1">
        <f>COUNTIF($M$562:$M$617,"&gt;"&amp;M578)+COUNTIF($M$562:M578,M578)</f>
        <v>44</v>
      </c>
      <c r="O578" s="1">
        <f>J578+L578+IF(N578&lt;=I578-SUM($J$562:$J$617)-SUM($L$562:$L$617),1,0)</f>
        <v>30</v>
      </c>
    </row>
    <row r="579" spans="1:15">
      <c r="A579" s="1" t="s">
        <v>60</v>
      </c>
      <c r="B579" s="1" t="s">
        <v>62</v>
      </c>
      <c r="C579" s="1" t="s">
        <v>38</v>
      </c>
      <c r="D579" s="1" t="s">
        <v>49</v>
      </c>
      <c r="E579" s="1" t="s">
        <v>43</v>
      </c>
      <c r="F579" s="1" t="s">
        <v>42</v>
      </c>
      <c r="G579" s="1">
        <v>1893</v>
      </c>
      <c r="H579" s="1">
        <f>'1_Departamento_n'!C12</f>
        <v>911331</v>
      </c>
      <c r="I579" s="1">
        <f>'1_Departamento_n'!H12</f>
        <v>1312</v>
      </c>
      <c r="J579" s="1">
        <f>'0_Parametros'!B7</f>
        <v>10</v>
      </c>
      <c r="K579" s="3">
        <f>(I579-SUM($J$562:$J$617))*G579/H579</f>
        <v>1.562040575817129</v>
      </c>
      <c r="L579" s="1">
        <f>INT(K579)</f>
        <v>1</v>
      </c>
      <c r="M579" s="3">
        <f>K579-L579</f>
        <v>0.562040575817129</v>
      </c>
      <c r="N579" s="1">
        <f>COUNTIF($M$562:$M$617,"&gt;"&amp;M579)+COUNTIF($M$562:M579,M579)</f>
        <v>24</v>
      </c>
      <c r="O579" s="1">
        <f>J579+L579+IF(N579&lt;=I579-SUM($J$562:$J$617)-SUM($L$562:$L$617),1,0)</f>
        <v>12</v>
      </c>
    </row>
    <row r="580" spans="1:15">
      <c r="A580" s="1" t="s">
        <v>60</v>
      </c>
      <c r="B580" s="1" t="s">
        <v>62</v>
      </c>
      <c r="C580" s="1" t="s">
        <v>38</v>
      </c>
      <c r="D580" s="1" t="s">
        <v>49</v>
      </c>
      <c r="E580" s="1" t="s">
        <v>44</v>
      </c>
      <c r="F580" s="1" t="s">
        <v>41</v>
      </c>
      <c r="G580" s="1">
        <v>32127</v>
      </c>
      <c r="H580" s="1">
        <f>'1_Departamento_n'!C12</f>
        <v>911331</v>
      </c>
      <c r="I580" s="1">
        <f>'1_Departamento_n'!H12</f>
        <v>1312</v>
      </c>
      <c r="J580" s="1">
        <f>'0_Parametros'!B7</f>
        <v>10</v>
      </c>
      <c r="K580" s="3">
        <f>(I580-SUM($J$562:$J$617))*G580/H580</f>
        <v>26.51013078672842</v>
      </c>
      <c r="L580" s="1">
        <f>INT(K580)</f>
        <v>26</v>
      </c>
      <c r="M580" s="3">
        <f>K580-L580</f>
        <v>0.5101307867284213</v>
      </c>
      <c r="N580" s="1">
        <f>COUNTIF($M$562:$M$617,"&gt;"&amp;M580)+COUNTIF($M$562:M580,M580)</f>
        <v>25</v>
      </c>
      <c r="O580" s="1">
        <f>J580+L580+IF(N580&lt;=I580-SUM($J$562:$J$617)-SUM($L$562:$L$617),1,0)</f>
        <v>37</v>
      </c>
    </row>
    <row r="581" spans="1:15">
      <c r="A581" s="1" t="s">
        <v>60</v>
      </c>
      <c r="B581" s="1" t="s">
        <v>62</v>
      </c>
      <c r="C581" s="1" t="s">
        <v>38</v>
      </c>
      <c r="D581" s="1" t="s">
        <v>49</v>
      </c>
      <c r="E581" s="1" t="s">
        <v>44</v>
      </c>
      <c r="F581" s="1" t="s">
        <v>42</v>
      </c>
      <c r="G581" s="1">
        <v>3662</v>
      </c>
      <c r="H581" s="1">
        <f>'1_Departamento_n'!C12</f>
        <v>911331</v>
      </c>
      <c r="I581" s="1">
        <f>'1_Departamento_n'!H12</f>
        <v>1312</v>
      </c>
      <c r="J581" s="1">
        <f>'0_Parametros'!B7</f>
        <v>10</v>
      </c>
      <c r="K581" s="3">
        <f>(I581-SUM($J$562:$J$617))*G581/H581</f>
        <v>3.021760480001229</v>
      </c>
      <c r="L581" s="1">
        <f>INT(K581)</f>
        <v>3</v>
      </c>
      <c r="M581" s="3">
        <f>K581-L581</f>
        <v>0.021760480001228988</v>
      </c>
      <c r="N581" s="1">
        <f>COUNTIF($M$562:$M$617,"&gt;"&amp;M581)+COUNTIF($M$562:M581,M581)</f>
        <v>56</v>
      </c>
      <c r="O581" s="1">
        <f>J581+L581+IF(N581&lt;=I581-SUM($J$562:$J$617)-SUM($L$562:$L$617),1,0)</f>
        <v>13</v>
      </c>
    </row>
    <row r="582" spans="1:15">
      <c r="A582" s="1" t="s">
        <v>60</v>
      </c>
      <c r="B582" s="1" t="s">
        <v>62</v>
      </c>
      <c r="C582" s="1" t="s">
        <v>38</v>
      </c>
      <c r="D582" s="1" t="s">
        <v>49</v>
      </c>
      <c r="E582" s="1" t="s">
        <v>45</v>
      </c>
      <c r="F582" s="1" t="s">
        <v>41</v>
      </c>
      <c r="G582" s="1">
        <v>34814</v>
      </c>
      <c r="H582" s="1">
        <f>'1_Departamento_n'!C12</f>
        <v>911331</v>
      </c>
      <c r="I582" s="1">
        <f>'1_Departamento_n'!H12</f>
        <v>1312</v>
      </c>
      <c r="J582" s="1">
        <f>'0_Parametros'!B7</f>
        <v>10</v>
      </c>
      <c r="K582" s="3">
        <f>(I582-SUM($J$562:$J$617))*G582/H582</f>
        <v>28.727353727679624</v>
      </c>
      <c r="L582" s="1">
        <f>INT(K582)</f>
        <v>28</v>
      </c>
      <c r="M582" s="3">
        <f>K582-L582</f>
        <v>0.727353727679624</v>
      </c>
      <c r="N582" s="1">
        <f>COUNTIF($M$562:$M$617,"&gt;"&amp;M582)+COUNTIF($M$562:M582,M582)</f>
        <v>17</v>
      </c>
      <c r="O582" s="1">
        <f>J582+L582+IF(N582&lt;=I582-SUM($J$562:$J$617)-SUM($L$562:$L$617),1,0)</f>
        <v>39</v>
      </c>
    </row>
    <row r="583" spans="1:15">
      <c r="A583" s="1" t="s">
        <v>60</v>
      </c>
      <c r="B583" s="1" t="s">
        <v>62</v>
      </c>
      <c r="C583" s="1" t="s">
        <v>38</v>
      </c>
      <c r="D583" s="1" t="s">
        <v>49</v>
      </c>
      <c r="E583" s="1" t="s">
        <v>45</v>
      </c>
      <c r="F583" s="1" t="s">
        <v>42</v>
      </c>
      <c r="G583" s="1">
        <v>3105</v>
      </c>
      <c r="H583" s="1">
        <f>'1_Departamento_n'!C12</f>
        <v>911331</v>
      </c>
      <c r="I583" s="1">
        <f>'1_Departamento_n'!H12</f>
        <v>1312</v>
      </c>
      <c r="J583" s="1">
        <f>'0_Parametros'!B7</f>
        <v>10</v>
      </c>
      <c r="K583" s="3">
        <f>(I583-SUM($J$562:$J$617))*G583/H583</f>
        <v>2.5621426243593164</v>
      </c>
      <c r="L583" s="1">
        <f>INT(K583)</f>
        <v>2</v>
      </c>
      <c r="M583" s="3">
        <f>K583-L583</f>
        <v>0.5621426243593164</v>
      </c>
      <c r="N583" s="1">
        <f>COUNTIF($M$562:$M$617,"&gt;"&amp;M583)+COUNTIF($M$562:M583,M583)</f>
        <v>23</v>
      </c>
      <c r="O583" s="1">
        <f>J583+L583+IF(N583&lt;=I583-SUM($J$562:$J$617)-SUM($L$562:$L$617),1,0)</f>
        <v>13</v>
      </c>
    </row>
    <row r="584" spans="1:15">
      <c r="A584" s="1" t="s">
        <v>60</v>
      </c>
      <c r="B584" s="1" t="s">
        <v>62</v>
      </c>
      <c r="C584" s="1" t="s">
        <v>38</v>
      </c>
      <c r="D584" s="1" t="s">
        <v>49</v>
      </c>
      <c r="E584" s="1" t="s">
        <v>46</v>
      </c>
      <c r="F584" s="1" t="s">
        <v>41</v>
      </c>
      <c r="G584" s="1">
        <v>31862</v>
      </c>
      <c r="H584" s="1">
        <f>'1_Departamento_n'!C12</f>
        <v>911331</v>
      </c>
      <c r="I584" s="1">
        <f>'1_Departamento_n'!H12</f>
        <v>1312</v>
      </c>
      <c r="J584" s="1">
        <f>'0_Parametros'!B7</f>
        <v>10</v>
      </c>
      <c r="K584" s="3">
        <f>(I584-SUM($J$562:$J$617))*G584/H584</f>
        <v>26.29146160944816</v>
      </c>
      <c r="L584" s="1">
        <f>INT(K584)</f>
        <v>26</v>
      </c>
      <c r="M584" s="3">
        <f>K584-L584</f>
        <v>0.29146160944815946</v>
      </c>
      <c r="N584" s="1">
        <f>COUNTIF($M$562:$M$617,"&gt;"&amp;M584)+COUNTIF($M$562:M584,M584)</f>
        <v>38</v>
      </c>
      <c r="O584" s="1">
        <f>J584+L584+IF(N584&lt;=I584-SUM($J$562:$J$617)-SUM($L$562:$L$617),1,0)</f>
        <v>36</v>
      </c>
    </row>
    <row r="585" spans="1:15">
      <c r="A585" s="1" t="s">
        <v>60</v>
      </c>
      <c r="B585" s="1" t="s">
        <v>62</v>
      </c>
      <c r="C585" s="1" t="s">
        <v>38</v>
      </c>
      <c r="D585" s="1" t="s">
        <v>49</v>
      </c>
      <c r="E585" s="1" t="s">
        <v>46</v>
      </c>
      <c r="F585" s="1" t="s">
        <v>42</v>
      </c>
      <c r="G585" s="1">
        <v>2409</v>
      </c>
      <c r="H585" s="1">
        <f>'1_Departamento_n'!C12</f>
        <v>911331</v>
      </c>
      <c r="I585" s="1">
        <f>'1_Departamento_n'!H12</f>
        <v>1312</v>
      </c>
      <c r="J585" s="1">
        <f>'0_Parametros'!B7</f>
        <v>10</v>
      </c>
      <c r="K585" s="3">
        <f>(I585-SUM($J$562:$J$617))*G585/H585</f>
        <v>1.9878265964836048</v>
      </c>
      <c r="L585" s="1">
        <f>INT(K585)</f>
        <v>1</v>
      </c>
      <c r="M585" s="3">
        <f>K585-L585</f>
        <v>0.9878265964836048</v>
      </c>
      <c r="N585" s="1">
        <f>COUNTIF($M$562:$M$617,"&gt;"&amp;M585)+COUNTIF($M$562:M585,M585)</f>
        <v>1</v>
      </c>
      <c r="O585" s="1">
        <f>J585+L585+IF(N585&lt;=I585-SUM($J$562:$J$617)-SUM($L$562:$L$617),1,0)</f>
        <v>12</v>
      </c>
    </row>
    <row r="586" spans="1:15">
      <c r="A586" s="1" t="s">
        <v>60</v>
      </c>
      <c r="B586" s="1" t="s">
        <v>62</v>
      </c>
      <c r="C586" s="1" t="s">
        <v>38</v>
      </c>
      <c r="D586" s="1" t="s">
        <v>49</v>
      </c>
      <c r="E586" s="1" t="s">
        <v>47</v>
      </c>
      <c r="F586" s="1" t="s">
        <v>41</v>
      </c>
      <c r="G586" s="1">
        <v>27964</v>
      </c>
      <c r="H586" s="1">
        <f>'1_Departamento_n'!C12</f>
        <v>911331</v>
      </c>
      <c r="I586" s="1">
        <f>'1_Departamento_n'!H12</f>
        <v>1312</v>
      </c>
      <c r="J586" s="1">
        <f>'0_Parametros'!B7</f>
        <v>10</v>
      </c>
      <c r="K586" s="3">
        <f>(I586-SUM($J$562:$J$617))*G586/H586</f>
        <v>23.074961786661486</v>
      </c>
      <c r="L586" s="1">
        <f>INT(K586)</f>
        <v>23</v>
      </c>
      <c r="M586" s="3">
        <f>K586-L586</f>
        <v>0.07496178666148623</v>
      </c>
      <c r="N586" s="1">
        <f>COUNTIF($M$562:$M$617,"&gt;"&amp;M586)+COUNTIF($M$562:M586,M586)</f>
        <v>51</v>
      </c>
      <c r="O586" s="1">
        <f>J586+L586+IF(N586&lt;=I586-SUM($J$562:$J$617)-SUM($L$562:$L$617),1,0)</f>
        <v>33</v>
      </c>
    </row>
    <row r="587" spans="1:15">
      <c r="A587" s="1" t="s">
        <v>60</v>
      </c>
      <c r="B587" s="1" t="s">
        <v>62</v>
      </c>
      <c r="C587" s="1" t="s">
        <v>38</v>
      </c>
      <c r="D587" s="1" t="s">
        <v>49</v>
      </c>
      <c r="E587" s="1" t="s">
        <v>47</v>
      </c>
      <c r="F587" s="1" t="s">
        <v>42</v>
      </c>
      <c r="G587" s="1">
        <v>1954</v>
      </c>
      <c r="H587" s="1">
        <f>'1_Departamento_n'!C12</f>
        <v>911331</v>
      </c>
      <c r="I587" s="1">
        <f>'1_Departamento_n'!H12</f>
        <v>1312</v>
      </c>
      <c r="J587" s="1">
        <f>'0_Parametros'!B7</f>
        <v>10</v>
      </c>
      <c r="K587" s="3">
        <f>(I587-SUM($J$562:$J$617))*G587/H587</f>
        <v>1.6123757449269256</v>
      </c>
      <c r="L587" s="1">
        <f>INT(K587)</f>
        <v>1</v>
      </c>
      <c r="M587" s="3">
        <f>K587-L587</f>
        <v>0.6123757449269256</v>
      </c>
      <c r="N587" s="1">
        <f>COUNTIF($M$562:$M$617,"&gt;"&amp;M587)+COUNTIF($M$562:M587,M587)</f>
        <v>21</v>
      </c>
      <c r="O587" s="1">
        <f>J587+L587+IF(N587&lt;=I587-SUM($J$562:$J$617)-SUM($L$562:$L$617),1,0)</f>
        <v>12</v>
      </c>
    </row>
    <row r="588" spans="1:15">
      <c r="A588" s="1" t="s">
        <v>60</v>
      </c>
      <c r="B588" s="1" t="s">
        <v>62</v>
      </c>
      <c r="C588" s="1" t="s">
        <v>38</v>
      </c>
      <c r="D588" s="1" t="s">
        <v>49</v>
      </c>
      <c r="E588" s="1" t="s">
        <v>48</v>
      </c>
      <c r="F588" s="1" t="s">
        <v>41</v>
      </c>
      <c r="G588" s="1">
        <v>47340</v>
      </c>
      <c r="H588" s="1">
        <f>'1_Departamento_n'!C12</f>
        <v>911331</v>
      </c>
      <c r="I588" s="1">
        <f>'1_Departamento_n'!H12</f>
        <v>1312</v>
      </c>
      <c r="J588" s="1">
        <f>'0_Parametros'!B7</f>
        <v>10</v>
      </c>
      <c r="K588" s="3">
        <f>(I588-SUM($J$562:$J$617))*G588/H588</f>
        <v>39.063391896028996</v>
      </c>
      <c r="L588" s="1">
        <f>INT(K588)</f>
        <v>39</v>
      </c>
      <c r="M588" s="3">
        <f>K588-L588</f>
        <v>0.06339189602899609</v>
      </c>
      <c r="N588" s="1">
        <f>COUNTIF($M$562:$M$617,"&gt;"&amp;M588)+COUNTIF($M$562:M588,M588)</f>
        <v>52</v>
      </c>
      <c r="O588" s="1">
        <f>J588+L588+IF(N588&lt;=I588-SUM($J$562:$J$617)-SUM($L$562:$L$617),1,0)</f>
        <v>49</v>
      </c>
    </row>
    <row r="589" spans="1:15">
      <c r="A589" s="1" t="s">
        <v>60</v>
      </c>
      <c r="B589" s="1" t="s">
        <v>62</v>
      </c>
      <c r="C589" s="1" t="s">
        <v>38</v>
      </c>
      <c r="D589" s="1" t="s">
        <v>49</v>
      </c>
      <c r="E589" s="1" t="s">
        <v>48</v>
      </c>
      <c r="F589" s="1" t="s">
        <v>42</v>
      </c>
      <c r="G589" s="1">
        <v>2680</v>
      </c>
      <c r="H589" s="1">
        <f>'1_Departamento_n'!C12</f>
        <v>911331</v>
      </c>
      <c r="I589" s="1">
        <f>'1_Departamento_n'!H12</f>
        <v>1312</v>
      </c>
      <c r="J589" s="1">
        <f>'0_Parametros'!B7</f>
        <v>10</v>
      </c>
      <c r="K589" s="3">
        <f>(I589-SUM($J$562:$J$617))*G589/H589</f>
        <v>2.2114467740041763</v>
      </c>
      <c r="L589" s="1">
        <f>INT(K589)</f>
        <v>2</v>
      </c>
      <c r="M589" s="3">
        <f>K589-L589</f>
        <v>0.21144677400417633</v>
      </c>
      <c r="N589" s="1">
        <f>COUNTIF($M$562:$M$617,"&gt;"&amp;M589)+COUNTIF($M$562:M589,M589)</f>
        <v>43</v>
      </c>
      <c r="O589" s="1">
        <f>J589+L589+IF(N589&lt;=I589-SUM($J$562:$J$617)-SUM($L$562:$L$617),1,0)</f>
        <v>12</v>
      </c>
    </row>
    <row r="590" spans="1:15">
      <c r="A590" s="1" t="s">
        <v>60</v>
      </c>
      <c r="B590" s="1" t="s">
        <v>62</v>
      </c>
      <c r="C590" s="1" t="s">
        <v>50</v>
      </c>
      <c r="D590" s="1" t="s">
        <v>39</v>
      </c>
      <c r="E590" s="1" t="s">
        <v>40</v>
      </c>
      <c r="F590" s="1" t="s">
        <v>41</v>
      </c>
      <c r="G590" s="1">
        <v>12380</v>
      </c>
      <c r="H590" s="1">
        <f>'1_Departamento_n'!C12</f>
        <v>911331</v>
      </c>
      <c r="I590" s="1">
        <f>'1_Departamento_n'!H12</f>
        <v>1312</v>
      </c>
      <c r="J590" s="1">
        <f>'0_Parametros'!B7</f>
        <v>10</v>
      </c>
      <c r="K590" s="3">
        <f>(I590-SUM($J$562:$J$617))*G590/H590</f>
        <v>10.215563829168547</v>
      </c>
      <c r="L590" s="1">
        <f>INT(K590)</f>
        <v>10</v>
      </c>
      <c r="M590" s="3">
        <f>K590-L590</f>
        <v>0.21556382916854666</v>
      </c>
      <c r="N590" s="1">
        <f>COUNTIF($M$562:$M$617,"&gt;"&amp;M590)+COUNTIF($M$562:M590,M590)</f>
        <v>42</v>
      </c>
      <c r="O590" s="1">
        <f>J590+L590+IF(N590&lt;=I590-SUM($J$562:$J$617)-SUM($L$562:$L$617),1,0)</f>
        <v>20</v>
      </c>
    </row>
    <row r="591" spans="1:15">
      <c r="A591" s="1" t="s">
        <v>60</v>
      </c>
      <c r="B591" s="1" t="s">
        <v>62</v>
      </c>
      <c r="C591" s="1" t="s">
        <v>50</v>
      </c>
      <c r="D591" s="1" t="s">
        <v>39</v>
      </c>
      <c r="E591" s="1" t="s">
        <v>40</v>
      </c>
      <c r="F591" s="1" t="s">
        <v>42</v>
      </c>
      <c r="G591" s="1">
        <v>9483</v>
      </c>
      <c r="H591" s="1">
        <f>'1_Departamento_n'!C12</f>
        <v>911331</v>
      </c>
      <c r="I591" s="1">
        <f>'1_Departamento_n'!H12</f>
        <v>1312</v>
      </c>
      <c r="J591" s="1">
        <f>'0_Parametros'!B7</f>
        <v>10</v>
      </c>
      <c r="K591" s="3">
        <f>(I591-SUM($J$562:$J$617))*G591/H591</f>
        <v>7.825055879806569</v>
      </c>
      <c r="L591" s="1">
        <f>INT(K591)</f>
        <v>7</v>
      </c>
      <c r="M591" s="3">
        <f>K591-L591</f>
        <v>0.8250558798065688</v>
      </c>
      <c r="N591" s="1">
        <f>COUNTIF($M$562:$M$617,"&gt;"&amp;M591)+COUNTIF($M$562:M591,M591)</f>
        <v>9</v>
      </c>
      <c r="O591" s="1">
        <f>J591+L591+IF(N591&lt;=I591-SUM($J$562:$J$617)-SUM($L$562:$L$617),1,0)</f>
        <v>18</v>
      </c>
    </row>
    <row r="592" spans="1:15">
      <c r="A592" s="1" t="s">
        <v>60</v>
      </c>
      <c r="B592" s="1" t="s">
        <v>62</v>
      </c>
      <c r="C592" s="1" t="s">
        <v>50</v>
      </c>
      <c r="D592" s="1" t="s">
        <v>39</v>
      </c>
      <c r="E592" s="1" t="s">
        <v>43</v>
      </c>
      <c r="F592" s="1" t="s">
        <v>41</v>
      </c>
      <c r="G592" s="1">
        <v>16745</v>
      </c>
      <c r="H592" s="1">
        <f>'1_Departamento_n'!C12</f>
        <v>911331</v>
      </c>
      <c r="I592" s="1">
        <f>'1_Departamento_n'!H12</f>
        <v>1312</v>
      </c>
      <c r="J592" s="1">
        <f>'0_Parametros'!B7</f>
        <v>10</v>
      </c>
      <c r="K592" s="3">
        <f>(I592-SUM($J$562:$J$617))*G592/H592</f>
        <v>13.817416503992511</v>
      </c>
      <c r="L592" s="1">
        <f>INT(K592)</f>
        <v>13</v>
      </c>
      <c r="M592" s="3">
        <f>K592-L592</f>
        <v>0.8174165039925114</v>
      </c>
      <c r="N592" s="1">
        <f>COUNTIF($M$562:$M$617,"&gt;"&amp;M592)+COUNTIF($M$562:M592,M592)</f>
        <v>10</v>
      </c>
      <c r="O592" s="1">
        <f>J592+L592+IF(N592&lt;=I592-SUM($J$562:$J$617)-SUM($L$562:$L$617),1,0)</f>
        <v>24</v>
      </c>
    </row>
    <row r="593" spans="1:15">
      <c r="A593" s="1" t="s">
        <v>60</v>
      </c>
      <c r="B593" s="1" t="s">
        <v>62</v>
      </c>
      <c r="C593" s="1" t="s">
        <v>50</v>
      </c>
      <c r="D593" s="1" t="s">
        <v>39</v>
      </c>
      <c r="E593" s="1" t="s">
        <v>43</v>
      </c>
      <c r="F593" s="1" t="s">
        <v>42</v>
      </c>
      <c r="G593" s="1">
        <v>12560</v>
      </c>
      <c r="H593" s="1">
        <f>'1_Departamento_n'!C12</f>
        <v>911331</v>
      </c>
      <c r="I593" s="1">
        <f>'1_Departamento_n'!H12</f>
        <v>1312</v>
      </c>
      <c r="J593" s="1">
        <f>'0_Parametros'!B7</f>
        <v>10</v>
      </c>
      <c r="K593" s="3">
        <f>(I593-SUM($J$562:$J$617))*G593/H593</f>
        <v>10.364093836377782</v>
      </c>
      <c r="L593" s="1">
        <f>INT(K593)</f>
        <v>10</v>
      </c>
      <c r="M593" s="3">
        <f>K593-L593</f>
        <v>0.3640938363777817</v>
      </c>
      <c r="N593" s="1">
        <f>COUNTIF($M$562:$M$617,"&gt;"&amp;M593)+COUNTIF($M$562:M593,M593)</f>
        <v>33</v>
      </c>
      <c r="O593" s="1">
        <f>J593+L593+IF(N593&lt;=I593-SUM($J$562:$J$617)-SUM($L$562:$L$617),1,0)</f>
        <v>20</v>
      </c>
    </row>
    <row r="594" spans="1:15">
      <c r="A594" s="1" t="s">
        <v>60</v>
      </c>
      <c r="B594" s="1" t="s">
        <v>62</v>
      </c>
      <c r="C594" s="1" t="s">
        <v>50</v>
      </c>
      <c r="D594" s="1" t="s">
        <v>39</v>
      </c>
      <c r="E594" s="1" t="s">
        <v>44</v>
      </c>
      <c r="F594" s="1" t="s">
        <v>41</v>
      </c>
      <c r="G594" s="1">
        <v>20559</v>
      </c>
      <c r="H594" s="1">
        <f>'1_Departamento_n'!C12</f>
        <v>911331</v>
      </c>
      <c r="I594" s="1">
        <f>'1_Departamento_n'!H12</f>
        <v>1312</v>
      </c>
      <c r="J594" s="1">
        <f>'0_Parametros'!B7</f>
        <v>10</v>
      </c>
      <c r="K594" s="3">
        <f>(I594-SUM($J$562:$J$617))*G594/H594</f>
        <v>16.964602323414873</v>
      </c>
      <c r="L594" s="1">
        <f>INT(K594)</f>
        <v>16</v>
      </c>
      <c r="M594" s="3">
        <f>K594-L594</f>
        <v>0.9646023234148728</v>
      </c>
      <c r="N594" s="1">
        <f>COUNTIF($M$562:$M$617,"&gt;"&amp;M594)+COUNTIF($M$562:M594,M594)</f>
        <v>2</v>
      </c>
      <c r="O594" s="1">
        <f>J594+L594+IF(N594&lt;=I594-SUM($J$562:$J$617)-SUM($L$562:$L$617),1,0)</f>
        <v>27</v>
      </c>
    </row>
    <row r="595" spans="1:15">
      <c r="A595" s="1" t="s">
        <v>60</v>
      </c>
      <c r="B595" s="1" t="s">
        <v>62</v>
      </c>
      <c r="C595" s="1" t="s">
        <v>50</v>
      </c>
      <c r="D595" s="1" t="s">
        <v>39</v>
      </c>
      <c r="E595" s="1" t="s">
        <v>44</v>
      </c>
      <c r="F595" s="1" t="s">
        <v>42</v>
      </c>
      <c r="G595" s="1">
        <v>12264</v>
      </c>
      <c r="H595" s="1">
        <f>'1_Departamento_n'!C12</f>
        <v>911331</v>
      </c>
      <c r="I595" s="1">
        <f>'1_Departamento_n'!H12</f>
        <v>1312</v>
      </c>
      <c r="J595" s="1">
        <f>'0_Parametros'!B7</f>
        <v>10</v>
      </c>
      <c r="K595" s="3">
        <f>(I595-SUM($J$562:$J$617))*G595/H595</f>
        <v>10.11984449118926</v>
      </c>
      <c r="L595" s="1">
        <f>INT(K595)</f>
        <v>10</v>
      </c>
      <c r="M595" s="3">
        <f>K595-L595</f>
        <v>0.11984449118926044</v>
      </c>
      <c r="N595" s="1">
        <f>COUNTIF($M$562:$M$617,"&gt;"&amp;M595)+COUNTIF($M$562:M595,M595)</f>
        <v>49</v>
      </c>
      <c r="O595" s="1">
        <f>J595+L595+IF(N595&lt;=I595-SUM($J$562:$J$617)-SUM($L$562:$L$617),1,0)</f>
        <v>20</v>
      </c>
    </row>
    <row r="596" spans="1:15">
      <c r="A596" s="1" t="s">
        <v>60</v>
      </c>
      <c r="B596" s="1" t="s">
        <v>62</v>
      </c>
      <c r="C596" s="1" t="s">
        <v>50</v>
      </c>
      <c r="D596" s="1" t="s">
        <v>39</v>
      </c>
      <c r="E596" s="1" t="s">
        <v>45</v>
      </c>
      <c r="F596" s="1" t="s">
        <v>41</v>
      </c>
      <c r="G596" s="1">
        <v>19276</v>
      </c>
      <c r="H596" s="1">
        <f>'1_Departamento_n'!C12</f>
        <v>911331</v>
      </c>
      <c r="I596" s="1">
        <f>'1_Departamento_n'!H12</f>
        <v>1312</v>
      </c>
      <c r="J596" s="1">
        <f>'0_Parametros'!B7</f>
        <v>10</v>
      </c>
      <c r="K596" s="3">
        <f>(I596-SUM($J$562:$J$617))*G596/H596</f>
        <v>15.905913438695709</v>
      </c>
      <c r="L596" s="1">
        <f>INT(K596)</f>
        <v>15</v>
      </c>
      <c r="M596" s="3">
        <f>K596-L596</f>
        <v>0.9059134386957091</v>
      </c>
      <c r="N596" s="1">
        <f>COUNTIF($M$562:$M$617,"&gt;"&amp;M596)+COUNTIF($M$562:M596,M596)</f>
        <v>7</v>
      </c>
      <c r="O596" s="1">
        <f>J596+L596+IF(N596&lt;=I596-SUM($J$562:$J$617)-SUM($L$562:$L$617),1,0)</f>
        <v>26</v>
      </c>
    </row>
    <row r="597" spans="1:15">
      <c r="A597" s="1" t="s">
        <v>60</v>
      </c>
      <c r="B597" s="1" t="s">
        <v>62</v>
      </c>
      <c r="C597" s="1" t="s">
        <v>50</v>
      </c>
      <c r="D597" s="1" t="s">
        <v>39</v>
      </c>
      <c r="E597" s="1" t="s">
        <v>45</v>
      </c>
      <c r="F597" s="1" t="s">
        <v>42</v>
      </c>
      <c r="G597" s="1">
        <v>11362</v>
      </c>
      <c r="H597" s="1">
        <f>'1_Departamento_n'!C12</f>
        <v>911331</v>
      </c>
      <c r="I597" s="1">
        <f>'1_Departamento_n'!H12</f>
        <v>1312</v>
      </c>
      <c r="J597" s="1">
        <f>'0_Parametros'!B7</f>
        <v>10</v>
      </c>
      <c r="K597" s="3">
        <f>(I597-SUM($J$562:$J$617))*G597/H597</f>
        <v>9.375544121729646</v>
      </c>
      <c r="L597" s="1">
        <f>INT(K597)</f>
        <v>9</v>
      </c>
      <c r="M597" s="3">
        <f>K597-L597</f>
        <v>0.37554412172964646</v>
      </c>
      <c r="N597" s="1">
        <f>COUNTIF($M$562:$M$617,"&gt;"&amp;M597)+COUNTIF($M$562:M597,M597)</f>
        <v>31</v>
      </c>
      <c r="O597" s="1">
        <f>J597+L597+IF(N597&lt;=I597-SUM($J$562:$J$617)-SUM($L$562:$L$617),1,0)</f>
        <v>19</v>
      </c>
    </row>
    <row r="598" spans="1:15">
      <c r="A598" s="1" t="s">
        <v>60</v>
      </c>
      <c r="B598" s="1" t="s">
        <v>62</v>
      </c>
      <c r="C598" s="1" t="s">
        <v>50</v>
      </c>
      <c r="D598" s="1" t="s">
        <v>39</v>
      </c>
      <c r="E598" s="1" t="s">
        <v>46</v>
      </c>
      <c r="F598" s="1" t="s">
        <v>41</v>
      </c>
      <c r="G598" s="1">
        <v>16678</v>
      </c>
      <c r="H598" s="1">
        <f>'1_Departamento_n'!C12</f>
        <v>911331</v>
      </c>
      <c r="I598" s="1">
        <f>'1_Departamento_n'!H12</f>
        <v>1312</v>
      </c>
      <c r="J598" s="1">
        <f>'0_Parametros'!B7</f>
        <v>10</v>
      </c>
      <c r="K598" s="3">
        <f>(I598-SUM($J$562:$J$617))*G598/H598</f>
        <v>13.762130334642407</v>
      </c>
      <c r="L598" s="1">
        <f>INT(K598)</f>
        <v>13</v>
      </c>
      <c r="M598" s="3">
        <f>K598-L598</f>
        <v>0.7621303346424071</v>
      </c>
      <c r="N598" s="1">
        <f>COUNTIF($M$562:$M$617,"&gt;"&amp;M598)+COUNTIF($M$562:M598,M598)</f>
        <v>15</v>
      </c>
      <c r="O598" s="1">
        <f>J598+L598+IF(N598&lt;=I598-SUM($J$562:$J$617)-SUM($L$562:$L$617),1,0)</f>
        <v>24</v>
      </c>
    </row>
    <row r="599" spans="1:15">
      <c r="A599" s="1" t="s">
        <v>60</v>
      </c>
      <c r="B599" s="1" t="s">
        <v>62</v>
      </c>
      <c r="C599" s="1" t="s">
        <v>50</v>
      </c>
      <c r="D599" s="1" t="s">
        <v>39</v>
      </c>
      <c r="E599" s="1" t="s">
        <v>46</v>
      </c>
      <c r="F599" s="1" t="s">
        <v>42</v>
      </c>
      <c r="G599" s="1">
        <v>10805</v>
      </c>
      <c r="H599" s="1">
        <f>'1_Departamento_n'!C12</f>
        <v>911331</v>
      </c>
      <c r="I599" s="1">
        <f>'1_Departamento_n'!H12</f>
        <v>1312</v>
      </c>
      <c r="J599" s="1">
        <f>'0_Parametros'!B7</f>
        <v>10</v>
      </c>
      <c r="K599" s="3">
        <f>(I599-SUM($J$562:$J$617))*G599/H599</f>
        <v>8.915926266087734</v>
      </c>
      <c r="L599" s="1">
        <f>INT(K599)</f>
        <v>8</v>
      </c>
      <c r="M599" s="3">
        <f>K599-L599</f>
        <v>0.9159262660877339</v>
      </c>
      <c r="N599" s="1">
        <f>COUNTIF($M$562:$M$617,"&gt;"&amp;M599)+COUNTIF($M$562:M599,M599)</f>
        <v>6</v>
      </c>
      <c r="O599" s="1">
        <f>J599+L599+IF(N599&lt;=I599-SUM($J$562:$J$617)-SUM($L$562:$L$617),1,0)</f>
        <v>19</v>
      </c>
    </row>
    <row r="600" spans="1:15">
      <c r="A600" s="1" t="s">
        <v>60</v>
      </c>
      <c r="B600" s="1" t="s">
        <v>62</v>
      </c>
      <c r="C600" s="1" t="s">
        <v>50</v>
      </c>
      <c r="D600" s="1" t="s">
        <v>39</v>
      </c>
      <c r="E600" s="1" t="s">
        <v>47</v>
      </c>
      <c r="F600" s="1" t="s">
        <v>41</v>
      </c>
      <c r="G600" s="1">
        <v>17078</v>
      </c>
      <c r="H600" s="1">
        <f>'1_Departamento_n'!C12</f>
        <v>911331</v>
      </c>
      <c r="I600" s="1">
        <f>'1_Departamento_n'!H12</f>
        <v>1312</v>
      </c>
      <c r="J600" s="1">
        <f>'0_Parametros'!B7</f>
        <v>10</v>
      </c>
      <c r="K600" s="3">
        <f>(I600-SUM($J$562:$J$617))*G600/H600</f>
        <v>14.092197017329598</v>
      </c>
      <c r="L600" s="1">
        <f>INT(K600)</f>
        <v>14</v>
      </c>
      <c r="M600" s="3">
        <f>K600-L600</f>
        <v>0.09219701732959784</v>
      </c>
      <c r="N600" s="1">
        <f>COUNTIF($M$562:$M$617,"&gt;"&amp;M600)+COUNTIF($M$562:M600,M600)</f>
        <v>50</v>
      </c>
      <c r="O600" s="1">
        <f>J600+L600+IF(N600&lt;=I600-SUM($J$562:$J$617)-SUM($L$562:$L$617),1,0)</f>
        <v>24</v>
      </c>
    </row>
    <row r="601" spans="1:15">
      <c r="A601" s="1" t="s">
        <v>60</v>
      </c>
      <c r="B601" s="1" t="s">
        <v>62</v>
      </c>
      <c r="C601" s="1" t="s">
        <v>50</v>
      </c>
      <c r="D601" s="1" t="s">
        <v>39</v>
      </c>
      <c r="E601" s="1" t="s">
        <v>47</v>
      </c>
      <c r="F601" s="1" t="s">
        <v>42</v>
      </c>
      <c r="G601" s="1">
        <v>10666</v>
      </c>
      <c r="H601" s="1">
        <f>'1_Departamento_n'!C12</f>
        <v>911331</v>
      </c>
      <c r="I601" s="1">
        <f>'1_Departamento_n'!H12</f>
        <v>1312</v>
      </c>
      <c r="J601" s="1">
        <f>'0_Parametros'!B7</f>
        <v>10</v>
      </c>
      <c r="K601" s="3">
        <f>(I601-SUM($J$562:$J$617))*G601/H601</f>
        <v>8.801228093853934</v>
      </c>
      <c r="L601" s="1">
        <f>INT(K601)</f>
        <v>8</v>
      </c>
      <c r="M601" s="3">
        <f>K601-L601</f>
        <v>0.8012280938539345</v>
      </c>
      <c r="N601" s="1">
        <f>COUNTIF($M$562:$M$617,"&gt;"&amp;M601)+COUNTIF($M$562:M601,M601)</f>
        <v>13</v>
      </c>
      <c r="O601" s="1">
        <f>J601+L601+IF(N601&lt;=I601-SUM($J$562:$J$617)-SUM($L$562:$L$617),1,0)</f>
        <v>19</v>
      </c>
    </row>
    <row r="602" spans="1:15">
      <c r="A602" s="1" t="s">
        <v>60</v>
      </c>
      <c r="B602" s="1" t="s">
        <v>62</v>
      </c>
      <c r="C602" s="1" t="s">
        <v>50</v>
      </c>
      <c r="D602" s="1" t="s">
        <v>39</v>
      </c>
      <c r="E602" s="1" t="s">
        <v>48</v>
      </c>
      <c r="F602" s="1" t="s">
        <v>41</v>
      </c>
      <c r="G602" s="1">
        <v>31562</v>
      </c>
      <c r="H602" s="1">
        <f>'1_Departamento_n'!C12</f>
        <v>911331</v>
      </c>
      <c r="I602" s="1">
        <f>'1_Departamento_n'!H12</f>
        <v>1312</v>
      </c>
      <c r="J602" s="1">
        <f>'0_Parametros'!B7</f>
        <v>10</v>
      </c>
      <c r="K602" s="3">
        <f>(I602-SUM($J$562:$J$617))*G602/H602</f>
        <v>26.043911597432764</v>
      </c>
      <c r="L602" s="1">
        <f>INT(K602)</f>
        <v>26</v>
      </c>
      <c r="M602" s="3">
        <f>K602-L602</f>
        <v>0.04391159743276418</v>
      </c>
      <c r="N602" s="1">
        <f>COUNTIF($M$562:$M$617,"&gt;"&amp;M602)+COUNTIF($M$562:M602,M602)</f>
        <v>54</v>
      </c>
      <c r="O602" s="1">
        <f>J602+L602+IF(N602&lt;=I602-SUM($J$562:$J$617)-SUM($L$562:$L$617),1,0)</f>
        <v>36</v>
      </c>
    </row>
    <row r="603" spans="1:15">
      <c r="A603" s="1" t="s">
        <v>60</v>
      </c>
      <c r="B603" s="1" t="s">
        <v>62</v>
      </c>
      <c r="C603" s="1" t="s">
        <v>50</v>
      </c>
      <c r="D603" s="1" t="s">
        <v>39</v>
      </c>
      <c r="E603" s="1" t="s">
        <v>48</v>
      </c>
      <c r="F603" s="1" t="s">
        <v>42</v>
      </c>
      <c r="G603" s="1">
        <v>18352</v>
      </c>
      <c r="H603" s="1">
        <f>'1_Departamento_n'!C12</f>
        <v>911331</v>
      </c>
      <c r="I603" s="1">
        <f>'1_Departamento_n'!H12</f>
        <v>1312</v>
      </c>
      <c r="J603" s="1">
        <f>'0_Parametros'!B7</f>
        <v>10</v>
      </c>
      <c r="K603" s="3">
        <f>(I603-SUM($J$562:$J$617))*G603/H603</f>
        <v>15.1434594016883</v>
      </c>
      <c r="L603" s="1">
        <f>INT(K603)</f>
        <v>15</v>
      </c>
      <c r="M603" s="3">
        <f>K603-L603</f>
        <v>0.1434594016883004</v>
      </c>
      <c r="N603" s="1">
        <f>COUNTIF($M$562:$M$617,"&gt;"&amp;M603)+COUNTIF($M$562:M603,M603)</f>
        <v>46</v>
      </c>
      <c r="O603" s="1">
        <f>J603+L603+IF(N603&lt;=I603-SUM($J$562:$J$617)-SUM($L$562:$L$617),1,0)</f>
        <v>25</v>
      </c>
    </row>
    <row r="604" spans="1:15">
      <c r="A604" s="1" t="s">
        <v>60</v>
      </c>
      <c r="B604" s="1" t="s">
        <v>62</v>
      </c>
      <c r="C604" s="1" t="s">
        <v>50</v>
      </c>
      <c r="D604" s="1" t="s">
        <v>49</v>
      </c>
      <c r="E604" s="1" t="s">
        <v>40</v>
      </c>
      <c r="F604" s="1" t="s">
        <v>41</v>
      </c>
      <c r="G604" s="1">
        <v>13005</v>
      </c>
      <c r="H604" s="1">
        <f>'1_Departamento_n'!C12</f>
        <v>911331</v>
      </c>
      <c r="I604" s="1">
        <f>'1_Departamento_n'!H12</f>
        <v>1312</v>
      </c>
      <c r="J604" s="1">
        <f>'0_Parametros'!B7</f>
        <v>10</v>
      </c>
      <c r="K604" s="3">
        <f>(I604-SUM($J$562:$J$617))*G604/H604</f>
        <v>10.73129302086728</v>
      </c>
      <c r="L604" s="1">
        <f>INT(K604)</f>
        <v>10</v>
      </c>
      <c r="M604" s="3">
        <f>K604-L604</f>
        <v>0.7312930208672803</v>
      </c>
      <c r="N604" s="1">
        <f>COUNTIF($M$562:$M$617,"&gt;"&amp;M604)+COUNTIF($M$562:M604,M604)</f>
        <v>16</v>
      </c>
      <c r="O604" s="1">
        <f>J604+L604+IF(N604&lt;=I604-SUM($J$562:$J$617)-SUM($L$562:$L$617),1,0)</f>
        <v>21</v>
      </c>
    </row>
    <row r="605" spans="1:15">
      <c r="A605" s="1" t="s">
        <v>60</v>
      </c>
      <c r="B605" s="1" t="s">
        <v>62</v>
      </c>
      <c r="C605" s="1" t="s">
        <v>50</v>
      </c>
      <c r="D605" s="1" t="s">
        <v>49</v>
      </c>
      <c r="E605" s="1" t="s">
        <v>40</v>
      </c>
      <c r="F605" s="1" t="s">
        <v>42</v>
      </c>
      <c r="G605" s="1">
        <v>10046</v>
      </c>
      <c r="H605" s="1">
        <f>'1_Departamento_n'!C12</f>
        <v>911331</v>
      </c>
      <c r="I605" s="1">
        <f>'1_Departamento_n'!H12</f>
        <v>1312</v>
      </c>
      <c r="J605" s="1">
        <f>'0_Parametros'!B7</f>
        <v>10</v>
      </c>
      <c r="K605" s="3">
        <f>(I605-SUM($J$562:$J$617))*G605/H605</f>
        <v>8.28962473568879</v>
      </c>
      <c r="L605" s="1">
        <f>INT(K605)</f>
        <v>8</v>
      </c>
      <c r="M605" s="3">
        <f>K605-L605</f>
        <v>0.28962473568878977</v>
      </c>
      <c r="N605" s="1">
        <f>COUNTIF($M$562:$M$617,"&gt;"&amp;M605)+COUNTIF($M$562:M605,M605)</f>
        <v>39</v>
      </c>
      <c r="O605" s="1">
        <f>J605+L605+IF(N605&lt;=I605-SUM($J$562:$J$617)-SUM($L$562:$L$617),1,0)</f>
        <v>18</v>
      </c>
    </row>
    <row r="606" spans="1:15">
      <c r="A606" s="1" t="s">
        <v>60</v>
      </c>
      <c r="B606" s="1" t="s">
        <v>62</v>
      </c>
      <c r="C606" s="1" t="s">
        <v>50</v>
      </c>
      <c r="D606" s="1" t="s">
        <v>49</v>
      </c>
      <c r="E606" s="1" t="s">
        <v>43</v>
      </c>
      <c r="F606" s="1" t="s">
        <v>41</v>
      </c>
      <c r="G606" s="1">
        <v>17580</v>
      </c>
      <c r="H606" s="1">
        <f>'1_Departamento_n'!C12</f>
        <v>911331</v>
      </c>
      <c r="I606" s="1">
        <f>'1_Departamento_n'!H12</f>
        <v>1312</v>
      </c>
      <c r="J606" s="1">
        <f>'0_Parametros'!B7</f>
        <v>10</v>
      </c>
      <c r="K606" s="3">
        <f>(I606-SUM($J$562:$J$617))*G606/H606</f>
        <v>14.506430704102023</v>
      </c>
      <c r="L606" s="1">
        <f>INT(K606)</f>
        <v>14</v>
      </c>
      <c r="M606" s="3">
        <f>K606-L606</f>
        <v>0.5064307041020228</v>
      </c>
      <c r="N606" s="1">
        <f>COUNTIF($M$562:$M$617,"&gt;"&amp;M606)+COUNTIF($M$562:M606,M606)</f>
        <v>26</v>
      </c>
      <c r="O606" s="1">
        <f>J606+L606+IF(N606&lt;=I606-SUM($J$562:$J$617)-SUM($L$562:$L$617),1,0)</f>
        <v>25</v>
      </c>
    </row>
    <row r="607" spans="1:15">
      <c r="A607" s="1" t="s">
        <v>60</v>
      </c>
      <c r="B607" s="1" t="s">
        <v>62</v>
      </c>
      <c r="C607" s="1" t="s">
        <v>50</v>
      </c>
      <c r="D607" s="1" t="s">
        <v>49</v>
      </c>
      <c r="E607" s="1" t="s">
        <v>43</v>
      </c>
      <c r="F607" s="1" t="s">
        <v>42</v>
      </c>
      <c r="G607" s="1">
        <v>12872</v>
      </c>
      <c r="H607" s="1">
        <f>'1_Departamento_n'!C12</f>
        <v>911331</v>
      </c>
      <c r="I607" s="1">
        <f>'1_Departamento_n'!H12</f>
        <v>1312</v>
      </c>
      <c r="J607" s="1">
        <f>'0_Parametros'!B7</f>
        <v>10</v>
      </c>
      <c r="K607" s="3">
        <f>(I607-SUM($J$562:$J$617))*G607/H607</f>
        <v>10.62154584887379</v>
      </c>
      <c r="L607" s="1">
        <f>INT(K607)</f>
        <v>10</v>
      </c>
      <c r="M607" s="3">
        <f>K607-L607</f>
        <v>0.6215458488737902</v>
      </c>
      <c r="N607" s="1">
        <f>COUNTIF($M$562:$M$617,"&gt;"&amp;M607)+COUNTIF($M$562:M607,M607)</f>
        <v>20</v>
      </c>
      <c r="O607" s="1">
        <f>J607+L607+IF(N607&lt;=I607-SUM($J$562:$J$617)-SUM($L$562:$L$617),1,0)</f>
        <v>21</v>
      </c>
    </row>
    <row r="608" spans="1:15">
      <c r="A608" s="1" t="s">
        <v>60</v>
      </c>
      <c r="B608" s="1" t="s">
        <v>62</v>
      </c>
      <c r="C608" s="1" t="s">
        <v>50</v>
      </c>
      <c r="D608" s="1" t="s">
        <v>49</v>
      </c>
      <c r="E608" s="1" t="s">
        <v>44</v>
      </c>
      <c r="F608" s="1" t="s">
        <v>41</v>
      </c>
      <c r="G608" s="1">
        <v>19465</v>
      </c>
      <c r="H608" s="1">
        <f>'1_Departamento_n'!C12</f>
        <v>911331</v>
      </c>
      <c r="I608" s="1">
        <f>'1_Departamento_n'!H12</f>
        <v>1312</v>
      </c>
      <c r="J608" s="1">
        <f>'0_Parametros'!B7</f>
        <v>10</v>
      </c>
      <c r="K608" s="3">
        <f>(I608-SUM($J$562:$J$617))*G608/H608</f>
        <v>16.061869946265407</v>
      </c>
      <c r="L608" s="1">
        <f>INT(K608)</f>
        <v>16</v>
      </c>
      <c r="M608" s="3">
        <f>K608-L608</f>
        <v>0.061869946265407094</v>
      </c>
      <c r="N608" s="1">
        <f>COUNTIF($M$562:$M$617,"&gt;"&amp;M608)+COUNTIF($M$562:M608,M608)</f>
        <v>53</v>
      </c>
      <c r="O608" s="1">
        <f>J608+L608+IF(N608&lt;=I608-SUM($J$562:$J$617)-SUM($L$562:$L$617),1,0)</f>
        <v>26</v>
      </c>
    </row>
    <row r="609" spans="1:15">
      <c r="A609" s="1" t="s">
        <v>60</v>
      </c>
      <c r="B609" s="1" t="s">
        <v>62</v>
      </c>
      <c r="C609" s="1" t="s">
        <v>50</v>
      </c>
      <c r="D609" s="1" t="s">
        <v>49</v>
      </c>
      <c r="E609" s="1" t="s">
        <v>44</v>
      </c>
      <c r="F609" s="1" t="s">
        <v>42</v>
      </c>
      <c r="G609" s="1">
        <v>11857</v>
      </c>
      <c r="H609" s="1">
        <f>'1_Departamento_n'!C12</f>
        <v>911331</v>
      </c>
      <c r="I609" s="1">
        <f>'1_Departamento_n'!H12</f>
        <v>1312</v>
      </c>
      <c r="J609" s="1">
        <f>'0_Parametros'!B7</f>
        <v>10</v>
      </c>
      <c r="K609" s="3">
        <f>(I609-SUM($J$562:$J$617))*G609/H609</f>
        <v>9.784001641555044</v>
      </c>
      <c r="L609" s="1">
        <f>INT(K609)</f>
        <v>9</v>
      </c>
      <c r="M609" s="3">
        <f>K609-L609</f>
        <v>0.7840016415550437</v>
      </c>
      <c r="N609" s="1">
        <f>COUNTIF($M$562:$M$617,"&gt;"&amp;M609)+COUNTIF($M$562:M609,M609)</f>
        <v>14</v>
      </c>
      <c r="O609" s="1">
        <f>J609+L609+IF(N609&lt;=I609-SUM($J$562:$J$617)-SUM($L$562:$L$617),1,0)</f>
        <v>20</v>
      </c>
    </row>
    <row r="610" spans="1:15">
      <c r="A610" s="1" t="s">
        <v>60</v>
      </c>
      <c r="B610" s="1" t="s">
        <v>62</v>
      </c>
      <c r="C610" s="1" t="s">
        <v>50</v>
      </c>
      <c r="D610" s="1" t="s">
        <v>49</v>
      </c>
      <c r="E610" s="1" t="s">
        <v>45</v>
      </c>
      <c r="F610" s="1" t="s">
        <v>41</v>
      </c>
      <c r="G610" s="1">
        <v>17578</v>
      </c>
      <c r="H610" s="1">
        <f>'1_Departamento_n'!C12</f>
        <v>911331</v>
      </c>
      <c r="I610" s="1">
        <f>'1_Departamento_n'!H12</f>
        <v>1312</v>
      </c>
      <c r="J610" s="1">
        <f>'0_Parametros'!B7</f>
        <v>10</v>
      </c>
      <c r="K610" s="3">
        <f>(I610-SUM($J$562:$J$617))*G610/H610</f>
        <v>14.504780370688586</v>
      </c>
      <c r="L610" s="1">
        <f>INT(K610)</f>
        <v>14</v>
      </c>
      <c r="M610" s="3">
        <f>K610-L610</f>
        <v>0.5047803706885858</v>
      </c>
      <c r="N610" s="1">
        <f>COUNTIF($M$562:$M$617,"&gt;"&amp;M610)+COUNTIF($M$562:M610,M610)</f>
        <v>27</v>
      </c>
      <c r="O610" s="1">
        <f>J610+L610+IF(N610&lt;=I610-SUM($J$562:$J$617)-SUM($L$562:$L$617),1,0)</f>
        <v>25</v>
      </c>
    </row>
    <row r="611" spans="1:15">
      <c r="A611" s="1" t="s">
        <v>60</v>
      </c>
      <c r="B611" s="1" t="s">
        <v>62</v>
      </c>
      <c r="C611" s="1" t="s">
        <v>50</v>
      </c>
      <c r="D611" s="1" t="s">
        <v>49</v>
      </c>
      <c r="E611" s="1" t="s">
        <v>45</v>
      </c>
      <c r="F611" s="1" t="s">
        <v>42</v>
      </c>
      <c r="G611" s="1">
        <v>11326</v>
      </c>
      <c r="H611" s="1">
        <f>'1_Departamento_n'!C12</f>
        <v>911331</v>
      </c>
      <c r="I611" s="1">
        <f>'1_Departamento_n'!H12</f>
        <v>1312</v>
      </c>
      <c r="J611" s="1">
        <f>'0_Parametros'!B7</f>
        <v>10</v>
      </c>
      <c r="K611" s="3">
        <f>(I611-SUM($J$562:$J$617))*G611/H611</f>
        <v>9.345838120287798</v>
      </c>
      <c r="L611" s="1">
        <f>INT(K611)</f>
        <v>9</v>
      </c>
      <c r="M611" s="3">
        <f>K611-L611</f>
        <v>0.34583812028779803</v>
      </c>
      <c r="N611" s="1">
        <f>COUNTIF($M$562:$M$617,"&gt;"&amp;M611)+COUNTIF($M$562:M611,M611)</f>
        <v>35</v>
      </c>
      <c r="O611" s="1">
        <f>J611+L611+IF(N611&lt;=I611-SUM($J$562:$J$617)-SUM($L$562:$L$617),1,0)</f>
        <v>19</v>
      </c>
    </row>
    <row r="612" spans="1:15">
      <c r="A612" s="1" t="s">
        <v>60</v>
      </c>
      <c r="B612" s="1" t="s">
        <v>62</v>
      </c>
      <c r="C612" s="1" t="s">
        <v>50</v>
      </c>
      <c r="D612" s="1" t="s">
        <v>49</v>
      </c>
      <c r="E612" s="1" t="s">
        <v>46</v>
      </c>
      <c r="F612" s="1" t="s">
        <v>41</v>
      </c>
      <c r="G612" s="1">
        <v>14303</v>
      </c>
      <c r="H612" s="1">
        <f>'1_Departamento_n'!C12</f>
        <v>911331</v>
      </c>
      <c r="I612" s="1">
        <f>'1_Departamento_n'!H12</f>
        <v>1312</v>
      </c>
      <c r="J612" s="1">
        <f>'0_Parametros'!B7</f>
        <v>10</v>
      </c>
      <c r="K612" s="3">
        <f>(I612-SUM($J$562:$J$617))*G612/H612</f>
        <v>11.802359406187215</v>
      </c>
      <c r="L612" s="1">
        <f>INT(K612)</f>
        <v>11</v>
      </c>
      <c r="M612" s="3">
        <f>K612-L612</f>
        <v>0.8023594061872146</v>
      </c>
      <c r="N612" s="1">
        <f>COUNTIF($M$562:$M$617,"&gt;"&amp;M612)+COUNTIF($M$562:M612,M612)</f>
        <v>12</v>
      </c>
      <c r="O612" s="1">
        <f>J612+L612+IF(N612&lt;=I612-SUM($J$562:$J$617)-SUM($L$562:$L$617),1,0)</f>
        <v>22</v>
      </c>
    </row>
    <row r="613" spans="1:15">
      <c r="A613" s="1" t="s">
        <v>60</v>
      </c>
      <c r="B613" s="1" t="s">
        <v>62</v>
      </c>
      <c r="C613" s="1" t="s">
        <v>50</v>
      </c>
      <c r="D613" s="1" t="s">
        <v>49</v>
      </c>
      <c r="E613" s="1" t="s">
        <v>46</v>
      </c>
      <c r="F613" s="1" t="s">
        <v>42</v>
      </c>
      <c r="G613" s="1">
        <v>10846</v>
      </c>
      <c r="H613" s="1">
        <f>'1_Departamento_n'!C12</f>
        <v>911331</v>
      </c>
      <c r="I613" s="1">
        <f>'1_Departamento_n'!H12</f>
        <v>1312</v>
      </c>
      <c r="J613" s="1">
        <f>'0_Parametros'!B7</f>
        <v>10</v>
      </c>
      <c r="K613" s="3">
        <f>(I613-SUM($J$562:$J$617))*G613/H613</f>
        <v>8.94975810106317</v>
      </c>
      <c r="L613" s="1">
        <f>INT(K613)</f>
        <v>8</v>
      </c>
      <c r="M613" s="3">
        <f>K613-L613</f>
        <v>0.9497581010631695</v>
      </c>
      <c r="N613" s="1">
        <f>COUNTIF($M$562:$M$617,"&gt;"&amp;M613)+COUNTIF($M$562:M613,M613)</f>
        <v>4</v>
      </c>
      <c r="O613" s="1">
        <f>J613+L613+IF(N613&lt;=I613-SUM($J$562:$J$617)-SUM($L$562:$L$617),1,0)</f>
        <v>19</v>
      </c>
    </row>
    <row r="614" spans="1:15">
      <c r="A614" s="1" t="s">
        <v>60</v>
      </c>
      <c r="B614" s="1" t="s">
        <v>62</v>
      </c>
      <c r="C614" s="1" t="s">
        <v>50</v>
      </c>
      <c r="D614" s="1" t="s">
        <v>49</v>
      </c>
      <c r="E614" s="1" t="s">
        <v>47</v>
      </c>
      <c r="F614" s="1" t="s">
        <v>41</v>
      </c>
      <c r="G614" s="1">
        <v>14980</v>
      </c>
      <c r="H614" s="1">
        <f>'1_Departamento_n'!C12</f>
        <v>911331</v>
      </c>
      <c r="I614" s="1">
        <f>'1_Departamento_n'!H12</f>
        <v>1312</v>
      </c>
      <c r="J614" s="1">
        <f>'0_Parametros'!B7</f>
        <v>10</v>
      </c>
      <c r="K614" s="3">
        <f>(I614-SUM($J$562:$J$617))*G614/H614</f>
        <v>12.360997266635284</v>
      </c>
      <c r="L614" s="1">
        <f>INT(K614)</f>
        <v>12</v>
      </c>
      <c r="M614" s="3">
        <f>K614-L614</f>
        <v>0.36099726663528386</v>
      </c>
      <c r="N614" s="1">
        <f>COUNTIF($M$562:$M$617,"&gt;"&amp;M614)+COUNTIF($M$562:M614,M614)</f>
        <v>34</v>
      </c>
      <c r="O614" s="1">
        <f>J614+L614+IF(N614&lt;=I614-SUM($J$562:$J$617)-SUM($L$562:$L$617),1,0)</f>
        <v>22</v>
      </c>
    </row>
    <row r="615" spans="1:15">
      <c r="A615" s="1" t="s">
        <v>60</v>
      </c>
      <c r="B615" s="1" t="s">
        <v>62</v>
      </c>
      <c r="C615" s="1" t="s">
        <v>50</v>
      </c>
      <c r="D615" s="1" t="s">
        <v>49</v>
      </c>
      <c r="E615" s="1" t="s">
        <v>47</v>
      </c>
      <c r="F615" s="1" t="s">
        <v>42</v>
      </c>
      <c r="G615" s="1">
        <v>11737</v>
      </c>
      <c r="H615" s="1">
        <f>'1_Departamento_n'!C12</f>
        <v>911331</v>
      </c>
      <c r="I615" s="1">
        <f>'1_Departamento_n'!H12</f>
        <v>1312</v>
      </c>
      <c r="J615" s="1">
        <f>'0_Parametros'!B7</f>
        <v>10</v>
      </c>
      <c r="K615" s="3">
        <f>(I615-SUM($J$562:$J$617))*G615/H615</f>
        <v>9.684981636748887</v>
      </c>
      <c r="L615" s="1">
        <f>INT(K615)</f>
        <v>9</v>
      </c>
      <c r="M615" s="3">
        <f>K615-L615</f>
        <v>0.684981636748887</v>
      </c>
      <c r="N615" s="1">
        <f>COUNTIF($M$562:$M$617,"&gt;"&amp;M615)+COUNTIF($M$562:M615,M615)</f>
        <v>19</v>
      </c>
      <c r="O615" s="1">
        <f>J615+L615+IF(N615&lt;=I615-SUM($J$562:$J$617)-SUM($L$562:$L$617),1,0)</f>
        <v>20</v>
      </c>
    </row>
    <row r="616" spans="1:15">
      <c r="A616" s="1" t="s">
        <v>60</v>
      </c>
      <c r="B616" s="1" t="s">
        <v>62</v>
      </c>
      <c r="C616" s="1" t="s">
        <v>50</v>
      </c>
      <c r="D616" s="1" t="s">
        <v>49</v>
      </c>
      <c r="E616" s="1" t="s">
        <v>48</v>
      </c>
      <c r="F616" s="1" t="s">
        <v>41</v>
      </c>
      <c r="G616" s="1">
        <v>27826</v>
      </c>
      <c r="H616" s="1">
        <f>'1_Departamento_n'!C12</f>
        <v>911331</v>
      </c>
      <c r="I616" s="1">
        <f>'1_Departamento_n'!H12</f>
        <v>1312</v>
      </c>
      <c r="J616" s="1">
        <f>'0_Parametros'!B7</f>
        <v>10</v>
      </c>
      <c r="K616" s="3">
        <f>(I616-SUM($J$562:$J$617))*G616/H616</f>
        <v>22.961088781134407</v>
      </c>
      <c r="L616" s="1">
        <f>INT(K616)</f>
        <v>22</v>
      </c>
      <c r="M616" s="3">
        <f>K616-L616</f>
        <v>0.9610887811344071</v>
      </c>
      <c r="N616" s="1">
        <f>COUNTIF($M$562:$M$617,"&gt;"&amp;M616)+COUNTIF($M$562:M616,M616)</f>
        <v>3</v>
      </c>
      <c r="O616" s="1">
        <f>J616+L616+IF(N616&lt;=I616-SUM($J$562:$J$617)-SUM($L$562:$L$617),1,0)</f>
        <v>33</v>
      </c>
    </row>
    <row r="617" spans="1:15">
      <c r="A617" s="1" t="s">
        <v>60</v>
      </c>
      <c r="B617" s="1" t="s">
        <v>62</v>
      </c>
      <c r="C617" s="1" t="s">
        <v>50</v>
      </c>
      <c r="D617" s="1" t="s">
        <v>49</v>
      </c>
      <c r="E617" s="1" t="s">
        <v>48</v>
      </c>
      <c r="F617" s="1" t="s">
        <v>42</v>
      </c>
      <c r="G617" s="1">
        <v>21964</v>
      </c>
      <c r="H617" s="1">
        <f>'1_Departamento_n'!C12</f>
        <v>911331</v>
      </c>
      <c r="I617" s="1">
        <f>'1_Departamento_n'!H12</f>
        <v>1312</v>
      </c>
      <c r="J617" s="1">
        <f>'0_Parametros'!B7</f>
        <v>10</v>
      </c>
      <c r="K617" s="3">
        <f>(I617-SUM($J$562:$J$617))*G617/H617</f>
        <v>18.12396154635363</v>
      </c>
      <c r="L617" s="1">
        <f>INT(K617)</f>
        <v>18</v>
      </c>
      <c r="M617" s="3">
        <f>K617-L617</f>
        <v>0.12396154635363033</v>
      </c>
      <c r="N617" s="1">
        <f>COUNTIF($M$562:$M$617,"&gt;"&amp;M617)+COUNTIF($M$562:M617,M617)</f>
        <v>48</v>
      </c>
      <c r="O617" s="1">
        <f>J617+L617+IF(N617&lt;=I617-SUM($J$562:$J$617)-SUM($L$562:$L$617),1,0)</f>
        <v>28</v>
      </c>
    </row>
    <row r="618" spans="1:15">
      <c r="A618" s="1" t="s">
        <v>60</v>
      </c>
      <c r="B618" s="1" t="s">
        <v>63</v>
      </c>
      <c r="C618" s="1" t="s">
        <v>38</v>
      </c>
      <c r="D618" s="1" t="s">
        <v>39</v>
      </c>
      <c r="E618" s="1" t="s">
        <v>40</v>
      </c>
      <c r="F618" s="1" t="s">
        <v>41</v>
      </c>
      <c r="G618" s="1">
        <v>2618</v>
      </c>
      <c r="H618" s="1">
        <f>'1_Departamento_n'!C13</f>
        <v>411841</v>
      </c>
      <c r="I618" s="1">
        <f>'1_Departamento_n'!H13</f>
        <v>1310</v>
      </c>
      <c r="J618" s="1">
        <f>'0_Parametros'!B7</f>
        <v>10</v>
      </c>
      <c r="K618" s="3">
        <f>(I618-SUM($J$618:$J$673))*G618/H618</f>
        <v>4.767616628747502</v>
      </c>
      <c r="L618" s="1">
        <f>INT(K618)</f>
        <v>4</v>
      </c>
      <c r="M618" s="3">
        <f>K618-L618</f>
        <v>0.7676166287475024</v>
      </c>
      <c r="N618" s="1">
        <f>COUNTIF($M$618:$M$673,"&gt;"&amp;M618)+COUNTIF($M$618:M618,M618)</f>
        <v>11</v>
      </c>
      <c r="O618" s="1">
        <f>J618+L618+IF(N618&lt;=I618-SUM($J$618:$J$673)-SUM($L$618:$L$673),1,0)</f>
        <v>15</v>
      </c>
    </row>
    <row r="619" spans="1:15">
      <c r="A619" s="1" t="s">
        <v>60</v>
      </c>
      <c r="B619" s="1" t="s">
        <v>63</v>
      </c>
      <c r="C619" s="1" t="s">
        <v>38</v>
      </c>
      <c r="D619" s="1" t="s">
        <v>39</v>
      </c>
      <c r="E619" s="1" t="s">
        <v>40</v>
      </c>
      <c r="F619" s="1" t="s">
        <v>42</v>
      </c>
      <c r="G619" s="1">
        <v>716</v>
      </c>
      <c r="H619" s="1">
        <f>'1_Departamento_n'!C13</f>
        <v>411841</v>
      </c>
      <c r="I619" s="1">
        <f>'1_Departamento_n'!H13</f>
        <v>1310</v>
      </c>
      <c r="J619" s="1">
        <f>'0_Parametros'!B7</f>
        <v>10</v>
      </c>
      <c r="K619" s="3">
        <f>(I619-SUM($J$618:$J$673))*G619/H619</f>
        <v>1.303901262866009</v>
      </c>
      <c r="L619" s="1">
        <f>INT(K619)</f>
        <v>1</v>
      </c>
      <c r="M619" s="3">
        <f>K619-L619</f>
        <v>0.30390126286600894</v>
      </c>
      <c r="N619" s="1">
        <f>COUNTIF($M$618:$M$673,"&gt;"&amp;M619)+COUNTIF($M$618:M619,M619)</f>
        <v>43</v>
      </c>
      <c r="O619" s="1">
        <f>J619+L619+IF(N619&lt;=I619-SUM($J$618:$J$673)-SUM($L$618:$L$673),1,0)</f>
        <v>11</v>
      </c>
    </row>
    <row r="620" spans="1:15">
      <c r="A620" s="1" t="s">
        <v>60</v>
      </c>
      <c r="B620" s="1" t="s">
        <v>63</v>
      </c>
      <c r="C620" s="1" t="s">
        <v>38</v>
      </c>
      <c r="D620" s="1" t="s">
        <v>39</v>
      </c>
      <c r="E620" s="1" t="s">
        <v>43</v>
      </c>
      <c r="F620" s="1" t="s">
        <v>41</v>
      </c>
      <c r="G620" s="1">
        <v>3705</v>
      </c>
      <c r="H620" s="1">
        <f>'1_Departamento_n'!C13</f>
        <v>411841</v>
      </c>
      <c r="I620" s="1">
        <f>'1_Departamento_n'!H13</f>
        <v>1310</v>
      </c>
      <c r="J620" s="1">
        <f>'0_Parametros'!B7</f>
        <v>10</v>
      </c>
      <c r="K620" s="3">
        <f>(I620-SUM($J$618:$J$673))*G620/H620</f>
        <v>6.7471427079868205</v>
      </c>
      <c r="L620" s="1">
        <f>INT(K620)</f>
        <v>6</v>
      </c>
      <c r="M620" s="3">
        <f>K620-L620</f>
        <v>0.7471427079868205</v>
      </c>
      <c r="N620" s="1">
        <f>COUNTIF($M$618:$M$673,"&gt;"&amp;M620)+COUNTIF($M$618:M620,M620)</f>
        <v>12</v>
      </c>
      <c r="O620" s="1">
        <f>J620+L620+IF(N620&lt;=I620-SUM($J$618:$J$673)-SUM($L$618:$L$673),1,0)</f>
        <v>17</v>
      </c>
    </row>
    <row r="621" spans="1:15">
      <c r="A621" s="1" t="s">
        <v>60</v>
      </c>
      <c r="B621" s="1" t="s">
        <v>63</v>
      </c>
      <c r="C621" s="1" t="s">
        <v>38</v>
      </c>
      <c r="D621" s="1" t="s">
        <v>39</v>
      </c>
      <c r="E621" s="1" t="s">
        <v>43</v>
      </c>
      <c r="F621" s="1" t="s">
        <v>42</v>
      </c>
      <c r="G621" s="1">
        <v>595</v>
      </c>
      <c r="H621" s="1">
        <f>'1_Departamento_n'!C13</f>
        <v>411841</v>
      </c>
      <c r="I621" s="1">
        <f>'1_Departamento_n'!H13</f>
        <v>1310</v>
      </c>
      <c r="J621" s="1">
        <f>'0_Parametros'!B7</f>
        <v>10</v>
      </c>
      <c r="K621" s="3">
        <f>(I621-SUM($J$618:$J$673))*G621/H621</f>
        <v>1.0835492338062505</v>
      </c>
      <c r="L621" s="1">
        <f>INT(K621)</f>
        <v>1</v>
      </c>
      <c r="M621" s="3">
        <f>K621-L621</f>
        <v>0.08354923380625046</v>
      </c>
      <c r="N621" s="1">
        <f>COUNTIF($M$618:$M$673,"&gt;"&amp;M621)+COUNTIF($M$618:M621,M621)</f>
        <v>53</v>
      </c>
      <c r="O621" s="1">
        <f>J621+L621+IF(N621&lt;=I621-SUM($J$618:$J$673)-SUM($L$618:$L$673),1,0)</f>
        <v>11</v>
      </c>
    </row>
    <row r="622" spans="1:15">
      <c r="A622" s="1" t="s">
        <v>60</v>
      </c>
      <c r="B622" s="1" t="s">
        <v>63</v>
      </c>
      <c r="C622" s="1" t="s">
        <v>38</v>
      </c>
      <c r="D622" s="1" t="s">
        <v>39</v>
      </c>
      <c r="E622" s="1" t="s">
        <v>44</v>
      </c>
      <c r="F622" s="1" t="s">
        <v>41</v>
      </c>
      <c r="G622" s="1">
        <v>5157</v>
      </c>
      <c r="H622" s="1">
        <f>'1_Departamento_n'!C13</f>
        <v>411841</v>
      </c>
      <c r="I622" s="1">
        <f>'1_Departamento_n'!H13</f>
        <v>1310</v>
      </c>
      <c r="J622" s="1">
        <f>'0_Parametros'!B7</f>
        <v>10</v>
      </c>
      <c r="K622" s="3">
        <f>(I622-SUM($J$618:$J$673))*G622/H622</f>
        <v>9.391367056703922</v>
      </c>
      <c r="L622" s="1">
        <f>INT(K622)</f>
        <v>9</v>
      </c>
      <c r="M622" s="3">
        <f>K622-L622</f>
        <v>0.39136705670392224</v>
      </c>
      <c r="N622" s="1">
        <f>COUNTIF($M$618:$M$673,"&gt;"&amp;M622)+COUNTIF($M$618:M622,M622)</f>
        <v>38</v>
      </c>
      <c r="O622" s="1">
        <f>J622+L622+IF(N622&lt;=I622-SUM($J$618:$J$673)-SUM($L$618:$L$673),1,0)</f>
        <v>19</v>
      </c>
    </row>
    <row r="623" spans="1:15">
      <c r="A623" s="1" t="s">
        <v>60</v>
      </c>
      <c r="B623" s="1" t="s">
        <v>63</v>
      </c>
      <c r="C623" s="1" t="s">
        <v>38</v>
      </c>
      <c r="D623" s="1" t="s">
        <v>39</v>
      </c>
      <c r="E623" s="1" t="s">
        <v>44</v>
      </c>
      <c r="F623" s="1" t="s">
        <v>42</v>
      </c>
      <c r="G623" s="1">
        <v>1560</v>
      </c>
      <c r="H623" s="1">
        <f>'1_Departamento_n'!C13</f>
        <v>411841</v>
      </c>
      <c r="I623" s="1">
        <f>'1_Departamento_n'!H13</f>
        <v>1310</v>
      </c>
      <c r="J623" s="1">
        <f>'0_Parametros'!B7</f>
        <v>10</v>
      </c>
      <c r="K623" s="3">
        <f>(I623-SUM($J$618:$J$673))*G623/H623</f>
        <v>2.840902192836556</v>
      </c>
      <c r="L623" s="1">
        <f>INT(K623)</f>
        <v>2</v>
      </c>
      <c r="M623" s="3">
        <f>K623-L623</f>
        <v>0.8409021928365559</v>
      </c>
      <c r="N623" s="1">
        <f>COUNTIF($M$618:$M$673,"&gt;"&amp;M623)+COUNTIF($M$618:M623,M623)</f>
        <v>9</v>
      </c>
      <c r="O623" s="1">
        <f>J623+L623+IF(N623&lt;=I623-SUM($J$618:$J$673)-SUM($L$618:$L$673),1,0)</f>
        <v>13</v>
      </c>
    </row>
    <row r="624" spans="1:15">
      <c r="A624" s="1" t="s">
        <v>60</v>
      </c>
      <c r="B624" s="1" t="s">
        <v>63</v>
      </c>
      <c r="C624" s="1" t="s">
        <v>38</v>
      </c>
      <c r="D624" s="1" t="s">
        <v>39</v>
      </c>
      <c r="E624" s="1" t="s">
        <v>45</v>
      </c>
      <c r="F624" s="1" t="s">
        <v>41</v>
      </c>
      <c r="G624" s="1">
        <v>6337</v>
      </c>
      <c r="H624" s="1">
        <f>'1_Departamento_n'!C13</f>
        <v>411841</v>
      </c>
      <c r="I624" s="1">
        <f>'1_Departamento_n'!H13</f>
        <v>1310</v>
      </c>
      <c r="J624" s="1">
        <f>'0_Parametros'!B7</f>
        <v>10</v>
      </c>
      <c r="K624" s="3">
        <f>(I624-SUM($J$618:$J$673))*G624/H624</f>
        <v>11.540254612823881</v>
      </c>
      <c r="L624" s="1">
        <f>INT(K624)</f>
        <v>11</v>
      </c>
      <c r="M624" s="3">
        <f>K624-L624</f>
        <v>0.5402546128238814</v>
      </c>
      <c r="N624" s="1">
        <f>COUNTIF($M$618:$M$673,"&gt;"&amp;M624)+COUNTIF($M$618:M624,M624)</f>
        <v>30</v>
      </c>
      <c r="O624" s="1">
        <f>J624+L624+IF(N624&lt;=I624-SUM($J$618:$J$673)-SUM($L$618:$L$673),1,0)</f>
        <v>22</v>
      </c>
    </row>
    <row r="625" spans="1:15">
      <c r="A625" s="1" t="s">
        <v>60</v>
      </c>
      <c r="B625" s="1" t="s">
        <v>63</v>
      </c>
      <c r="C625" s="1" t="s">
        <v>38</v>
      </c>
      <c r="D625" s="1" t="s">
        <v>39</v>
      </c>
      <c r="E625" s="1" t="s">
        <v>45</v>
      </c>
      <c r="F625" s="1" t="s">
        <v>42</v>
      </c>
      <c r="G625" s="1">
        <v>1257</v>
      </c>
      <c r="H625" s="1">
        <f>'1_Departamento_n'!C13</f>
        <v>411841</v>
      </c>
      <c r="I625" s="1">
        <f>'1_Departamento_n'!H13</f>
        <v>1310</v>
      </c>
      <c r="J625" s="1">
        <f>'0_Parametros'!B7</f>
        <v>10</v>
      </c>
      <c r="K625" s="3">
        <f>(I625-SUM($J$618:$J$673))*G625/H625</f>
        <v>2.2891115746125323</v>
      </c>
      <c r="L625" s="1">
        <f>INT(K625)</f>
        <v>2</v>
      </c>
      <c r="M625" s="3">
        <f>K625-L625</f>
        <v>0.28911157461253234</v>
      </c>
      <c r="N625" s="1">
        <f>COUNTIF($M$618:$M$673,"&gt;"&amp;M625)+COUNTIF($M$618:M625,M625)</f>
        <v>45</v>
      </c>
      <c r="O625" s="1">
        <f>J625+L625+IF(N625&lt;=I625-SUM($J$618:$J$673)-SUM($L$618:$L$673),1,0)</f>
        <v>12</v>
      </c>
    </row>
    <row r="626" spans="1:15">
      <c r="A626" s="1" t="s">
        <v>60</v>
      </c>
      <c r="B626" s="1" t="s">
        <v>63</v>
      </c>
      <c r="C626" s="1" t="s">
        <v>38</v>
      </c>
      <c r="D626" s="1" t="s">
        <v>39</v>
      </c>
      <c r="E626" s="1" t="s">
        <v>46</v>
      </c>
      <c r="F626" s="1" t="s">
        <v>41</v>
      </c>
      <c r="G626" s="1">
        <v>4930</v>
      </c>
      <c r="H626" s="1">
        <f>'1_Departamento_n'!C13</f>
        <v>411841</v>
      </c>
      <c r="I626" s="1">
        <f>'1_Departamento_n'!H13</f>
        <v>1310</v>
      </c>
      <c r="J626" s="1">
        <f>'0_Parametros'!B7</f>
        <v>10</v>
      </c>
      <c r="K626" s="3">
        <f>(I626-SUM($J$618:$J$673))*G626/H626</f>
        <v>8.977979365823218</v>
      </c>
      <c r="L626" s="1">
        <f>INT(K626)</f>
        <v>8</v>
      </c>
      <c r="M626" s="3">
        <f>K626-L626</f>
        <v>0.9779793658232183</v>
      </c>
      <c r="N626" s="1">
        <f>COUNTIF($M$618:$M$673,"&gt;"&amp;M626)+COUNTIF($M$618:M626,M626)</f>
        <v>2</v>
      </c>
      <c r="O626" s="1">
        <f>J626+L626+IF(N626&lt;=I626-SUM($J$618:$J$673)-SUM($L$618:$L$673),1,0)</f>
        <v>19</v>
      </c>
    </row>
    <row r="627" spans="1:15">
      <c r="A627" s="1" t="s">
        <v>60</v>
      </c>
      <c r="B627" s="1" t="s">
        <v>63</v>
      </c>
      <c r="C627" s="1" t="s">
        <v>38</v>
      </c>
      <c r="D627" s="1" t="s">
        <v>39</v>
      </c>
      <c r="E627" s="1" t="s">
        <v>46</v>
      </c>
      <c r="F627" s="1" t="s">
        <v>42</v>
      </c>
      <c r="G627" s="1">
        <v>630</v>
      </c>
      <c r="H627" s="1">
        <f>'1_Departamento_n'!C13</f>
        <v>411841</v>
      </c>
      <c r="I627" s="1">
        <f>'1_Departamento_n'!H13</f>
        <v>1310</v>
      </c>
      <c r="J627" s="1">
        <f>'0_Parametros'!B7</f>
        <v>10</v>
      </c>
      <c r="K627" s="3">
        <f>(I627-SUM($J$618:$J$673))*G627/H627</f>
        <v>1.1472874240301476</v>
      </c>
      <c r="L627" s="1">
        <f>INT(K627)</f>
        <v>1</v>
      </c>
      <c r="M627" s="3">
        <f>K627-L627</f>
        <v>0.1472874240301476</v>
      </c>
      <c r="N627" s="1">
        <f>COUNTIF($M$618:$M$673,"&gt;"&amp;M627)+COUNTIF($M$618:M627,M627)</f>
        <v>51</v>
      </c>
      <c r="O627" s="1">
        <f>J627+L627+IF(N627&lt;=I627-SUM($J$618:$J$673)-SUM($L$618:$L$673),1,0)</f>
        <v>11</v>
      </c>
    </row>
    <row r="628" spans="1:15">
      <c r="A628" s="1" t="s">
        <v>60</v>
      </c>
      <c r="B628" s="1" t="s">
        <v>63</v>
      </c>
      <c r="C628" s="1" t="s">
        <v>38</v>
      </c>
      <c r="D628" s="1" t="s">
        <v>39</v>
      </c>
      <c r="E628" s="1" t="s">
        <v>47</v>
      </c>
      <c r="F628" s="1" t="s">
        <v>41</v>
      </c>
      <c r="G628" s="1">
        <v>3464</v>
      </c>
      <c r="H628" s="1">
        <f>'1_Departamento_n'!C13</f>
        <v>411841</v>
      </c>
      <c r="I628" s="1">
        <f>'1_Departamento_n'!H13</f>
        <v>1310</v>
      </c>
      <c r="J628" s="1">
        <f>'0_Parametros'!B7</f>
        <v>10</v>
      </c>
      <c r="K628" s="3">
        <f>(I628-SUM($J$618:$J$673))*G628/H628</f>
        <v>6.308259741016557</v>
      </c>
      <c r="L628" s="1">
        <f>INT(K628)</f>
        <v>6</v>
      </c>
      <c r="M628" s="3">
        <f>K628-L628</f>
        <v>0.30825974101655707</v>
      </c>
      <c r="N628" s="1">
        <f>COUNTIF($M$618:$M$673,"&gt;"&amp;M628)+COUNTIF($M$618:M628,M628)</f>
        <v>42</v>
      </c>
      <c r="O628" s="1">
        <f>J628+L628+IF(N628&lt;=I628-SUM($J$618:$J$673)-SUM($L$618:$L$673),1,0)</f>
        <v>16</v>
      </c>
    </row>
    <row r="629" spans="1:15">
      <c r="A629" s="1" t="s">
        <v>60</v>
      </c>
      <c r="B629" s="1" t="s">
        <v>63</v>
      </c>
      <c r="C629" s="1" t="s">
        <v>38</v>
      </c>
      <c r="D629" s="1" t="s">
        <v>39</v>
      </c>
      <c r="E629" s="1" t="s">
        <v>47</v>
      </c>
      <c r="F629" s="1" t="s">
        <v>42</v>
      </c>
      <c r="G629" s="1">
        <v>316</v>
      </c>
      <c r="H629" s="1">
        <f>'1_Departamento_n'!C13</f>
        <v>411841</v>
      </c>
      <c r="I629" s="1">
        <f>'1_Departamento_n'!H13</f>
        <v>1310</v>
      </c>
      <c r="J629" s="1">
        <f>'0_Parametros'!B7</f>
        <v>10</v>
      </c>
      <c r="K629" s="3">
        <f>(I629-SUM($J$618:$J$673))*G629/H629</f>
        <v>0.575464803164328</v>
      </c>
      <c r="L629" s="1">
        <f>INT(K629)</f>
        <v>0</v>
      </c>
      <c r="M629" s="3">
        <f>K629-L629</f>
        <v>0.575464803164328</v>
      </c>
      <c r="N629" s="1">
        <f>COUNTIF($M$618:$M$673,"&gt;"&amp;M629)+COUNTIF($M$618:M629,M629)</f>
        <v>27</v>
      </c>
      <c r="O629" s="1">
        <f>J629+L629+IF(N629&lt;=I629-SUM($J$618:$J$673)-SUM($L$618:$L$673),1,0)</f>
        <v>11</v>
      </c>
    </row>
    <row r="630" spans="1:15">
      <c r="A630" s="1" t="s">
        <v>60</v>
      </c>
      <c r="B630" s="1" t="s">
        <v>63</v>
      </c>
      <c r="C630" s="1" t="s">
        <v>38</v>
      </c>
      <c r="D630" s="1" t="s">
        <v>39</v>
      </c>
      <c r="E630" s="1" t="s">
        <v>48</v>
      </c>
      <c r="F630" s="1" t="s">
        <v>41</v>
      </c>
      <c r="G630" s="1">
        <v>4458</v>
      </c>
      <c r="H630" s="1">
        <f>'1_Departamento_n'!C13</f>
        <v>411841</v>
      </c>
      <c r="I630" s="1">
        <f>'1_Departamento_n'!H13</f>
        <v>1310</v>
      </c>
      <c r="J630" s="1">
        <f>'0_Parametros'!B7</f>
        <v>10</v>
      </c>
      <c r="K630" s="3">
        <f>(I630-SUM($J$618:$J$673))*G630/H630</f>
        <v>8.118424343375235</v>
      </c>
      <c r="L630" s="1">
        <f>INT(K630)</f>
        <v>8</v>
      </c>
      <c r="M630" s="3">
        <f>K630-L630</f>
        <v>0.118424343375235</v>
      </c>
      <c r="N630" s="1">
        <f>COUNTIF($M$618:$M$673,"&gt;"&amp;M630)+COUNTIF($M$618:M630,M630)</f>
        <v>52</v>
      </c>
      <c r="O630" s="1">
        <f>J630+L630+IF(N630&lt;=I630-SUM($J$618:$J$673)-SUM($L$618:$L$673),1,0)</f>
        <v>18</v>
      </c>
    </row>
    <row r="631" spans="1:15">
      <c r="A631" s="1" t="s">
        <v>60</v>
      </c>
      <c r="B631" s="1" t="s">
        <v>63</v>
      </c>
      <c r="C631" s="1" t="s">
        <v>38</v>
      </c>
      <c r="D631" s="1" t="s">
        <v>39</v>
      </c>
      <c r="E631" s="1" t="s">
        <v>48</v>
      </c>
      <c r="F631" s="1" t="s">
        <v>42</v>
      </c>
      <c r="G631" s="1">
        <v>171</v>
      </c>
      <c r="H631" s="1">
        <f>'1_Departamento_n'!C13</f>
        <v>411841</v>
      </c>
      <c r="I631" s="1">
        <f>'1_Departamento_n'!H13</f>
        <v>1310</v>
      </c>
      <c r="J631" s="1">
        <f>'0_Parametros'!B7</f>
        <v>10</v>
      </c>
      <c r="K631" s="3">
        <f>(I631-SUM($J$618:$J$673))*G631/H631</f>
        <v>0.3114065865224686</v>
      </c>
      <c r="L631" s="1">
        <f>INT(K631)</f>
        <v>0</v>
      </c>
      <c r="M631" s="3">
        <f>K631-L631</f>
        <v>0.3114065865224686</v>
      </c>
      <c r="N631" s="1">
        <f>COUNTIF($M$618:$M$673,"&gt;"&amp;M631)+COUNTIF($M$618:M631,M631)</f>
        <v>41</v>
      </c>
      <c r="O631" s="1">
        <f>J631+L631+IF(N631&lt;=I631-SUM($J$618:$J$673)-SUM($L$618:$L$673),1,0)</f>
        <v>10</v>
      </c>
    </row>
    <row r="632" spans="1:15">
      <c r="A632" s="1" t="s">
        <v>60</v>
      </c>
      <c r="B632" s="1" t="s">
        <v>63</v>
      </c>
      <c r="C632" s="1" t="s">
        <v>38</v>
      </c>
      <c r="D632" s="1" t="s">
        <v>49</v>
      </c>
      <c r="E632" s="1" t="s">
        <v>40</v>
      </c>
      <c r="F632" s="1" t="s">
        <v>41</v>
      </c>
      <c r="G632" s="1">
        <v>2787</v>
      </c>
      <c r="H632" s="1">
        <f>'1_Departamento_n'!C13</f>
        <v>411841</v>
      </c>
      <c r="I632" s="1">
        <f>'1_Departamento_n'!H13</f>
        <v>1310</v>
      </c>
      <c r="J632" s="1">
        <f>'0_Parametros'!B7</f>
        <v>10</v>
      </c>
      <c r="K632" s="3">
        <f>(I632-SUM($J$618:$J$673))*G632/H632</f>
        <v>5.075381032971462</v>
      </c>
      <c r="L632" s="1">
        <f>INT(K632)</f>
        <v>5</v>
      </c>
      <c r="M632" s="3">
        <f>K632-L632</f>
        <v>0.07538103297146215</v>
      </c>
      <c r="N632" s="1">
        <f>COUNTIF($M$618:$M$673,"&gt;"&amp;M632)+COUNTIF($M$618:M632,M632)</f>
        <v>54</v>
      </c>
      <c r="O632" s="1">
        <f>J632+L632+IF(N632&lt;=I632-SUM($J$618:$J$673)-SUM($L$618:$L$673),1,0)</f>
        <v>15</v>
      </c>
    </row>
    <row r="633" spans="1:15">
      <c r="A633" s="1" t="s">
        <v>60</v>
      </c>
      <c r="B633" s="1" t="s">
        <v>63</v>
      </c>
      <c r="C633" s="1" t="s">
        <v>38</v>
      </c>
      <c r="D633" s="1" t="s">
        <v>49</v>
      </c>
      <c r="E633" s="1" t="s">
        <v>40</v>
      </c>
      <c r="F633" s="1" t="s">
        <v>42</v>
      </c>
      <c r="G633" s="1">
        <v>826</v>
      </c>
      <c r="H633" s="1">
        <f>'1_Departamento_n'!C13</f>
        <v>411841</v>
      </c>
      <c r="I633" s="1">
        <f>'1_Departamento_n'!H13</f>
        <v>1310</v>
      </c>
      <c r="J633" s="1">
        <f>'0_Parametros'!B7</f>
        <v>10</v>
      </c>
      <c r="K633" s="3">
        <f>(I633-SUM($J$618:$J$673))*G633/H633</f>
        <v>1.5042212892839713</v>
      </c>
      <c r="L633" s="1">
        <f>INT(K633)</f>
        <v>1</v>
      </c>
      <c r="M633" s="3">
        <f>K633-L633</f>
        <v>0.5042212892839713</v>
      </c>
      <c r="N633" s="1">
        <f>COUNTIF($M$618:$M$673,"&gt;"&amp;M633)+COUNTIF($M$618:M633,M633)</f>
        <v>36</v>
      </c>
      <c r="O633" s="1">
        <f>J633+L633+IF(N633&lt;=I633-SUM($J$618:$J$673)-SUM($L$618:$L$673),1,0)</f>
        <v>11</v>
      </c>
    </row>
    <row r="634" spans="1:15">
      <c r="A634" s="1" t="s">
        <v>60</v>
      </c>
      <c r="B634" s="1" t="s">
        <v>63</v>
      </c>
      <c r="C634" s="1" t="s">
        <v>38</v>
      </c>
      <c r="D634" s="1" t="s">
        <v>49</v>
      </c>
      <c r="E634" s="1" t="s">
        <v>43</v>
      </c>
      <c r="F634" s="1" t="s">
        <v>41</v>
      </c>
      <c r="G634" s="1">
        <v>3796</v>
      </c>
      <c r="H634" s="1">
        <f>'1_Departamento_n'!C13</f>
        <v>411841</v>
      </c>
      <c r="I634" s="1">
        <f>'1_Departamento_n'!H13</f>
        <v>1310</v>
      </c>
      <c r="J634" s="1">
        <f>'0_Parametros'!B7</f>
        <v>10</v>
      </c>
      <c r="K634" s="3">
        <f>(I634-SUM($J$618:$J$673))*G634/H634</f>
        <v>6.912862002568953</v>
      </c>
      <c r="L634" s="1">
        <f>INT(K634)</f>
        <v>6</v>
      </c>
      <c r="M634" s="3">
        <f>K634-L634</f>
        <v>0.9128620025689527</v>
      </c>
      <c r="N634" s="1">
        <f>COUNTIF($M$618:$M$673,"&gt;"&amp;M634)+COUNTIF($M$618:M634,M634)</f>
        <v>5</v>
      </c>
      <c r="O634" s="1">
        <f>J634+L634+IF(N634&lt;=I634-SUM($J$618:$J$673)-SUM($L$618:$L$673),1,0)</f>
        <v>17</v>
      </c>
    </row>
    <row r="635" spans="1:15">
      <c r="A635" s="1" t="s">
        <v>60</v>
      </c>
      <c r="B635" s="1" t="s">
        <v>63</v>
      </c>
      <c r="C635" s="1" t="s">
        <v>38</v>
      </c>
      <c r="D635" s="1" t="s">
        <v>49</v>
      </c>
      <c r="E635" s="1" t="s">
        <v>43</v>
      </c>
      <c r="F635" s="1" t="s">
        <v>42</v>
      </c>
      <c r="G635" s="1">
        <v>677</v>
      </c>
      <c r="H635" s="1">
        <f>'1_Departamento_n'!C13</f>
        <v>411841</v>
      </c>
      <c r="I635" s="1">
        <f>'1_Departamento_n'!H13</f>
        <v>1310</v>
      </c>
      <c r="J635" s="1">
        <f>'0_Parametros'!B7</f>
        <v>10</v>
      </c>
      <c r="K635" s="3">
        <f>(I635-SUM($J$618:$J$673))*G635/H635</f>
        <v>1.2328787080450951</v>
      </c>
      <c r="L635" s="1">
        <f>INT(K635)</f>
        <v>1</v>
      </c>
      <c r="M635" s="3">
        <f>K635-L635</f>
        <v>0.23287870804509514</v>
      </c>
      <c r="N635" s="1">
        <f>COUNTIF($M$618:$M$673,"&gt;"&amp;M635)+COUNTIF($M$618:M635,M635)</f>
        <v>49</v>
      </c>
      <c r="O635" s="1">
        <f>J635+L635+IF(N635&lt;=I635-SUM($J$618:$J$673)-SUM($L$618:$L$673),1,0)</f>
        <v>11</v>
      </c>
    </row>
    <row r="636" spans="1:15">
      <c r="A636" s="1" t="s">
        <v>60</v>
      </c>
      <c r="B636" s="1" t="s">
        <v>63</v>
      </c>
      <c r="C636" s="1" t="s">
        <v>38</v>
      </c>
      <c r="D636" s="1" t="s">
        <v>49</v>
      </c>
      <c r="E636" s="1" t="s">
        <v>44</v>
      </c>
      <c r="F636" s="1" t="s">
        <v>41</v>
      </c>
      <c r="G636" s="1">
        <v>5222</v>
      </c>
      <c r="H636" s="1">
        <f>'1_Departamento_n'!C13</f>
        <v>411841</v>
      </c>
      <c r="I636" s="1">
        <f>'1_Departamento_n'!H13</f>
        <v>1310</v>
      </c>
      <c r="J636" s="1">
        <f>'0_Parametros'!B7</f>
        <v>10</v>
      </c>
      <c r="K636" s="3">
        <f>(I636-SUM($J$618:$J$673))*G636/H636</f>
        <v>9.509737981405445</v>
      </c>
      <c r="L636" s="1">
        <f>INT(K636)</f>
        <v>9</v>
      </c>
      <c r="M636" s="3">
        <f>K636-L636</f>
        <v>0.5097379814054452</v>
      </c>
      <c r="N636" s="1">
        <f>COUNTIF($M$618:$M$673,"&gt;"&amp;M636)+COUNTIF($M$618:M636,M636)</f>
        <v>35</v>
      </c>
      <c r="O636" s="1">
        <f>J636+L636+IF(N636&lt;=I636-SUM($J$618:$J$673)-SUM($L$618:$L$673),1,0)</f>
        <v>19</v>
      </c>
    </row>
    <row r="637" spans="1:15">
      <c r="A637" s="1" t="s">
        <v>60</v>
      </c>
      <c r="B637" s="1" t="s">
        <v>63</v>
      </c>
      <c r="C637" s="1" t="s">
        <v>38</v>
      </c>
      <c r="D637" s="1" t="s">
        <v>49</v>
      </c>
      <c r="E637" s="1" t="s">
        <v>44</v>
      </c>
      <c r="F637" s="1" t="s">
        <v>42</v>
      </c>
      <c r="G637" s="1">
        <v>1980</v>
      </c>
      <c r="H637" s="1">
        <f>'1_Departamento_n'!C13</f>
        <v>411841</v>
      </c>
      <c r="I637" s="1">
        <f>'1_Departamento_n'!H13</f>
        <v>1310</v>
      </c>
      <c r="J637" s="1">
        <f>'0_Parametros'!B7</f>
        <v>10</v>
      </c>
      <c r="K637" s="3">
        <f>(I637-SUM($J$618:$J$673))*G637/H637</f>
        <v>3.605760475523321</v>
      </c>
      <c r="L637" s="1">
        <f>INT(K637)</f>
        <v>3</v>
      </c>
      <c r="M637" s="3">
        <f>K637-L637</f>
        <v>0.6057604755233208</v>
      </c>
      <c r="N637" s="1">
        <f>COUNTIF($M$618:$M$673,"&gt;"&amp;M637)+COUNTIF($M$618:M637,M637)</f>
        <v>25</v>
      </c>
      <c r="O637" s="1">
        <f>J637+L637+IF(N637&lt;=I637-SUM($J$618:$J$673)-SUM($L$618:$L$673),1,0)</f>
        <v>14</v>
      </c>
    </row>
    <row r="638" spans="1:15">
      <c r="A638" s="1" t="s">
        <v>60</v>
      </c>
      <c r="B638" s="1" t="s">
        <v>63</v>
      </c>
      <c r="C638" s="1" t="s">
        <v>38</v>
      </c>
      <c r="D638" s="1" t="s">
        <v>49</v>
      </c>
      <c r="E638" s="1" t="s">
        <v>45</v>
      </c>
      <c r="F638" s="1" t="s">
        <v>41</v>
      </c>
      <c r="G638" s="1">
        <v>6171</v>
      </c>
      <c r="H638" s="1">
        <f>'1_Departamento_n'!C13</f>
        <v>411841</v>
      </c>
      <c r="I638" s="1">
        <f>'1_Departamento_n'!H13</f>
        <v>1310</v>
      </c>
      <c r="J638" s="1">
        <f>'0_Parametros'!B7</f>
        <v>10</v>
      </c>
      <c r="K638" s="3">
        <f>(I638-SUM($J$618:$J$673))*G638/H638</f>
        <v>11.237953482047683</v>
      </c>
      <c r="L638" s="1">
        <f>INT(K638)</f>
        <v>11</v>
      </c>
      <c r="M638" s="3">
        <f>K638-L638</f>
        <v>0.23795348204768274</v>
      </c>
      <c r="N638" s="1">
        <f>COUNTIF($M$618:$M$673,"&gt;"&amp;M638)+COUNTIF($M$618:M638,M638)</f>
        <v>48</v>
      </c>
      <c r="O638" s="1">
        <f>J638+L638+IF(N638&lt;=I638-SUM($J$618:$J$673)-SUM($L$618:$L$673),1,0)</f>
        <v>21</v>
      </c>
    </row>
    <row r="639" spans="1:15">
      <c r="A639" s="1" t="s">
        <v>60</v>
      </c>
      <c r="B639" s="1" t="s">
        <v>63</v>
      </c>
      <c r="C639" s="1" t="s">
        <v>38</v>
      </c>
      <c r="D639" s="1" t="s">
        <v>49</v>
      </c>
      <c r="E639" s="1" t="s">
        <v>45</v>
      </c>
      <c r="F639" s="1" t="s">
        <v>42</v>
      </c>
      <c r="G639" s="1">
        <v>1498</v>
      </c>
      <c r="H639" s="1">
        <f>'1_Departamento_n'!C13</f>
        <v>411841</v>
      </c>
      <c r="I639" s="1">
        <f>'1_Departamento_n'!H13</f>
        <v>1310</v>
      </c>
      <c r="J639" s="1">
        <f>'0_Parametros'!B7</f>
        <v>10</v>
      </c>
      <c r="K639" s="3">
        <f>(I639-SUM($J$618:$J$673))*G639/H639</f>
        <v>2.7279945415827953</v>
      </c>
      <c r="L639" s="1">
        <f>INT(K639)</f>
        <v>2</v>
      </c>
      <c r="M639" s="3">
        <f>K639-L639</f>
        <v>0.7279945415827953</v>
      </c>
      <c r="N639" s="1">
        <f>COUNTIF($M$618:$M$673,"&gt;"&amp;M639)+COUNTIF($M$618:M639,M639)</f>
        <v>14</v>
      </c>
      <c r="O639" s="1">
        <f>J639+L639+IF(N639&lt;=I639-SUM($J$618:$J$673)-SUM($L$618:$L$673),1,0)</f>
        <v>13</v>
      </c>
    </row>
    <row r="640" spans="1:15">
      <c r="A640" s="1" t="s">
        <v>60</v>
      </c>
      <c r="B640" s="1" t="s">
        <v>63</v>
      </c>
      <c r="C640" s="1" t="s">
        <v>38</v>
      </c>
      <c r="D640" s="1" t="s">
        <v>49</v>
      </c>
      <c r="E640" s="1" t="s">
        <v>46</v>
      </c>
      <c r="F640" s="1" t="s">
        <v>41</v>
      </c>
      <c r="G640" s="1">
        <v>5068</v>
      </c>
      <c r="H640" s="1">
        <f>'1_Departamento_n'!C13</f>
        <v>411841</v>
      </c>
      <c r="I640" s="1">
        <f>'1_Departamento_n'!H13</f>
        <v>1310</v>
      </c>
      <c r="J640" s="1">
        <f>'0_Parametros'!B7</f>
        <v>10</v>
      </c>
      <c r="K640" s="3">
        <f>(I640-SUM($J$618:$J$673))*G640/H640</f>
        <v>9.229289944420298</v>
      </c>
      <c r="L640" s="1">
        <f>INT(K640)</f>
        <v>9</v>
      </c>
      <c r="M640" s="3">
        <f>K640-L640</f>
        <v>0.22928994442029804</v>
      </c>
      <c r="N640" s="1">
        <f>COUNTIF($M$618:$M$673,"&gt;"&amp;M640)+COUNTIF($M$618:M640,M640)</f>
        <v>50</v>
      </c>
      <c r="O640" s="1">
        <f>J640+L640+IF(N640&lt;=I640-SUM($J$618:$J$673)-SUM($L$618:$L$673),1,0)</f>
        <v>19</v>
      </c>
    </row>
    <row r="641" spans="1:15">
      <c r="A641" s="1" t="s">
        <v>60</v>
      </c>
      <c r="B641" s="1" t="s">
        <v>63</v>
      </c>
      <c r="C641" s="1" t="s">
        <v>38</v>
      </c>
      <c r="D641" s="1" t="s">
        <v>49</v>
      </c>
      <c r="E641" s="1" t="s">
        <v>46</v>
      </c>
      <c r="F641" s="1" t="s">
        <v>42</v>
      </c>
      <c r="G641" s="1">
        <v>882</v>
      </c>
      <c r="H641" s="1">
        <f>'1_Departamento_n'!C13</f>
        <v>411841</v>
      </c>
      <c r="I641" s="1">
        <f>'1_Departamento_n'!H13</f>
        <v>1310</v>
      </c>
      <c r="J641" s="1">
        <f>'0_Parametros'!B7</f>
        <v>10</v>
      </c>
      <c r="K641" s="3">
        <f>(I641-SUM($J$618:$J$673))*G641/H641</f>
        <v>1.6062023936422065</v>
      </c>
      <c r="L641" s="1">
        <f>INT(K641)</f>
        <v>1</v>
      </c>
      <c r="M641" s="3">
        <f>K641-L641</f>
        <v>0.6062023936422065</v>
      </c>
      <c r="N641" s="1">
        <f>COUNTIF($M$618:$M$673,"&gt;"&amp;M641)+COUNTIF($M$618:M641,M641)</f>
        <v>24</v>
      </c>
      <c r="O641" s="1">
        <f>J641+L641+IF(N641&lt;=I641-SUM($J$618:$J$673)-SUM($L$618:$L$673),1,0)</f>
        <v>12</v>
      </c>
    </row>
    <row r="642" spans="1:15">
      <c r="A642" s="1" t="s">
        <v>60</v>
      </c>
      <c r="B642" s="1" t="s">
        <v>63</v>
      </c>
      <c r="C642" s="1" t="s">
        <v>38</v>
      </c>
      <c r="D642" s="1" t="s">
        <v>49</v>
      </c>
      <c r="E642" s="1" t="s">
        <v>47</v>
      </c>
      <c r="F642" s="1" t="s">
        <v>41</v>
      </c>
      <c r="G642" s="1">
        <v>3455</v>
      </c>
      <c r="H642" s="1">
        <f>'1_Departamento_n'!C13</f>
        <v>411841</v>
      </c>
      <c r="I642" s="1">
        <f>'1_Departamento_n'!H13</f>
        <v>1310</v>
      </c>
      <c r="J642" s="1">
        <f>'0_Parametros'!B7</f>
        <v>10</v>
      </c>
      <c r="K642" s="3">
        <f>(I642-SUM($J$618:$J$673))*G642/H642</f>
        <v>6.291869920673269</v>
      </c>
      <c r="L642" s="1">
        <f>INT(K642)</f>
        <v>6</v>
      </c>
      <c r="M642" s="3">
        <f>K642-L642</f>
        <v>0.29186992067326933</v>
      </c>
      <c r="N642" s="1">
        <f>COUNTIF($M$618:$M$673,"&gt;"&amp;M642)+COUNTIF($M$618:M642,M642)</f>
        <v>44</v>
      </c>
      <c r="O642" s="1">
        <f>J642+L642+IF(N642&lt;=I642-SUM($J$618:$J$673)-SUM($L$618:$L$673),1,0)</f>
        <v>16</v>
      </c>
    </row>
    <row r="643" spans="1:15">
      <c r="A643" s="1" t="s">
        <v>60</v>
      </c>
      <c r="B643" s="1" t="s">
        <v>63</v>
      </c>
      <c r="C643" s="1" t="s">
        <v>38</v>
      </c>
      <c r="D643" s="1" t="s">
        <v>49</v>
      </c>
      <c r="E643" s="1" t="s">
        <v>47</v>
      </c>
      <c r="F643" s="1" t="s">
        <v>42</v>
      </c>
      <c r="G643" s="1">
        <v>532</v>
      </c>
      <c r="H643" s="1">
        <f>'1_Departamento_n'!C13</f>
        <v>411841</v>
      </c>
      <c r="I643" s="1">
        <f>'1_Departamento_n'!H13</f>
        <v>1310</v>
      </c>
      <c r="J643" s="1">
        <f>'0_Parametros'!B7</f>
        <v>10</v>
      </c>
      <c r="K643" s="3">
        <f>(I643-SUM($J$618:$J$673))*G643/H643</f>
        <v>0.9688204914032357</v>
      </c>
      <c r="L643" s="1">
        <f>INT(K643)</f>
        <v>0</v>
      </c>
      <c r="M643" s="3">
        <f>K643-L643</f>
        <v>0.9688204914032357</v>
      </c>
      <c r="N643" s="1">
        <f>COUNTIF($M$618:$M$673,"&gt;"&amp;M643)+COUNTIF($M$618:M643,M643)</f>
        <v>3</v>
      </c>
      <c r="O643" s="1">
        <f>J643+L643+IF(N643&lt;=I643-SUM($J$618:$J$673)-SUM($L$618:$L$673),1,0)</f>
        <v>11</v>
      </c>
    </row>
    <row r="644" spans="1:15">
      <c r="A644" s="1" t="s">
        <v>60</v>
      </c>
      <c r="B644" s="1" t="s">
        <v>63</v>
      </c>
      <c r="C644" s="1" t="s">
        <v>38</v>
      </c>
      <c r="D644" s="1" t="s">
        <v>49</v>
      </c>
      <c r="E644" s="1" t="s">
        <v>48</v>
      </c>
      <c r="F644" s="1" t="s">
        <v>41</v>
      </c>
      <c r="G644" s="1">
        <v>4171</v>
      </c>
      <c r="H644" s="1">
        <f>'1_Departamento_n'!C13</f>
        <v>411841</v>
      </c>
      <c r="I644" s="1">
        <f>'1_Departamento_n'!H13</f>
        <v>1310</v>
      </c>
      <c r="J644" s="1">
        <f>'0_Parametros'!B7</f>
        <v>10</v>
      </c>
      <c r="K644" s="3">
        <f>(I644-SUM($J$618:$J$673))*G644/H644</f>
        <v>7.595771183539279</v>
      </c>
      <c r="L644" s="1">
        <f>INT(K644)</f>
        <v>7</v>
      </c>
      <c r="M644" s="3">
        <f>K644-L644</f>
        <v>0.5957711835392789</v>
      </c>
      <c r="N644" s="1">
        <f>COUNTIF($M$618:$M$673,"&gt;"&amp;M644)+COUNTIF($M$618:M644,M644)</f>
        <v>26</v>
      </c>
      <c r="O644" s="1">
        <f>J644+L644+IF(N644&lt;=I644-SUM($J$618:$J$673)-SUM($L$618:$L$673),1,0)</f>
        <v>18</v>
      </c>
    </row>
    <row r="645" spans="1:15">
      <c r="A645" s="1" t="s">
        <v>60</v>
      </c>
      <c r="B645" s="1" t="s">
        <v>63</v>
      </c>
      <c r="C645" s="1" t="s">
        <v>38</v>
      </c>
      <c r="D645" s="1" t="s">
        <v>49</v>
      </c>
      <c r="E645" s="1" t="s">
        <v>48</v>
      </c>
      <c r="F645" s="1" t="s">
        <v>42</v>
      </c>
      <c r="G645" s="1">
        <v>357</v>
      </c>
      <c r="H645" s="1">
        <f>'1_Departamento_n'!C13</f>
        <v>411841</v>
      </c>
      <c r="I645" s="1">
        <f>'1_Departamento_n'!H13</f>
        <v>1310</v>
      </c>
      <c r="J645" s="1">
        <f>'0_Parametros'!B7</f>
        <v>10</v>
      </c>
      <c r="K645" s="3">
        <f>(I645-SUM($J$618:$J$673))*G645/H645</f>
        <v>0.6501295402837503</v>
      </c>
      <c r="L645" s="1">
        <f>INT(K645)</f>
        <v>0</v>
      </c>
      <c r="M645" s="3">
        <f>K645-L645</f>
        <v>0.6501295402837503</v>
      </c>
      <c r="N645" s="1">
        <f>COUNTIF($M$618:$M$673,"&gt;"&amp;M645)+COUNTIF($M$618:M645,M645)</f>
        <v>21</v>
      </c>
      <c r="O645" s="1">
        <f>J645+L645+IF(N645&lt;=I645-SUM($J$618:$J$673)-SUM($L$618:$L$673),1,0)</f>
        <v>11</v>
      </c>
    </row>
    <row r="646" spans="1:15">
      <c r="A646" s="1" t="s">
        <v>60</v>
      </c>
      <c r="B646" s="1" t="s">
        <v>63</v>
      </c>
      <c r="C646" s="1" t="s">
        <v>50</v>
      </c>
      <c r="D646" s="1" t="s">
        <v>39</v>
      </c>
      <c r="E646" s="1" t="s">
        <v>40</v>
      </c>
      <c r="F646" s="1" t="s">
        <v>41</v>
      </c>
      <c r="G646" s="1">
        <v>15579</v>
      </c>
      <c r="H646" s="1">
        <f>'1_Departamento_n'!C13</f>
        <v>411841</v>
      </c>
      <c r="I646" s="1">
        <f>'1_Departamento_n'!H13</f>
        <v>1310</v>
      </c>
      <c r="J646" s="1">
        <f>'0_Parametros'!B7</f>
        <v>10</v>
      </c>
      <c r="K646" s="3">
        <f>(I646-SUM($J$618:$J$673))*G646/H646</f>
        <v>28.37077901423122</v>
      </c>
      <c r="L646" s="1">
        <f>INT(K646)</f>
        <v>28</v>
      </c>
      <c r="M646" s="3">
        <f>K646-L646</f>
        <v>0.3707790142312213</v>
      </c>
      <c r="N646" s="1">
        <f>COUNTIF($M$618:$M$673,"&gt;"&amp;M646)+COUNTIF($M$618:M646,M646)</f>
        <v>39</v>
      </c>
      <c r="O646" s="1">
        <f>J646+L646+IF(N646&lt;=I646-SUM($J$618:$J$673)-SUM($L$618:$L$673),1,0)</f>
        <v>38</v>
      </c>
    </row>
    <row r="647" spans="1:15">
      <c r="A647" s="1" t="s">
        <v>60</v>
      </c>
      <c r="B647" s="1" t="s">
        <v>63</v>
      </c>
      <c r="C647" s="1" t="s">
        <v>50</v>
      </c>
      <c r="D647" s="1" t="s">
        <v>39</v>
      </c>
      <c r="E647" s="1" t="s">
        <v>40</v>
      </c>
      <c r="F647" s="1" t="s">
        <v>42</v>
      </c>
      <c r="G647" s="1">
        <v>9487</v>
      </c>
      <c r="H647" s="1">
        <f>'1_Departamento_n'!C13</f>
        <v>411841</v>
      </c>
      <c r="I647" s="1">
        <f>'1_Departamento_n'!H13</f>
        <v>1310</v>
      </c>
      <c r="J647" s="1">
        <f>'0_Parametros'!B7</f>
        <v>10</v>
      </c>
      <c r="K647" s="3">
        <f>(I647-SUM($J$618:$J$673))*G647/H647</f>
        <v>17.27669173297462</v>
      </c>
      <c r="L647" s="1">
        <f>INT(K647)</f>
        <v>17</v>
      </c>
      <c r="M647" s="3">
        <f>K647-L647</f>
        <v>0.27669173297461924</v>
      </c>
      <c r="N647" s="1">
        <f>COUNTIF($M$618:$M$673,"&gt;"&amp;M647)+COUNTIF($M$618:M647,M647)</f>
        <v>46</v>
      </c>
      <c r="O647" s="1">
        <f>J647+L647+IF(N647&lt;=I647-SUM($J$618:$J$673)-SUM($L$618:$L$673),1,0)</f>
        <v>27</v>
      </c>
    </row>
    <row r="648" spans="1:15">
      <c r="A648" s="1" t="s">
        <v>60</v>
      </c>
      <c r="B648" s="1" t="s">
        <v>63</v>
      </c>
      <c r="C648" s="1" t="s">
        <v>50</v>
      </c>
      <c r="D648" s="1" t="s">
        <v>39</v>
      </c>
      <c r="E648" s="1" t="s">
        <v>43</v>
      </c>
      <c r="F648" s="1" t="s">
        <v>41</v>
      </c>
      <c r="G648" s="1">
        <v>19507</v>
      </c>
      <c r="H648" s="1">
        <f>'1_Departamento_n'!C13</f>
        <v>411841</v>
      </c>
      <c r="I648" s="1">
        <f>'1_Departamento_n'!H13</f>
        <v>1310</v>
      </c>
      <c r="J648" s="1">
        <f>'0_Parametros'!B7</f>
        <v>10</v>
      </c>
      <c r="K648" s="3">
        <f>(I648-SUM($J$618:$J$673))*G648/H648</f>
        <v>35.52402504850173</v>
      </c>
      <c r="L648" s="1">
        <f>INT(K648)</f>
        <v>35</v>
      </c>
      <c r="M648" s="3">
        <f>K648-L648</f>
        <v>0.524025048501727</v>
      </c>
      <c r="N648" s="1">
        <f>COUNTIF($M$618:$M$673,"&gt;"&amp;M648)+COUNTIF($M$618:M648,M648)</f>
        <v>32</v>
      </c>
      <c r="O648" s="1">
        <f>J648+L648+IF(N648&lt;=I648-SUM($J$618:$J$673)-SUM($L$618:$L$673),1,0)</f>
        <v>45</v>
      </c>
    </row>
    <row r="649" spans="1:15">
      <c r="A649" s="1" t="s">
        <v>60</v>
      </c>
      <c r="B649" s="1" t="s">
        <v>63</v>
      </c>
      <c r="C649" s="1" t="s">
        <v>50</v>
      </c>
      <c r="D649" s="1" t="s">
        <v>39</v>
      </c>
      <c r="E649" s="1" t="s">
        <v>43</v>
      </c>
      <c r="F649" s="1" t="s">
        <v>42</v>
      </c>
      <c r="G649" s="1">
        <v>12448</v>
      </c>
      <c r="H649" s="1">
        <f>'1_Departamento_n'!C13</f>
        <v>411841</v>
      </c>
      <c r="I649" s="1">
        <f>'1_Departamento_n'!H13</f>
        <v>1310</v>
      </c>
      <c r="J649" s="1">
        <f>'0_Parametros'!B7</f>
        <v>10</v>
      </c>
      <c r="K649" s="3">
        <f>(I649-SUM($J$618:$J$673))*G649/H649</f>
        <v>22.668942625916312</v>
      </c>
      <c r="L649" s="1">
        <f>INT(K649)</f>
        <v>22</v>
      </c>
      <c r="M649" s="3">
        <f>K649-L649</f>
        <v>0.668942625916312</v>
      </c>
      <c r="N649" s="1">
        <f>COUNTIF($M$618:$M$673,"&gt;"&amp;M649)+COUNTIF($M$618:M649,M649)</f>
        <v>19</v>
      </c>
      <c r="O649" s="1">
        <f>J649+L649+IF(N649&lt;=I649-SUM($J$618:$J$673)-SUM($L$618:$L$673),1,0)</f>
        <v>33</v>
      </c>
    </row>
    <row r="650" spans="1:15">
      <c r="A650" s="1" t="s">
        <v>60</v>
      </c>
      <c r="B650" s="1" t="s">
        <v>63</v>
      </c>
      <c r="C650" s="1" t="s">
        <v>50</v>
      </c>
      <c r="D650" s="1" t="s">
        <v>39</v>
      </c>
      <c r="E650" s="1" t="s">
        <v>44</v>
      </c>
      <c r="F650" s="1" t="s">
        <v>41</v>
      </c>
      <c r="G650" s="1">
        <v>19730</v>
      </c>
      <c r="H650" s="1">
        <f>'1_Departamento_n'!C13</f>
        <v>411841</v>
      </c>
      <c r="I650" s="1">
        <f>'1_Departamento_n'!H13</f>
        <v>1310</v>
      </c>
      <c r="J650" s="1">
        <f>'0_Parametros'!B7</f>
        <v>10</v>
      </c>
      <c r="K650" s="3">
        <f>(I650-SUM($J$618:$J$673))*G650/H650</f>
        <v>35.93012837478541</v>
      </c>
      <c r="L650" s="1">
        <f>INT(K650)</f>
        <v>35</v>
      </c>
      <c r="M650" s="3">
        <f>K650-L650</f>
        <v>0.9301283747854114</v>
      </c>
      <c r="N650" s="1">
        <f>COUNTIF($M$618:$M$673,"&gt;"&amp;M650)+COUNTIF($M$618:M650,M650)</f>
        <v>4</v>
      </c>
      <c r="O650" s="1">
        <f>J650+L650+IF(N650&lt;=I650-SUM($J$618:$J$673)-SUM($L$618:$L$673),1,0)</f>
        <v>46</v>
      </c>
    </row>
    <row r="651" spans="1:15">
      <c r="A651" s="1" t="s">
        <v>60</v>
      </c>
      <c r="B651" s="1" t="s">
        <v>63</v>
      </c>
      <c r="C651" s="1" t="s">
        <v>50</v>
      </c>
      <c r="D651" s="1" t="s">
        <v>39</v>
      </c>
      <c r="E651" s="1" t="s">
        <v>44</v>
      </c>
      <c r="F651" s="1" t="s">
        <v>42</v>
      </c>
      <c r="G651" s="1">
        <v>11360</v>
      </c>
      <c r="H651" s="1">
        <f>'1_Departamento_n'!C13</f>
        <v>411841</v>
      </c>
      <c r="I651" s="1">
        <f>'1_Departamento_n'!H13</f>
        <v>1310</v>
      </c>
      <c r="J651" s="1">
        <f>'0_Parametros'!B7</f>
        <v>10</v>
      </c>
      <c r="K651" s="3">
        <f>(I651-SUM($J$618:$J$673))*G651/H651</f>
        <v>20.68759545552774</v>
      </c>
      <c r="L651" s="1">
        <f>INT(K651)</f>
        <v>20</v>
      </c>
      <c r="M651" s="3">
        <f>K651-L651</f>
        <v>0.6875954555277417</v>
      </c>
      <c r="N651" s="1">
        <f>COUNTIF($M$618:$M$673,"&gt;"&amp;M651)+COUNTIF($M$618:M651,M651)</f>
        <v>16</v>
      </c>
      <c r="O651" s="1">
        <f>J651+L651+IF(N651&lt;=I651-SUM($J$618:$J$673)-SUM($L$618:$L$673),1,0)</f>
        <v>31</v>
      </c>
    </row>
    <row r="652" spans="1:15">
      <c r="A652" s="1" t="s">
        <v>60</v>
      </c>
      <c r="B652" s="1" t="s">
        <v>63</v>
      </c>
      <c r="C652" s="1" t="s">
        <v>50</v>
      </c>
      <c r="D652" s="1" t="s">
        <v>39</v>
      </c>
      <c r="E652" s="1" t="s">
        <v>45</v>
      </c>
      <c r="F652" s="1" t="s">
        <v>41</v>
      </c>
      <c r="G652" s="1">
        <v>15876</v>
      </c>
      <c r="H652" s="1">
        <f>'1_Departamento_n'!C13</f>
        <v>411841</v>
      </c>
      <c r="I652" s="1">
        <f>'1_Departamento_n'!H13</f>
        <v>1310</v>
      </c>
      <c r="J652" s="1">
        <f>'0_Parametros'!B7</f>
        <v>10</v>
      </c>
      <c r="K652" s="3">
        <f>(I652-SUM($J$618:$J$673))*G652/H652</f>
        <v>28.911643085559717</v>
      </c>
      <c r="L652" s="1">
        <f>INT(K652)</f>
        <v>28</v>
      </c>
      <c r="M652" s="3">
        <f>K652-L652</f>
        <v>0.9116430855597173</v>
      </c>
      <c r="N652" s="1">
        <f>COUNTIF($M$618:$M$673,"&gt;"&amp;M652)+COUNTIF($M$618:M652,M652)</f>
        <v>6</v>
      </c>
      <c r="O652" s="1">
        <f>J652+L652+IF(N652&lt;=I652-SUM($J$618:$J$673)-SUM($L$618:$L$673),1,0)</f>
        <v>39</v>
      </c>
    </row>
    <row r="653" spans="1:15">
      <c r="A653" s="1" t="s">
        <v>60</v>
      </c>
      <c r="B653" s="1" t="s">
        <v>63</v>
      </c>
      <c r="C653" s="1" t="s">
        <v>50</v>
      </c>
      <c r="D653" s="1" t="s">
        <v>39</v>
      </c>
      <c r="E653" s="1" t="s">
        <v>45</v>
      </c>
      <c r="F653" s="1" t="s">
        <v>42</v>
      </c>
      <c r="G653" s="1">
        <v>9135</v>
      </c>
      <c r="H653" s="1">
        <f>'1_Departamento_n'!C13</f>
        <v>411841</v>
      </c>
      <c r="I653" s="1">
        <f>'1_Departamento_n'!H13</f>
        <v>1310</v>
      </c>
      <c r="J653" s="1">
        <f>'0_Parametros'!B7</f>
        <v>10</v>
      </c>
      <c r="K653" s="3">
        <f>(I653-SUM($J$618:$J$673))*G653/H653</f>
        <v>16.63566764843714</v>
      </c>
      <c r="L653" s="1">
        <f>INT(K653)</f>
        <v>16</v>
      </c>
      <c r="M653" s="3">
        <f>K653-L653</f>
        <v>0.6356676484371384</v>
      </c>
      <c r="N653" s="1">
        <f>COUNTIF($M$618:$M$673,"&gt;"&amp;M653)+COUNTIF($M$618:M653,M653)</f>
        <v>22</v>
      </c>
      <c r="O653" s="1">
        <f>J653+L653+IF(N653&lt;=I653-SUM($J$618:$J$673)-SUM($L$618:$L$673),1,0)</f>
        <v>27</v>
      </c>
    </row>
    <row r="654" spans="1:15">
      <c r="A654" s="1" t="s">
        <v>60</v>
      </c>
      <c r="B654" s="1" t="s">
        <v>63</v>
      </c>
      <c r="C654" s="1" t="s">
        <v>50</v>
      </c>
      <c r="D654" s="1" t="s">
        <v>39</v>
      </c>
      <c r="E654" s="1" t="s">
        <v>46</v>
      </c>
      <c r="F654" s="1" t="s">
        <v>41</v>
      </c>
      <c r="G654" s="1">
        <v>12555</v>
      </c>
      <c r="H654" s="1">
        <f>'1_Departamento_n'!C13</f>
        <v>411841</v>
      </c>
      <c r="I654" s="1">
        <f>'1_Departamento_n'!H13</f>
        <v>1310</v>
      </c>
      <c r="J654" s="1">
        <f>'0_Parametros'!B7</f>
        <v>10</v>
      </c>
      <c r="K654" s="3">
        <f>(I654-SUM($J$618:$J$673))*G654/H654</f>
        <v>22.86379937888651</v>
      </c>
      <c r="L654" s="1">
        <f>INT(K654)</f>
        <v>22</v>
      </c>
      <c r="M654" s="3">
        <f>K654-L654</f>
        <v>0.8637993788865117</v>
      </c>
      <c r="N654" s="1">
        <f>COUNTIF($M$618:$M$673,"&gt;"&amp;M654)+COUNTIF($M$618:M654,M654)</f>
        <v>7</v>
      </c>
      <c r="O654" s="1">
        <f>J654+L654+IF(N654&lt;=I654-SUM($J$618:$J$673)-SUM($L$618:$L$673),1,0)</f>
        <v>33</v>
      </c>
    </row>
    <row r="655" spans="1:15">
      <c r="A655" s="1" t="s">
        <v>60</v>
      </c>
      <c r="B655" s="1" t="s">
        <v>63</v>
      </c>
      <c r="C655" s="1" t="s">
        <v>50</v>
      </c>
      <c r="D655" s="1" t="s">
        <v>39</v>
      </c>
      <c r="E655" s="1" t="s">
        <v>46</v>
      </c>
      <c r="F655" s="1" t="s">
        <v>42</v>
      </c>
      <c r="G655" s="1">
        <v>7450</v>
      </c>
      <c r="H655" s="1">
        <f>'1_Departamento_n'!C13</f>
        <v>411841</v>
      </c>
      <c r="I655" s="1">
        <f>'1_Departamento_n'!H13</f>
        <v>1310</v>
      </c>
      <c r="J655" s="1">
        <f>'0_Parametros'!B7</f>
        <v>10</v>
      </c>
      <c r="K655" s="3">
        <f>(I655-SUM($J$618:$J$673))*G655/H655</f>
        <v>13.567129061943808</v>
      </c>
      <c r="L655" s="1">
        <f>INT(K655)</f>
        <v>13</v>
      </c>
      <c r="M655" s="3">
        <f>K655-L655</f>
        <v>0.5671290619438079</v>
      </c>
      <c r="N655" s="1">
        <f>COUNTIF($M$618:$M$673,"&gt;"&amp;M655)+COUNTIF($M$618:M655,M655)</f>
        <v>29</v>
      </c>
      <c r="O655" s="1">
        <f>J655+L655+IF(N655&lt;=I655-SUM($J$618:$J$673)-SUM($L$618:$L$673),1,0)</f>
        <v>24</v>
      </c>
    </row>
    <row r="656" spans="1:15">
      <c r="A656" s="1" t="s">
        <v>60</v>
      </c>
      <c r="B656" s="1" t="s">
        <v>63</v>
      </c>
      <c r="C656" s="1" t="s">
        <v>50</v>
      </c>
      <c r="D656" s="1" t="s">
        <v>39</v>
      </c>
      <c r="E656" s="1" t="s">
        <v>47</v>
      </c>
      <c r="F656" s="1" t="s">
        <v>41</v>
      </c>
      <c r="G656" s="1">
        <v>10808</v>
      </c>
      <c r="H656" s="1">
        <f>'1_Departamento_n'!C13</f>
        <v>411841</v>
      </c>
      <c r="I656" s="1">
        <f>'1_Departamento_n'!H13</f>
        <v>1310</v>
      </c>
      <c r="J656" s="1">
        <f>'0_Parametros'!B7</f>
        <v>10</v>
      </c>
      <c r="K656" s="3">
        <f>(I656-SUM($J$618:$J$673))*G656/H656</f>
        <v>19.68235314113942</v>
      </c>
      <c r="L656" s="1">
        <f>INT(K656)</f>
        <v>19</v>
      </c>
      <c r="M656" s="3">
        <f>K656-L656</f>
        <v>0.6823531411394193</v>
      </c>
      <c r="N656" s="1">
        <f>COUNTIF($M$618:$M$673,"&gt;"&amp;M656)+COUNTIF($M$618:M656,M656)</f>
        <v>18</v>
      </c>
      <c r="O656" s="1">
        <f>J656+L656+IF(N656&lt;=I656-SUM($J$618:$J$673)-SUM($L$618:$L$673),1,0)</f>
        <v>30</v>
      </c>
    </row>
    <row r="657" spans="1:15">
      <c r="A657" s="1" t="s">
        <v>60</v>
      </c>
      <c r="B657" s="1" t="s">
        <v>63</v>
      </c>
      <c r="C657" s="1" t="s">
        <v>50</v>
      </c>
      <c r="D657" s="1" t="s">
        <v>39</v>
      </c>
      <c r="E657" s="1" t="s">
        <v>47</v>
      </c>
      <c r="F657" s="1" t="s">
        <v>42</v>
      </c>
      <c r="G657" s="1">
        <v>5868</v>
      </c>
      <c r="H657" s="1">
        <f>'1_Departamento_n'!C13</f>
        <v>411841</v>
      </c>
      <c r="I657" s="1">
        <f>'1_Departamento_n'!H13</f>
        <v>1310</v>
      </c>
      <c r="J657" s="1">
        <f>'0_Parametros'!B7</f>
        <v>10</v>
      </c>
      <c r="K657" s="3">
        <f>(I657-SUM($J$618:$J$673))*G657/H657</f>
        <v>10.686162863823661</v>
      </c>
      <c r="L657" s="1">
        <f>INT(K657)</f>
        <v>10</v>
      </c>
      <c r="M657" s="3">
        <f>K657-L657</f>
        <v>0.686162863823661</v>
      </c>
      <c r="N657" s="1">
        <f>COUNTIF($M$618:$M$673,"&gt;"&amp;M657)+COUNTIF($M$618:M657,M657)</f>
        <v>17</v>
      </c>
      <c r="O657" s="1">
        <f>J657+L657+IF(N657&lt;=I657-SUM($J$618:$J$673)-SUM($L$618:$L$673),1,0)</f>
        <v>21</v>
      </c>
    </row>
    <row r="658" spans="1:15">
      <c r="A658" s="1" t="s">
        <v>60</v>
      </c>
      <c r="B658" s="1" t="s">
        <v>63</v>
      </c>
      <c r="C658" s="1" t="s">
        <v>50</v>
      </c>
      <c r="D658" s="1" t="s">
        <v>39</v>
      </c>
      <c r="E658" s="1" t="s">
        <v>48</v>
      </c>
      <c r="F658" s="1" t="s">
        <v>41</v>
      </c>
      <c r="G658" s="1">
        <v>14011</v>
      </c>
      <c r="H658" s="1">
        <f>'1_Departamento_n'!C13</f>
        <v>411841</v>
      </c>
      <c r="I658" s="1">
        <f>'1_Departamento_n'!H13</f>
        <v>1310</v>
      </c>
      <c r="J658" s="1">
        <f>'0_Parametros'!B7</f>
        <v>10</v>
      </c>
      <c r="K658" s="3">
        <f>(I658-SUM($J$618:$J$673))*G658/H658</f>
        <v>25.51530809220063</v>
      </c>
      <c r="L658" s="1">
        <f>INT(K658)</f>
        <v>25</v>
      </c>
      <c r="M658" s="3">
        <f>K658-L658</f>
        <v>0.5153080922006303</v>
      </c>
      <c r="N658" s="1">
        <f>COUNTIF($M$618:$M$673,"&gt;"&amp;M658)+COUNTIF($M$618:M658,M658)</f>
        <v>33</v>
      </c>
      <c r="O658" s="1">
        <f>J658+L658+IF(N658&lt;=I658-SUM($J$618:$J$673)-SUM($L$618:$L$673),1,0)</f>
        <v>35</v>
      </c>
    </row>
    <row r="659" spans="1:15">
      <c r="A659" s="1" t="s">
        <v>60</v>
      </c>
      <c r="B659" s="1" t="s">
        <v>63</v>
      </c>
      <c r="C659" s="1" t="s">
        <v>50</v>
      </c>
      <c r="D659" s="1" t="s">
        <v>39</v>
      </c>
      <c r="E659" s="1" t="s">
        <v>48</v>
      </c>
      <c r="F659" s="1" t="s">
        <v>42</v>
      </c>
      <c r="G659" s="1">
        <v>6323</v>
      </c>
      <c r="H659" s="1">
        <f>'1_Departamento_n'!C13</f>
        <v>411841</v>
      </c>
      <c r="I659" s="1">
        <f>'1_Departamento_n'!H13</f>
        <v>1310</v>
      </c>
      <c r="J659" s="1">
        <f>'0_Parametros'!B7</f>
        <v>10</v>
      </c>
      <c r="K659" s="3">
        <f>(I659-SUM($J$618:$J$673))*G659/H659</f>
        <v>11.514759336734322</v>
      </c>
      <c r="L659" s="1">
        <f>INT(K659)</f>
        <v>11</v>
      </c>
      <c r="M659" s="3">
        <f>K659-L659</f>
        <v>0.514759336734322</v>
      </c>
      <c r="N659" s="1">
        <f>COUNTIF($M$618:$M$673,"&gt;"&amp;M659)+COUNTIF($M$618:M659,M659)</f>
        <v>34</v>
      </c>
      <c r="O659" s="1">
        <f>J659+L659+IF(N659&lt;=I659-SUM($J$618:$J$673)-SUM($L$618:$L$673),1,0)</f>
        <v>21</v>
      </c>
    </row>
    <row r="660" spans="1:15">
      <c r="A660" s="1" t="s">
        <v>60</v>
      </c>
      <c r="B660" s="1" t="s">
        <v>63</v>
      </c>
      <c r="C660" s="1" t="s">
        <v>50</v>
      </c>
      <c r="D660" s="1" t="s">
        <v>49</v>
      </c>
      <c r="E660" s="1" t="s">
        <v>40</v>
      </c>
      <c r="F660" s="1" t="s">
        <v>41</v>
      </c>
      <c r="G660" s="1">
        <v>16502</v>
      </c>
      <c r="H660" s="1">
        <f>'1_Departamento_n'!C13</f>
        <v>411841</v>
      </c>
      <c r="I660" s="1">
        <f>'1_Departamento_n'!H13</f>
        <v>1310</v>
      </c>
      <c r="J660" s="1">
        <f>'0_Parametros'!B7</f>
        <v>10</v>
      </c>
      <c r="K660" s="3">
        <f>(I660-SUM($J$618:$J$673))*G660/H660</f>
        <v>30.051646144992848</v>
      </c>
      <c r="L660" s="1">
        <f>INT(K660)</f>
        <v>30</v>
      </c>
      <c r="M660" s="3">
        <f>K660-L660</f>
        <v>0.05164614499284781</v>
      </c>
      <c r="N660" s="1">
        <f>COUNTIF($M$618:$M$673,"&gt;"&amp;M660)+COUNTIF($M$618:M660,M660)</f>
        <v>56</v>
      </c>
      <c r="O660" s="1">
        <f>J660+L660+IF(N660&lt;=I660-SUM($J$618:$J$673)-SUM($L$618:$L$673),1,0)</f>
        <v>40</v>
      </c>
    </row>
    <row r="661" spans="1:15">
      <c r="A661" s="1" t="s">
        <v>60</v>
      </c>
      <c r="B661" s="1" t="s">
        <v>63</v>
      </c>
      <c r="C661" s="1" t="s">
        <v>50</v>
      </c>
      <c r="D661" s="1" t="s">
        <v>49</v>
      </c>
      <c r="E661" s="1" t="s">
        <v>40</v>
      </c>
      <c r="F661" s="1" t="s">
        <v>42</v>
      </c>
      <c r="G661" s="1">
        <v>10064</v>
      </c>
      <c r="H661" s="1">
        <f>'1_Departamento_n'!C13</f>
        <v>411841</v>
      </c>
      <c r="I661" s="1">
        <f>'1_Departamento_n'!H13</f>
        <v>1310</v>
      </c>
      <c r="J661" s="1">
        <f>'0_Parametros'!B7</f>
        <v>10</v>
      </c>
      <c r="K661" s="3">
        <f>(I661-SUM($J$618:$J$673))*G661/H661</f>
        <v>18.327461326094294</v>
      </c>
      <c r="L661" s="1">
        <f>INT(K661)</f>
        <v>18</v>
      </c>
      <c r="M661" s="3">
        <f>K661-L661</f>
        <v>0.32746132609429424</v>
      </c>
      <c r="N661" s="1">
        <f>COUNTIF($M$618:$M$673,"&gt;"&amp;M661)+COUNTIF($M$618:M661,M661)</f>
        <v>40</v>
      </c>
      <c r="O661" s="1">
        <f>J661+L661+IF(N661&lt;=I661-SUM($J$618:$J$673)-SUM($L$618:$L$673),1,0)</f>
        <v>28</v>
      </c>
    </row>
    <row r="662" spans="1:15">
      <c r="A662" s="1" t="s">
        <v>60</v>
      </c>
      <c r="B662" s="1" t="s">
        <v>63</v>
      </c>
      <c r="C662" s="1" t="s">
        <v>50</v>
      </c>
      <c r="D662" s="1" t="s">
        <v>49</v>
      </c>
      <c r="E662" s="1" t="s">
        <v>43</v>
      </c>
      <c r="F662" s="1" t="s">
        <v>41</v>
      </c>
      <c r="G662" s="1">
        <v>19690</v>
      </c>
      <c r="H662" s="1">
        <f>'1_Departamento_n'!C13</f>
        <v>411841</v>
      </c>
      <c r="I662" s="1">
        <f>'1_Departamento_n'!H13</f>
        <v>1310</v>
      </c>
      <c r="J662" s="1">
        <f>'0_Parametros'!B7</f>
        <v>10</v>
      </c>
      <c r="K662" s="3">
        <f>(I662-SUM($J$618:$J$673))*G662/H662</f>
        <v>35.857284728815245</v>
      </c>
      <c r="L662" s="1">
        <f>INT(K662)</f>
        <v>35</v>
      </c>
      <c r="M662" s="3">
        <f>K662-L662</f>
        <v>0.8572847288152445</v>
      </c>
      <c r="N662" s="1">
        <f>COUNTIF($M$618:$M$673,"&gt;"&amp;M662)+COUNTIF($M$618:M662,M662)</f>
        <v>8</v>
      </c>
      <c r="O662" s="1">
        <f>J662+L662+IF(N662&lt;=I662-SUM($J$618:$J$673)-SUM($L$618:$L$673),1,0)</f>
        <v>46</v>
      </c>
    </row>
    <row r="663" spans="1:15">
      <c r="A663" s="1" t="s">
        <v>60</v>
      </c>
      <c r="B663" s="1" t="s">
        <v>63</v>
      </c>
      <c r="C663" s="1" t="s">
        <v>50</v>
      </c>
      <c r="D663" s="1" t="s">
        <v>49</v>
      </c>
      <c r="E663" s="1" t="s">
        <v>43</v>
      </c>
      <c r="F663" s="1" t="s">
        <v>42</v>
      </c>
      <c r="G663" s="1">
        <v>12923</v>
      </c>
      <c r="H663" s="1">
        <f>'1_Departamento_n'!C13</f>
        <v>411841</v>
      </c>
      <c r="I663" s="1">
        <f>'1_Departamento_n'!H13</f>
        <v>1310</v>
      </c>
      <c r="J663" s="1">
        <f>'0_Parametros'!B7</f>
        <v>10</v>
      </c>
      <c r="K663" s="3">
        <f>(I663-SUM($J$618:$J$673))*G663/H663</f>
        <v>23.53396092181206</v>
      </c>
      <c r="L663" s="1">
        <f>INT(K663)</f>
        <v>23</v>
      </c>
      <c r="M663" s="3">
        <f>K663-L663</f>
        <v>0.53396092181206</v>
      </c>
      <c r="N663" s="1">
        <f>COUNTIF($M$618:$M$673,"&gt;"&amp;M663)+COUNTIF($M$618:M663,M663)</f>
        <v>31</v>
      </c>
      <c r="O663" s="1">
        <f>J663+L663+IF(N663&lt;=I663-SUM($J$618:$J$673)-SUM($L$618:$L$673),1,0)</f>
        <v>33</v>
      </c>
    </row>
    <row r="664" spans="1:15">
      <c r="A664" s="1" t="s">
        <v>60</v>
      </c>
      <c r="B664" s="1" t="s">
        <v>63</v>
      </c>
      <c r="C664" s="1" t="s">
        <v>50</v>
      </c>
      <c r="D664" s="1" t="s">
        <v>49</v>
      </c>
      <c r="E664" s="1" t="s">
        <v>44</v>
      </c>
      <c r="F664" s="1" t="s">
        <v>41</v>
      </c>
      <c r="G664" s="1">
        <v>16607</v>
      </c>
      <c r="H664" s="1">
        <f>'1_Departamento_n'!C13</f>
        <v>411841</v>
      </c>
      <c r="I664" s="1">
        <f>'1_Departamento_n'!H13</f>
        <v>1310</v>
      </c>
      <c r="J664" s="1">
        <f>'0_Parametros'!B7</f>
        <v>10</v>
      </c>
      <c r="K664" s="3">
        <f>(I664-SUM($J$618:$J$673))*G664/H664</f>
        <v>30.24286071566454</v>
      </c>
      <c r="L664" s="1">
        <f>INT(K664)</f>
        <v>30</v>
      </c>
      <c r="M664" s="3">
        <f>K664-L664</f>
        <v>0.24286071566454126</v>
      </c>
      <c r="N664" s="1">
        <f>COUNTIF($M$618:$M$673,"&gt;"&amp;M664)+COUNTIF($M$618:M664,M664)</f>
        <v>47</v>
      </c>
      <c r="O664" s="1">
        <f>J664+L664+IF(N664&lt;=I664-SUM($J$618:$J$673)-SUM($L$618:$L$673),1,0)</f>
        <v>40</v>
      </c>
    </row>
    <row r="665" spans="1:15">
      <c r="A665" s="1" t="s">
        <v>60</v>
      </c>
      <c r="B665" s="1" t="s">
        <v>63</v>
      </c>
      <c r="C665" s="1" t="s">
        <v>50</v>
      </c>
      <c r="D665" s="1" t="s">
        <v>49</v>
      </c>
      <c r="E665" s="1" t="s">
        <v>44</v>
      </c>
      <c r="F665" s="1" t="s">
        <v>42</v>
      </c>
      <c r="G665" s="1">
        <v>11012</v>
      </c>
      <c r="H665" s="1">
        <f>'1_Departamento_n'!C13</f>
        <v>411841</v>
      </c>
      <c r="I665" s="1">
        <f>'1_Departamento_n'!H13</f>
        <v>1310</v>
      </c>
      <c r="J665" s="1">
        <f>'0_Parametros'!B7</f>
        <v>10</v>
      </c>
      <c r="K665" s="3">
        <f>(I665-SUM($J$618:$J$673))*G665/H665</f>
        <v>20.053855735587277</v>
      </c>
      <c r="L665" s="1">
        <f>INT(K665)</f>
        <v>20</v>
      </c>
      <c r="M665" s="3">
        <f>K665-L665</f>
        <v>0.053855735587276854</v>
      </c>
      <c r="N665" s="1">
        <f>COUNTIF($M$618:$M$673,"&gt;"&amp;M665)+COUNTIF($M$618:M665,M665)</f>
        <v>55</v>
      </c>
      <c r="O665" s="1">
        <f>J665+L665+IF(N665&lt;=I665-SUM($J$618:$J$673)-SUM($L$618:$L$673),1,0)</f>
        <v>30</v>
      </c>
    </row>
    <row r="666" spans="1:15">
      <c r="A666" s="1" t="s">
        <v>60</v>
      </c>
      <c r="B666" s="1" t="s">
        <v>63</v>
      </c>
      <c r="C666" s="1" t="s">
        <v>50</v>
      </c>
      <c r="D666" s="1" t="s">
        <v>49</v>
      </c>
      <c r="E666" s="1" t="s">
        <v>45</v>
      </c>
      <c r="F666" s="1" t="s">
        <v>41</v>
      </c>
      <c r="G666" s="1">
        <v>14161</v>
      </c>
      <c r="H666" s="1">
        <f>'1_Departamento_n'!C13</f>
        <v>411841</v>
      </c>
      <c r="I666" s="1">
        <f>'1_Departamento_n'!H13</f>
        <v>1310</v>
      </c>
      <c r="J666" s="1">
        <f>'0_Parametros'!B7</f>
        <v>10</v>
      </c>
      <c r="K666" s="3">
        <f>(I666-SUM($J$618:$J$673))*G666/H666</f>
        <v>25.78847176458876</v>
      </c>
      <c r="L666" s="1">
        <f>INT(K666)</f>
        <v>25</v>
      </c>
      <c r="M666" s="3">
        <f>K666-L666</f>
        <v>0.7884717645887598</v>
      </c>
      <c r="N666" s="1">
        <f>COUNTIF($M$618:$M$673,"&gt;"&amp;M666)+COUNTIF($M$618:M666,M666)</f>
        <v>10</v>
      </c>
      <c r="O666" s="1">
        <f>J666+L666+IF(N666&lt;=I666-SUM($J$618:$J$673)-SUM($L$618:$L$673),1,0)</f>
        <v>36</v>
      </c>
    </row>
    <row r="667" spans="1:15">
      <c r="A667" s="1" t="s">
        <v>60</v>
      </c>
      <c r="B667" s="1" t="s">
        <v>63</v>
      </c>
      <c r="C667" s="1" t="s">
        <v>50</v>
      </c>
      <c r="D667" s="1" t="s">
        <v>49</v>
      </c>
      <c r="E667" s="1" t="s">
        <v>45</v>
      </c>
      <c r="F667" s="1" t="s">
        <v>42</v>
      </c>
      <c r="G667" s="1">
        <v>9143</v>
      </c>
      <c r="H667" s="1">
        <f>'1_Departamento_n'!C13</f>
        <v>411841</v>
      </c>
      <c r="I667" s="1">
        <f>'1_Departamento_n'!H13</f>
        <v>1310</v>
      </c>
      <c r="J667" s="1">
        <f>'0_Parametros'!B7</f>
        <v>10</v>
      </c>
      <c r="K667" s="3">
        <f>(I667-SUM($J$618:$J$673))*G667/H667</f>
        <v>16.650236377631174</v>
      </c>
      <c r="L667" s="1">
        <f>INT(K667)</f>
        <v>16</v>
      </c>
      <c r="M667" s="3">
        <f>K667-L667</f>
        <v>0.6502363776311739</v>
      </c>
      <c r="N667" s="1">
        <f>COUNTIF($M$618:$M$673,"&gt;"&amp;M667)+COUNTIF($M$618:M667,M667)</f>
        <v>20</v>
      </c>
      <c r="O667" s="1">
        <f>J667+L667+IF(N667&lt;=I667-SUM($J$618:$J$673)-SUM($L$618:$L$673),1,0)</f>
        <v>27</v>
      </c>
    </row>
    <row r="668" spans="1:15">
      <c r="A668" s="1" t="s">
        <v>60</v>
      </c>
      <c r="B668" s="1" t="s">
        <v>63</v>
      </c>
      <c r="C668" s="1" t="s">
        <v>50</v>
      </c>
      <c r="D668" s="1" t="s">
        <v>49</v>
      </c>
      <c r="E668" s="1" t="s">
        <v>46</v>
      </c>
      <c r="F668" s="1" t="s">
        <v>41</v>
      </c>
      <c r="G668" s="1">
        <v>11362</v>
      </c>
      <c r="H668" s="1">
        <f>'1_Departamento_n'!C13</f>
        <v>411841</v>
      </c>
      <c r="I668" s="1">
        <f>'1_Departamento_n'!H13</f>
        <v>1310</v>
      </c>
      <c r="J668" s="1">
        <f>'0_Parametros'!B7</f>
        <v>10</v>
      </c>
      <c r="K668" s="3">
        <f>(I668-SUM($J$618:$J$673))*G668/H668</f>
        <v>20.691237637826248</v>
      </c>
      <c r="L668" s="1">
        <f>INT(K668)</f>
        <v>20</v>
      </c>
      <c r="M668" s="3">
        <f>K668-L668</f>
        <v>0.6912376378262479</v>
      </c>
      <c r="N668" s="1">
        <f>COUNTIF($M$618:$M$673,"&gt;"&amp;M668)+COUNTIF($M$618:M668,M668)</f>
        <v>15</v>
      </c>
      <c r="O668" s="1">
        <f>J668+L668+IF(N668&lt;=I668-SUM($J$618:$J$673)-SUM($L$618:$L$673),1,0)</f>
        <v>31</v>
      </c>
    </row>
    <row r="669" spans="1:15">
      <c r="A669" s="1" t="s">
        <v>60</v>
      </c>
      <c r="B669" s="1" t="s">
        <v>63</v>
      </c>
      <c r="C669" s="1" t="s">
        <v>50</v>
      </c>
      <c r="D669" s="1" t="s">
        <v>49</v>
      </c>
      <c r="E669" s="1" t="s">
        <v>46</v>
      </c>
      <c r="F669" s="1" t="s">
        <v>42</v>
      </c>
      <c r="G669" s="1">
        <v>8002</v>
      </c>
      <c r="H669" s="1">
        <f>'1_Departamento_n'!C13</f>
        <v>411841</v>
      </c>
      <c r="I669" s="1">
        <f>'1_Departamento_n'!H13</f>
        <v>1310</v>
      </c>
      <c r="J669" s="1">
        <f>'0_Parametros'!B7</f>
        <v>10</v>
      </c>
      <c r="K669" s="3">
        <f>(I669-SUM($J$618:$J$673))*G669/H669</f>
        <v>14.572371376332129</v>
      </c>
      <c r="L669" s="1">
        <f>INT(K669)</f>
        <v>14</v>
      </c>
      <c r="M669" s="3">
        <f>K669-L669</f>
        <v>0.5723713763321285</v>
      </c>
      <c r="N669" s="1">
        <f>COUNTIF($M$618:$M$673,"&gt;"&amp;M669)+COUNTIF($M$618:M669,M669)</f>
        <v>28</v>
      </c>
      <c r="O669" s="1">
        <f>J669+L669+IF(N669&lt;=I669-SUM($J$618:$J$673)-SUM($L$618:$L$673),1,0)</f>
        <v>25</v>
      </c>
    </row>
    <row r="670" spans="1:15">
      <c r="A670" s="1" t="s">
        <v>60</v>
      </c>
      <c r="B670" s="1" t="s">
        <v>63</v>
      </c>
      <c r="C670" s="1" t="s">
        <v>50</v>
      </c>
      <c r="D670" s="1" t="s">
        <v>49</v>
      </c>
      <c r="E670" s="1" t="s">
        <v>47</v>
      </c>
      <c r="F670" s="1" t="s">
        <v>41</v>
      </c>
      <c r="G670" s="1">
        <v>9741</v>
      </c>
      <c r="H670" s="1">
        <f>'1_Departamento_n'!C13</f>
        <v>411841</v>
      </c>
      <c r="I670" s="1">
        <f>'1_Departamento_n'!H13</f>
        <v>1310</v>
      </c>
      <c r="J670" s="1">
        <f>'0_Parametros'!B7</f>
        <v>10</v>
      </c>
      <c r="K670" s="3">
        <f>(I670-SUM($J$618:$J$673))*G670/H670</f>
        <v>17.739248884885185</v>
      </c>
      <c r="L670" s="1">
        <f>INT(K670)</f>
        <v>17</v>
      </c>
      <c r="M670" s="3">
        <f>K670-L670</f>
        <v>0.7392488848851855</v>
      </c>
      <c r="N670" s="1">
        <f>COUNTIF($M$618:$M$673,"&gt;"&amp;M670)+COUNTIF($M$618:M670,M670)</f>
        <v>13</v>
      </c>
      <c r="O670" s="1">
        <f>J670+L670+IF(N670&lt;=I670-SUM($J$618:$J$673)-SUM($L$618:$L$673),1,0)</f>
        <v>28</v>
      </c>
    </row>
    <row r="671" spans="1:15">
      <c r="A671" s="1" t="s">
        <v>60</v>
      </c>
      <c r="B671" s="1" t="s">
        <v>63</v>
      </c>
      <c r="C671" s="1" t="s">
        <v>50</v>
      </c>
      <c r="D671" s="1" t="s">
        <v>49</v>
      </c>
      <c r="E671" s="1" t="s">
        <v>47</v>
      </c>
      <c r="F671" s="1" t="s">
        <v>42</v>
      </c>
      <c r="G671" s="1">
        <v>6938</v>
      </c>
      <c r="H671" s="1">
        <f>'1_Departamento_n'!C13</f>
        <v>411841</v>
      </c>
      <c r="I671" s="1">
        <f>'1_Departamento_n'!H13</f>
        <v>1310</v>
      </c>
      <c r="J671" s="1">
        <f>'0_Parametros'!B7</f>
        <v>10</v>
      </c>
      <c r="K671" s="3">
        <f>(I671-SUM($J$618:$J$673))*G671/H671</f>
        <v>12.634730393525658</v>
      </c>
      <c r="L671" s="1">
        <f>INT(K671)</f>
        <v>12</v>
      </c>
      <c r="M671" s="3">
        <f>K671-L671</f>
        <v>0.6347303935256576</v>
      </c>
      <c r="N671" s="1">
        <f>COUNTIF($M$618:$M$673,"&gt;"&amp;M671)+COUNTIF($M$618:M671,M671)</f>
        <v>23</v>
      </c>
      <c r="O671" s="1">
        <f>J671+L671+IF(N671&lt;=I671-SUM($J$618:$J$673)-SUM($L$618:$L$673),1,0)</f>
        <v>23</v>
      </c>
    </row>
    <row r="672" spans="1:15">
      <c r="A672" s="1" t="s">
        <v>60</v>
      </c>
      <c r="B672" s="1" t="s">
        <v>63</v>
      </c>
      <c r="C672" s="1" t="s">
        <v>50</v>
      </c>
      <c r="D672" s="1" t="s">
        <v>49</v>
      </c>
      <c r="E672" s="1" t="s">
        <v>48</v>
      </c>
      <c r="F672" s="1" t="s">
        <v>41</v>
      </c>
      <c r="G672" s="1">
        <v>13173</v>
      </c>
      <c r="H672" s="1">
        <f>'1_Departamento_n'!C13</f>
        <v>411841</v>
      </c>
      <c r="I672" s="1">
        <f>'1_Departamento_n'!H13</f>
        <v>1310</v>
      </c>
      <c r="J672" s="1">
        <f>'0_Parametros'!B7</f>
        <v>10</v>
      </c>
      <c r="K672" s="3">
        <f>(I672-SUM($J$618:$J$673))*G672/H672</f>
        <v>23.98923370912561</v>
      </c>
      <c r="L672" s="1">
        <f>INT(K672)</f>
        <v>23</v>
      </c>
      <c r="M672" s="3">
        <f>K672-L672</f>
        <v>0.9892337091256103</v>
      </c>
      <c r="N672" s="1">
        <f>COUNTIF($M$618:$M$673,"&gt;"&amp;M672)+COUNTIF($M$618:M672,M672)</f>
        <v>1</v>
      </c>
      <c r="O672" s="1">
        <f>J672+L672+IF(N672&lt;=I672-SUM($J$618:$J$673)-SUM($L$618:$L$673),1,0)</f>
        <v>34</v>
      </c>
    </row>
    <row r="673" spans="1:15">
      <c r="A673" s="1" t="s">
        <v>60</v>
      </c>
      <c r="B673" s="1" t="s">
        <v>63</v>
      </c>
      <c r="C673" s="1" t="s">
        <v>50</v>
      </c>
      <c r="D673" s="1" t="s">
        <v>49</v>
      </c>
      <c r="E673" s="1" t="s">
        <v>48</v>
      </c>
      <c r="F673" s="1" t="s">
        <v>42</v>
      </c>
      <c r="G673" s="1">
        <v>9050</v>
      </c>
      <c r="H673" s="1">
        <f>'1_Departamento_n'!C13</f>
        <v>411841</v>
      </c>
      <c r="I673" s="1">
        <f>'1_Departamento_n'!H13</f>
        <v>1310</v>
      </c>
      <c r="J673" s="1">
        <f>'0_Parametros'!B7</f>
        <v>10</v>
      </c>
      <c r="K673" s="3">
        <f>(I673-SUM($J$618:$J$673))*G673/H673</f>
        <v>16.480874900750532</v>
      </c>
      <c r="L673" s="1">
        <f>INT(K673)</f>
        <v>16</v>
      </c>
      <c r="M673" s="3">
        <f>K673-L673</f>
        <v>0.48087490075053196</v>
      </c>
      <c r="N673" s="1">
        <f>COUNTIF($M$618:$M$673,"&gt;"&amp;M673)+COUNTIF($M$618:M673,M673)</f>
        <v>37</v>
      </c>
      <c r="O673" s="1">
        <f>J673+L673+IF(N673&lt;=I673-SUM($J$618:$J$673)-SUM($L$618:$L$673),1,0)</f>
        <v>26</v>
      </c>
    </row>
    <row r="674" spans="1:15">
      <c r="A674" s="1" t="s">
        <v>60</v>
      </c>
      <c r="B674" s="1" t="s">
        <v>64</v>
      </c>
      <c r="C674" s="1" t="s">
        <v>38</v>
      </c>
      <c r="D674" s="1" t="s">
        <v>39</v>
      </c>
      <c r="E674" s="1" t="s">
        <v>40</v>
      </c>
      <c r="F674" s="1" t="s">
        <v>41</v>
      </c>
      <c r="G674" s="1">
        <v>13834</v>
      </c>
      <c r="H674" s="1">
        <f>'1_Departamento_n'!C14</f>
        <v>1184153</v>
      </c>
      <c r="I674" s="1">
        <f>'1_Departamento_n'!H14</f>
        <v>1312</v>
      </c>
      <c r="J674" s="1">
        <f>'0_Parametros'!B7</f>
        <v>10</v>
      </c>
      <c r="K674" s="3">
        <f>(I674-SUM($J$674:$J$729))*G674/H674</f>
        <v>8.785324193748611</v>
      </c>
      <c r="L674" s="1">
        <f>INT(K674)</f>
        <v>8</v>
      </c>
      <c r="M674" s="3">
        <f>K674-L674</f>
        <v>0.7853241937486111</v>
      </c>
      <c r="N674" s="1">
        <f>COUNTIF($M$674:$M$729,"&gt;"&amp;M674)+COUNTIF($M$674:M674,M674)</f>
        <v>12</v>
      </c>
      <c r="O674" s="1">
        <f>J674+L674+IF(N674&lt;=I674-SUM($J$674:$J$729)-SUM($L$674:$L$729),1,0)</f>
        <v>19</v>
      </c>
    </row>
    <row r="675" spans="1:15">
      <c r="A675" s="1" t="s">
        <v>60</v>
      </c>
      <c r="B675" s="1" t="s">
        <v>64</v>
      </c>
      <c r="C675" s="1" t="s">
        <v>38</v>
      </c>
      <c r="D675" s="1" t="s">
        <v>39</v>
      </c>
      <c r="E675" s="1" t="s">
        <v>40</v>
      </c>
      <c r="F675" s="1" t="s">
        <v>42</v>
      </c>
      <c r="G675" s="1">
        <v>2558</v>
      </c>
      <c r="H675" s="1">
        <f>'1_Departamento_n'!C14</f>
        <v>1184153</v>
      </c>
      <c r="I675" s="1">
        <f>'1_Departamento_n'!H14</f>
        <v>1312</v>
      </c>
      <c r="J675" s="1">
        <f>'0_Parametros'!B7</f>
        <v>10</v>
      </c>
      <c r="K675" s="3">
        <f>(I675-SUM($J$674:$J$729))*G675/H675</f>
        <v>1.6244657573810142</v>
      </c>
      <c r="L675" s="1">
        <f>INT(K675)</f>
        <v>1</v>
      </c>
      <c r="M675" s="3">
        <f>K675-L675</f>
        <v>0.6244657573810142</v>
      </c>
      <c r="N675" s="1">
        <f>COUNTIF($M$674:$M$729,"&gt;"&amp;M675)+COUNTIF($M$674:M675,M675)</f>
        <v>22</v>
      </c>
      <c r="O675" s="1">
        <f>J675+L675+IF(N675&lt;=I675-SUM($J$674:$J$729)-SUM($L$674:$L$729),1,0)</f>
        <v>12</v>
      </c>
    </row>
    <row r="676" spans="1:15">
      <c r="A676" s="1" t="s">
        <v>60</v>
      </c>
      <c r="B676" s="1" t="s">
        <v>64</v>
      </c>
      <c r="C676" s="1" t="s">
        <v>38</v>
      </c>
      <c r="D676" s="1" t="s">
        <v>39</v>
      </c>
      <c r="E676" s="1" t="s">
        <v>43</v>
      </c>
      <c r="F676" s="1" t="s">
        <v>41</v>
      </c>
      <c r="G676" s="1">
        <v>19496</v>
      </c>
      <c r="H676" s="1">
        <f>'1_Departamento_n'!C14</f>
        <v>1184153</v>
      </c>
      <c r="I676" s="1">
        <f>'1_Departamento_n'!H14</f>
        <v>1312</v>
      </c>
      <c r="J676" s="1">
        <f>'0_Parametros'!B7</f>
        <v>10</v>
      </c>
      <c r="K676" s="3">
        <f>(I676-SUM($J$674:$J$729))*G676/H676</f>
        <v>12.380994685652952</v>
      </c>
      <c r="L676" s="1">
        <f>INT(K676)</f>
        <v>12</v>
      </c>
      <c r="M676" s="3">
        <f>K676-L676</f>
        <v>0.38099468565295247</v>
      </c>
      <c r="N676" s="1">
        <f>COUNTIF($M$674:$M$729,"&gt;"&amp;M676)+COUNTIF($M$674:M676,M676)</f>
        <v>36</v>
      </c>
      <c r="O676" s="1">
        <f>J676+L676+IF(N676&lt;=I676-SUM($J$674:$J$729)-SUM($L$674:$L$729),1,0)</f>
        <v>22</v>
      </c>
    </row>
    <row r="677" spans="1:15">
      <c r="A677" s="1" t="s">
        <v>60</v>
      </c>
      <c r="B677" s="1" t="s">
        <v>64</v>
      </c>
      <c r="C677" s="1" t="s">
        <v>38</v>
      </c>
      <c r="D677" s="1" t="s">
        <v>39</v>
      </c>
      <c r="E677" s="1" t="s">
        <v>43</v>
      </c>
      <c r="F677" s="1" t="s">
        <v>42</v>
      </c>
      <c r="G677" s="1">
        <v>1882</v>
      </c>
      <c r="H677" s="1">
        <f>'1_Departamento_n'!C14</f>
        <v>1184153</v>
      </c>
      <c r="I677" s="1">
        <f>'1_Departamento_n'!H14</f>
        <v>1312</v>
      </c>
      <c r="J677" s="1">
        <f>'0_Parametros'!B7</f>
        <v>10</v>
      </c>
      <c r="K677" s="3">
        <f>(I677-SUM($J$674:$J$729))*G677/H677</f>
        <v>1.1951698809191043</v>
      </c>
      <c r="L677" s="1">
        <f>INT(K677)</f>
        <v>1</v>
      </c>
      <c r="M677" s="3">
        <f>K677-L677</f>
        <v>0.19516988091910425</v>
      </c>
      <c r="N677" s="1">
        <f>COUNTIF($M$674:$M$729,"&gt;"&amp;M677)+COUNTIF($M$674:M677,M677)</f>
        <v>48</v>
      </c>
      <c r="O677" s="1">
        <f>J677+L677+IF(N677&lt;=I677-SUM($J$674:$J$729)-SUM($L$674:$L$729),1,0)</f>
        <v>11</v>
      </c>
    </row>
    <row r="678" spans="1:15">
      <c r="A678" s="1" t="s">
        <v>60</v>
      </c>
      <c r="B678" s="1" t="s">
        <v>64</v>
      </c>
      <c r="C678" s="1" t="s">
        <v>38</v>
      </c>
      <c r="D678" s="1" t="s">
        <v>39</v>
      </c>
      <c r="E678" s="1" t="s">
        <v>44</v>
      </c>
      <c r="F678" s="1" t="s">
        <v>41</v>
      </c>
      <c r="G678" s="1">
        <v>23049</v>
      </c>
      <c r="H678" s="1">
        <f>'1_Departamento_n'!C14</f>
        <v>1184153</v>
      </c>
      <c r="I678" s="1">
        <f>'1_Departamento_n'!H14</f>
        <v>1312</v>
      </c>
      <c r="J678" s="1">
        <f>'0_Parametros'!B7</f>
        <v>10</v>
      </c>
      <c r="K678" s="3">
        <f>(I678-SUM($J$674:$J$729))*G678/H678</f>
        <v>14.637338249364737</v>
      </c>
      <c r="L678" s="1">
        <f>INT(K678)</f>
        <v>14</v>
      </c>
      <c r="M678" s="3">
        <f>K678-L678</f>
        <v>0.6373382493647366</v>
      </c>
      <c r="N678" s="1">
        <f>COUNTIF($M$674:$M$729,"&gt;"&amp;M678)+COUNTIF($M$674:M678,M678)</f>
        <v>20</v>
      </c>
      <c r="O678" s="1">
        <f>J678+L678+IF(N678&lt;=I678-SUM($J$674:$J$729)-SUM($L$674:$L$729),1,0)</f>
        <v>25</v>
      </c>
    </row>
    <row r="679" spans="1:15">
      <c r="A679" s="1" t="s">
        <v>60</v>
      </c>
      <c r="B679" s="1" t="s">
        <v>64</v>
      </c>
      <c r="C679" s="1" t="s">
        <v>38</v>
      </c>
      <c r="D679" s="1" t="s">
        <v>39</v>
      </c>
      <c r="E679" s="1" t="s">
        <v>44</v>
      </c>
      <c r="F679" s="1" t="s">
        <v>42</v>
      </c>
      <c r="G679" s="1">
        <v>3789</v>
      </c>
      <c r="H679" s="1">
        <f>'1_Departamento_n'!C14</f>
        <v>1184153</v>
      </c>
      <c r="I679" s="1">
        <f>'1_Departamento_n'!H14</f>
        <v>1312</v>
      </c>
      <c r="J679" s="1">
        <f>'0_Parametros'!B7</f>
        <v>10</v>
      </c>
      <c r="K679" s="3">
        <f>(I679-SUM($J$674:$J$729))*G679/H679</f>
        <v>2.4062160886304387</v>
      </c>
      <c r="L679" s="1">
        <f>INT(K679)</f>
        <v>2</v>
      </c>
      <c r="M679" s="3">
        <f>K679-L679</f>
        <v>0.4062160886304387</v>
      </c>
      <c r="N679" s="1">
        <f>COUNTIF($M$674:$M$729,"&gt;"&amp;M679)+COUNTIF($M$674:M679,M679)</f>
        <v>35</v>
      </c>
      <c r="O679" s="1">
        <f>J679+L679+IF(N679&lt;=I679-SUM($J$674:$J$729)-SUM($L$674:$L$729),1,0)</f>
        <v>12</v>
      </c>
    </row>
    <row r="680" spans="1:15">
      <c r="A680" s="1" t="s">
        <v>60</v>
      </c>
      <c r="B680" s="1" t="s">
        <v>64</v>
      </c>
      <c r="C680" s="1" t="s">
        <v>38</v>
      </c>
      <c r="D680" s="1" t="s">
        <v>39</v>
      </c>
      <c r="E680" s="1" t="s">
        <v>45</v>
      </c>
      <c r="F680" s="1" t="s">
        <v>41</v>
      </c>
      <c r="G680" s="1">
        <v>27096</v>
      </c>
      <c r="H680" s="1">
        <f>'1_Departamento_n'!C14</f>
        <v>1184153</v>
      </c>
      <c r="I680" s="1">
        <f>'1_Departamento_n'!H14</f>
        <v>1312</v>
      </c>
      <c r="J680" s="1">
        <f>'0_Parametros'!B7</f>
        <v>10</v>
      </c>
      <c r="K680" s="3">
        <f>(I680-SUM($J$674:$J$729))*G680/H680</f>
        <v>17.207398030490992</v>
      </c>
      <c r="L680" s="1">
        <f>INT(K680)</f>
        <v>17</v>
      </c>
      <c r="M680" s="3">
        <f>K680-L680</f>
        <v>0.20739803049099237</v>
      </c>
      <c r="N680" s="1">
        <f>COUNTIF($M$674:$M$729,"&gt;"&amp;M680)+COUNTIF($M$674:M680,M680)</f>
        <v>46</v>
      </c>
      <c r="O680" s="1">
        <f>J680+L680+IF(N680&lt;=I680-SUM($J$674:$J$729)-SUM($L$674:$L$729),1,0)</f>
        <v>27</v>
      </c>
    </row>
    <row r="681" spans="1:15">
      <c r="A681" s="1" t="s">
        <v>60</v>
      </c>
      <c r="B681" s="1" t="s">
        <v>64</v>
      </c>
      <c r="C681" s="1" t="s">
        <v>38</v>
      </c>
      <c r="D681" s="1" t="s">
        <v>39</v>
      </c>
      <c r="E681" s="1" t="s">
        <v>45</v>
      </c>
      <c r="F681" s="1" t="s">
        <v>42</v>
      </c>
      <c r="G681" s="1">
        <v>2675</v>
      </c>
      <c r="H681" s="1">
        <f>'1_Departamento_n'!C14</f>
        <v>1184153</v>
      </c>
      <c r="I681" s="1">
        <f>'1_Departamento_n'!H14</f>
        <v>1312</v>
      </c>
      <c r="J681" s="1">
        <f>'0_Parametros'!B7</f>
        <v>10</v>
      </c>
      <c r="K681" s="3">
        <f>(I681-SUM($J$674:$J$729))*G681/H681</f>
        <v>1.6987669667686525</v>
      </c>
      <c r="L681" s="1">
        <f>INT(K681)</f>
        <v>1</v>
      </c>
      <c r="M681" s="3">
        <f>K681-L681</f>
        <v>0.6987669667686525</v>
      </c>
      <c r="N681" s="1">
        <f>COUNTIF($M$674:$M$729,"&gt;"&amp;M681)+COUNTIF($M$674:M681,M681)</f>
        <v>18</v>
      </c>
      <c r="O681" s="1">
        <f>J681+L681+IF(N681&lt;=I681-SUM($J$674:$J$729)-SUM($L$674:$L$729),1,0)</f>
        <v>12</v>
      </c>
    </row>
    <row r="682" spans="1:15">
      <c r="A682" s="1" t="s">
        <v>60</v>
      </c>
      <c r="B682" s="1" t="s">
        <v>64</v>
      </c>
      <c r="C682" s="1" t="s">
        <v>38</v>
      </c>
      <c r="D682" s="1" t="s">
        <v>39</v>
      </c>
      <c r="E682" s="1" t="s">
        <v>46</v>
      </c>
      <c r="F682" s="1" t="s">
        <v>41</v>
      </c>
      <c r="G682" s="1">
        <v>22577</v>
      </c>
      <c r="H682" s="1">
        <f>'1_Departamento_n'!C14</f>
        <v>1184153</v>
      </c>
      <c r="I682" s="1">
        <f>'1_Departamento_n'!H14</f>
        <v>1312</v>
      </c>
      <c r="J682" s="1">
        <f>'0_Parametros'!B7</f>
        <v>10</v>
      </c>
      <c r="K682" s="3">
        <f>(I682-SUM($J$674:$J$729))*G682/H682</f>
        <v>14.337593199527426</v>
      </c>
      <c r="L682" s="1">
        <f>INT(K682)</f>
        <v>14</v>
      </c>
      <c r="M682" s="3">
        <f>K682-L682</f>
        <v>0.3375931995274257</v>
      </c>
      <c r="N682" s="1">
        <f>COUNTIF($M$674:$M$729,"&gt;"&amp;M682)+COUNTIF($M$674:M682,M682)</f>
        <v>39</v>
      </c>
      <c r="O682" s="1">
        <f>J682+L682+IF(N682&lt;=I682-SUM($J$674:$J$729)-SUM($L$674:$L$729),1,0)</f>
        <v>24</v>
      </c>
    </row>
    <row r="683" spans="1:15">
      <c r="A683" s="1" t="s">
        <v>60</v>
      </c>
      <c r="B683" s="1" t="s">
        <v>64</v>
      </c>
      <c r="C683" s="1" t="s">
        <v>38</v>
      </c>
      <c r="D683" s="1" t="s">
        <v>39</v>
      </c>
      <c r="E683" s="1" t="s">
        <v>46</v>
      </c>
      <c r="F683" s="1" t="s">
        <v>42</v>
      </c>
      <c r="G683" s="1">
        <v>1695</v>
      </c>
      <c r="H683" s="1">
        <f>'1_Departamento_n'!C14</f>
        <v>1184153</v>
      </c>
      <c r="I683" s="1">
        <f>'1_Departamento_n'!H14</f>
        <v>1312</v>
      </c>
      <c r="J683" s="1">
        <f>'0_Parametros'!B7</f>
        <v>10</v>
      </c>
      <c r="K683" s="3">
        <f>(I683-SUM($J$674:$J$729))*G683/H683</f>
        <v>1.0764149565132208</v>
      </c>
      <c r="L683" s="1">
        <f>INT(K683)</f>
        <v>1</v>
      </c>
      <c r="M683" s="3">
        <f>K683-L683</f>
        <v>0.07641495651322083</v>
      </c>
      <c r="N683" s="1">
        <f>COUNTIF($M$674:$M$729,"&gt;"&amp;M683)+COUNTIF($M$674:M683,M683)</f>
        <v>54</v>
      </c>
      <c r="O683" s="1">
        <f>J683+L683+IF(N683&lt;=I683-SUM($J$674:$J$729)-SUM($L$674:$L$729),1,0)</f>
        <v>11</v>
      </c>
    </row>
    <row r="684" spans="1:15">
      <c r="A684" s="1" t="s">
        <v>60</v>
      </c>
      <c r="B684" s="1" t="s">
        <v>64</v>
      </c>
      <c r="C684" s="1" t="s">
        <v>38</v>
      </c>
      <c r="D684" s="1" t="s">
        <v>39</v>
      </c>
      <c r="E684" s="1" t="s">
        <v>47</v>
      </c>
      <c r="F684" s="1" t="s">
        <v>41</v>
      </c>
      <c r="G684" s="1">
        <v>17056</v>
      </c>
      <c r="H684" s="1">
        <f>'1_Departamento_n'!C14</f>
        <v>1184153</v>
      </c>
      <c r="I684" s="1">
        <f>'1_Departamento_n'!H14</f>
        <v>1312</v>
      </c>
      <c r="J684" s="1">
        <f>'0_Parametros'!B7</f>
        <v>10</v>
      </c>
      <c r="K684" s="3">
        <f>(I684-SUM($J$674:$J$729))*G684/H684</f>
        <v>10.831465190731265</v>
      </c>
      <c r="L684" s="1">
        <f>INT(K684)</f>
        <v>10</v>
      </c>
      <c r="M684" s="3">
        <f>K684-L684</f>
        <v>0.8314651907312651</v>
      </c>
      <c r="N684" s="1">
        <f>COUNTIF($M$674:$M$729,"&gt;"&amp;M684)+COUNTIF($M$674:M684,M684)</f>
        <v>10</v>
      </c>
      <c r="O684" s="1">
        <f>J684+L684+IF(N684&lt;=I684-SUM($J$674:$J$729)-SUM($L$674:$L$729),1,0)</f>
        <v>21</v>
      </c>
    </row>
    <row r="685" spans="1:15">
      <c r="A685" s="1" t="s">
        <v>60</v>
      </c>
      <c r="B685" s="1" t="s">
        <v>64</v>
      </c>
      <c r="C685" s="1" t="s">
        <v>38</v>
      </c>
      <c r="D685" s="1" t="s">
        <v>39</v>
      </c>
      <c r="E685" s="1" t="s">
        <v>47</v>
      </c>
      <c r="F685" s="1" t="s">
        <v>42</v>
      </c>
      <c r="G685" s="1">
        <v>925</v>
      </c>
      <c r="H685" s="1">
        <f>'1_Departamento_n'!C14</f>
        <v>1184153</v>
      </c>
      <c r="I685" s="1">
        <f>'1_Departamento_n'!H14</f>
        <v>1312</v>
      </c>
      <c r="J685" s="1">
        <f>'0_Parametros'!B7</f>
        <v>10</v>
      </c>
      <c r="K685" s="3">
        <f>(I685-SUM($J$674:$J$729))*G685/H685</f>
        <v>0.5874240913125246</v>
      </c>
      <c r="L685" s="1">
        <f>INT(K685)</f>
        <v>0</v>
      </c>
      <c r="M685" s="3">
        <f>K685-L685</f>
        <v>0.5874240913125246</v>
      </c>
      <c r="N685" s="1">
        <f>COUNTIF($M$674:$M$729,"&gt;"&amp;M685)+COUNTIF($M$674:M685,M685)</f>
        <v>27</v>
      </c>
      <c r="O685" s="1">
        <f>J685+L685+IF(N685&lt;=I685-SUM($J$674:$J$729)-SUM($L$674:$L$729),1,0)</f>
        <v>11</v>
      </c>
    </row>
    <row r="686" spans="1:15">
      <c r="A686" s="1" t="s">
        <v>60</v>
      </c>
      <c r="B686" s="1" t="s">
        <v>64</v>
      </c>
      <c r="C686" s="1" t="s">
        <v>38</v>
      </c>
      <c r="D686" s="1" t="s">
        <v>39</v>
      </c>
      <c r="E686" s="1" t="s">
        <v>48</v>
      </c>
      <c r="F686" s="1" t="s">
        <v>41</v>
      </c>
      <c r="G686" s="1">
        <v>28194</v>
      </c>
      <c r="H686" s="1">
        <f>'1_Departamento_n'!C14</f>
        <v>1184153</v>
      </c>
      <c r="I686" s="1">
        <f>'1_Departamento_n'!H14</f>
        <v>1312</v>
      </c>
      <c r="J686" s="1">
        <f>'0_Parametros'!B7</f>
        <v>10</v>
      </c>
      <c r="K686" s="3">
        <f>(I686-SUM($J$674:$J$729))*G686/H686</f>
        <v>17.90468630320575</v>
      </c>
      <c r="L686" s="1">
        <f>INT(K686)</f>
        <v>17</v>
      </c>
      <c r="M686" s="3">
        <f>K686-L686</f>
        <v>0.9046863032057502</v>
      </c>
      <c r="N686" s="1">
        <f>COUNTIF($M$674:$M$729,"&gt;"&amp;M686)+COUNTIF($M$674:M686,M686)</f>
        <v>3</v>
      </c>
      <c r="O686" s="1">
        <f>J686+L686+IF(N686&lt;=I686-SUM($J$674:$J$729)-SUM($L$674:$L$729),1,0)</f>
        <v>28</v>
      </c>
    </row>
    <row r="687" spans="1:15">
      <c r="A687" s="1" t="s">
        <v>60</v>
      </c>
      <c r="B687" s="1" t="s">
        <v>64</v>
      </c>
      <c r="C687" s="1" t="s">
        <v>38</v>
      </c>
      <c r="D687" s="1" t="s">
        <v>39</v>
      </c>
      <c r="E687" s="1" t="s">
        <v>48</v>
      </c>
      <c r="F687" s="1" t="s">
        <v>42</v>
      </c>
      <c r="G687" s="1">
        <v>941</v>
      </c>
      <c r="H687" s="1">
        <f>'1_Departamento_n'!C14</f>
        <v>1184153</v>
      </c>
      <c r="I687" s="1">
        <f>'1_Departamento_n'!H14</f>
        <v>1312</v>
      </c>
      <c r="J687" s="1">
        <f>'0_Parametros'!B7</f>
        <v>10</v>
      </c>
      <c r="K687" s="3">
        <f>(I687-SUM($J$674:$J$729))*G687/H687</f>
        <v>0.5975849404595521</v>
      </c>
      <c r="L687" s="1">
        <f>INT(K687)</f>
        <v>0</v>
      </c>
      <c r="M687" s="3">
        <f>K687-L687</f>
        <v>0.5975849404595521</v>
      </c>
      <c r="N687" s="1">
        <f>COUNTIF($M$674:$M$729,"&gt;"&amp;M687)+COUNTIF($M$674:M687,M687)</f>
        <v>24</v>
      </c>
      <c r="O687" s="1">
        <f>J687+L687+IF(N687&lt;=I687-SUM($J$674:$J$729)-SUM($L$674:$L$729),1,0)</f>
        <v>11</v>
      </c>
    </row>
    <row r="688" spans="1:15">
      <c r="A688" s="1" t="s">
        <v>60</v>
      </c>
      <c r="B688" s="1" t="s">
        <v>64</v>
      </c>
      <c r="C688" s="1" t="s">
        <v>38</v>
      </c>
      <c r="D688" s="1" t="s">
        <v>49</v>
      </c>
      <c r="E688" s="1" t="s">
        <v>40</v>
      </c>
      <c r="F688" s="1" t="s">
        <v>41</v>
      </c>
      <c r="G688" s="1">
        <v>14280</v>
      </c>
      <c r="H688" s="1">
        <f>'1_Departamento_n'!C14</f>
        <v>1184153</v>
      </c>
      <c r="I688" s="1">
        <f>'1_Departamento_n'!H14</f>
        <v>1312</v>
      </c>
      <c r="J688" s="1">
        <f>'0_Parametros'!B7</f>
        <v>10</v>
      </c>
      <c r="K688" s="3">
        <f>(I688-SUM($J$674:$J$729))*G688/H688</f>
        <v>9.068557863722003</v>
      </c>
      <c r="L688" s="1">
        <f>INT(K688)</f>
        <v>9</v>
      </c>
      <c r="M688" s="3">
        <f>K688-L688</f>
        <v>0.06855786372200257</v>
      </c>
      <c r="N688" s="1">
        <f>COUNTIF($M$674:$M$729,"&gt;"&amp;M688)+COUNTIF($M$674:M688,M688)</f>
        <v>55</v>
      </c>
      <c r="O688" s="1">
        <f>J688+L688+IF(N688&lt;=I688-SUM($J$674:$J$729)-SUM($L$674:$L$729),1,0)</f>
        <v>19</v>
      </c>
    </row>
    <row r="689" spans="1:15">
      <c r="A689" s="1" t="s">
        <v>60</v>
      </c>
      <c r="B689" s="1" t="s">
        <v>64</v>
      </c>
      <c r="C689" s="1" t="s">
        <v>38</v>
      </c>
      <c r="D689" s="1" t="s">
        <v>49</v>
      </c>
      <c r="E689" s="1" t="s">
        <v>40</v>
      </c>
      <c r="F689" s="1" t="s">
        <v>42</v>
      </c>
      <c r="G689" s="1">
        <v>2641</v>
      </c>
      <c r="H689" s="1">
        <f>'1_Departamento_n'!C14</f>
        <v>1184153</v>
      </c>
      <c r="I689" s="1">
        <f>'1_Departamento_n'!H14</f>
        <v>1312</v>
      </c>
      <c r="J689" s="1">
        <f>'0_Parametros'!B7</f>
        <v>10</v>
      </c>
      <c r="K689" s="3">
        <f>(I689-SUM($J$674:$J$729))*G689/H689</f>
        <v>1.677175162331219</v>
      </c>
      <c r="L689" s="1">
        <f>INT(K689)</f>
        <v>1</v>
      </c>
      <c r="M689" s="3">
        <f>K689-L689</f>
        <v>0.677175162331219</v>
      </c>
      <c r="N689" s="1">
        <f>COUNTIF($M$674:$M$729,"&gt;"&amp;M689)+COUNTIF($M$674:M689,M689)</f>
        <v>19</v>
      </c>
      <c r="O689" s="1">
        <f>J689+L689+IF(N689&lt;=I689-SUM($J$674:$J$729)-SUM($L$674:$L$729),1,0)</f>
        <v>12</v>
      </c>
    </row>
    <row r="690" spans="1:15">
      <c r="A690" s="1" t="s">
        <v>60</v>
      </c>
      <c r="B690" s="1" t="s">
        <v>64</v>
      </c>
      <c r="C690" s="1" t="s">
        <v>38</v>
      </c>
      <c r="D690" s="1" t="s">
        <v>49</v>
      </c>
      <c r="E690" s="1" t="s">
        <v>43</v>
      </c>
      <c r="F690" s="1" t="s">
        <v>41</v>
      </c>
      <c r="G690" s="1">
        <v>20433</v>
      </c>
      <c r="H690" s="1">
        <f>'1_Departamento_n'!C14</f>
        <v>1184153</v>
      </c>
      <c r="I690" s="1">
        <f>'1_Departamento_n'!H14</f>
        <v>1312</v>
      </c>
      <c r="J690" s="1">
        <f>'0_Parametros'!B7</f>
        <v>10</v>
      </c>
      <c r="K690" s="3">
        <f>(I690-SUM($J$674:$J$729))*G690/H690</f>
        <v>12.976039413825747</v>
      </c>
      <c r="L690" s="1">
        <f>INT(K690)</f>
        <v>12</v>
      </c>
      <c r="M690" s="3">
        <f>K690-L690</f>
        <v>0.9760394138257471</v>
      </c>
      <c r="N690" s="1">
        <f>COUNTIF($M$674:$M$729,"&gt;"&amp;M690)+COUNTIF($M$674:M690,M690)</f>
        <v>2</v>
      </c>
      <c r="O690" s="1">
        <f>J690+L690+IF(N690&lt;=I690-SUM($J$674:$J$729)-SUM($L$674:$L$729),1,0)</f>
        <v>23</v>
      </c>
    </row>
    <row r="691" spans="1:15">
      <c r="A691" s="1" t="s">
        <v>60</v>
      </c>
      <c r="B691" s="1" t="s">
        <v>64</v>
      </c>
      <c r="C691" s="1" t="s">
        <v>38</v>
      </c>
      <c r="D691" s="1" t="s">
        <v>49</v>
      </c>
      <c r="E691" s="1" t="s">
        <v>43</v>
      </c>
      <c r="F691" s="1" t="s">
        <v>42</v>
      </c>
      <c r="G691" s="1">
        <v>2049</v>
      </c>
      <c r="H691" s="1">
        <f>'1_Departamento_n'!C14</f>
        <v>1184153</v>
      </c>
      <c r="I691" s="1">
        <f>'1_Departamento_n'!H14</f>
        <v>1312</v>
      </c>
      <c r="J691" s="1">
        <f>'0_Parametros'!B7</f>
        <v>10</v>
      </c>
      <c r="K691" s="3">
        <f>(I691-SUM($J$674:$J$729))*G691/H691</f>
        <v>1.3012237438912033</v>
      </c>
      <c r="L691" s="1">
        <f>INT(K691)</f>
        <v>1</v>
      </c>
      <c r="M691" s="3">
        <f>K691-L691</f>
        <v>0.3012237438912033</v>
      </c>
      <c r="N691" s="1">
        <f>COUNTIF($M$674:$M$729,"&gt;"&amp;M691)+COUNTIF($M$674:M691,M691)</f>
        <v>42</v>
      </c>
      <c r="O691" s="1">
        <f>J691+L691+IF(N691&lt;=I691-SUM($J$674:$J$729)-SUM($L$674:$L$729),1,0)</f>
        <v>11</v>
      </c>
    </row>
    <row r="692" spans="1:15">
      <c r="A692" s="1" t="s">
        <v>60</v>
      </c>
      <c r="B692" s="1" t="s">
        <v>64</v>
      </c>
      <c r="C692" s="1" t="s">
        <v>38</v>
      </c>
      <c r="D692" s="1" t="s">
        <v>49</v>
      </c>
      <c r="E692" s="1" t="s">
        <v>44</v>
      </c>
      <c r="F692" s="1" t="s">
        <v>41</v>
      </c>
      <c r="G692" s="1">
        <v>23032</v>
      </c>
      <c r="H692" s="1">
        <f>'1_Departamento_n'!C14</f>
        <v>1184153</v>
      </c>
      <c r="I692" s="1">
        <f>'1_Departamento_n'!H14</f>
        <v>1312</v>
      </c>
      <c r="J692" s="1">
        <f>'0_Parametros'!B7</f>
        <v>10</v>
      </c>
      <c r="K692" s="3">
        <f>(I692-SUM($J$674:$J$729))*G692/H692</f>
        <v>14.62654234714602</v>
      </c>
      <c r="L692" s="1">
        <f>INT(K692)</f>
        <v>14</v>
      </c>
      <c r="M692" s="3">
        <f>K692-L692</f>
        <v>0.6265423471460192</v>
      </c>
      <c r="N692" s="1">
        <f>COUNTIF($M$674:$M$729,"&gt;"&amp;M692)+COUNTIF($M$674:M692,M692)</f>
        <v>21</v>
      </c>
      <c r="O692" s="1">
        <f>J692+L692+IF(N692&lt;=I692-SUM($J$674:$J$729)-SUM($L$674:$L$729),1,0)</f>
        <v>25</v>
      </c>
    </row>
    <row r="693" spans="1:15">
      <c r="A693" s="1" t="s">
        <v>60</v>
      </c>
      <c r="B693" s="1" t="s">
        <v>64</v>
      </c>
      <c r="C693" s="1" t="s">
        <v>38</v>
      </c>
      <c r="D693" s="1" t="s">
        <v>49</v>
      </c>
      <c r="E693" s="1" t="s">
        <v>44</v>
      </c>
      <c r="F693" s="1" t="s">
        <v>42</v>
      </c>
      <c r="G693" s="1">
        <v>4260</v>
      </c>
      <c r="H693" s="1">
        <f>'1_Departamento_n'!C14</f>
        <v>1184153</v>
      </c>
      <c r="I693" s="1">
        <f>'1_Departamento_n'!H14</f>
        <v>1312</v>
      </c>
      <c r="J693" s="1">
        <f>'0_Parametros'!B7</f>
        <v>10</v>
      </c>
      <c r="K693" s="3">
        <f>(I693-SUM($J$674:$J$729))*G693/H693</f>
        <v>2.7053260853960595</v>
      </c>
      <c r="L693" s="1">
        <f>INT(K693)</f>
        <v>2</v>
      </c>
      <c r="M693" s="3">
        <f>K693-L693</f>
        <v>0.7053260853960595</v>
      </c>
      <c r="N693" s="1">
        <f>COUNTIF($M$674:$M$729,"&gt;"&amp;M693)+COUNTIF($M$674:M693,M693)</f>
        <v>17</v>
      </c>
      <c r="O693" s="1">
        <f>J693+L693+IF(N693&lt;=I693-SUM($J$674:$J$729)-SUM($L$674:$L$729),1,0)</f>
        <v>13</v>
      </c>
    </row>
    <row r="694" spans="1:15">
      <c r="A694" s="1" t="s">
        <v>60</v>
      </c>
      <c r="B694" s="1" t="s">
        <v>64</v>
      </c>
      <c r="C694" s="1" t="s">
        <v>38</v>
      </c>
      <c r="D694" s="1" t="s">
        <v>49</v>
      </c>
      <c r="E694" s="1" t="s">
        <v>45</v>
      </c>
      <c r="F694" s="1" t="s">
        <v>41</v>
      </c>
      <c r="G694" s="1">
        <v>26533</v>
      </c>
      <c r="H694" s="1">
        <f>'1_Departamento_n'!C14</f>
        <v>1184153</v>
      </c>
      <c r="I694" s="1">
        <f>'1_Departamento_n'!H14</f>
        <v>1312</v>
      </c>
      <c r="J694" s="1">
        <f>'0_Parametros'!B7</f>
        <v>10</v>
      </c>
      <c r="K694" s="3">
        <f>(I694-SUM($J$674:$J$729))*G694/H694</f>
        <v>16.849863151129963</v>
      </c>
      <c r="L694" s="1">
        <f>INT(K694)</f>
        <v>16</v>
      </c>
      <c r="M694" s="3">
        <f>K694-L694</f>
        <v>0.8498631511299628</v>
      </c>
      <c r="N694" s="1">
        <f>COUNTIF($M$674:$M$729,"&gt;"&amp;M694)+COUNTIF($M$674:M694,M694)</f>
        <v>8</v>
      </c>
      <c r="O694" s="1">
        <f>J694+L694+IF(N694&lt;=I694-SUM($J$674:$J$729)-SUM($L$674:$L$729),1,0)</f>
        <v>27</v>
      </c>
    </row>
    <row r="695" spans="1:15">
      <c r="A695" s="1" t="s">
        <v>60</v>
      </c>
      <c r="B695" s="1" t="s">
        <v>64</v>
      </c>
      <c r="C695" s="1" t="s">
        <v>38</v>
      </c>
      <c r="D695" s="1" t="s">
        <v>49</v>
      </c>
      <c r="E695" s="1" t="s">
        <v>45</v>
      </c>
      <c r="F695" s="1" t="s">
        <v>42</v>
      </c>
      <c r="G695" s="1">
        <v>3379</v>
      </c>
      <c r="H695" s="1">
        <f>'1_Departamento_n'!C14</f>
        <v>1184153</v>
      </c>
      <c r="I695" s="1">
        <f>'1_Departamento_n'!H14</f>
        <v>1312</v>
      </c>
      <c r="J695" s="1">
        <f>'0_Parametros'!B7</f>
        <v>10</v>
      </c>
      <c r="K695" s="3">
        <f>(I695-SUM($J$674:$J$729))*G695/H695</f>
        <v>2.1458443292378604</v>
      </c>
      <c r="L695" s="1">
        <f>INT(K695)</f>
        <v>2</v>
      </c>
      <c r="M695" s="3">
        <f>K695-L695</f>
        <v>0.1458443292378604</v>
      </c>
      <c r="N695" s="1">
        <f>COUNTIF($M$674:$M$729,"&gt;"&amp;M695)+COUNTIF($M$674:M695,M695)</f>
        <v>49</v>
      </c>
      <c r="O695" s="1">
        <f>J695+L695+IF(N695&lt;=I695-SUM($J$674:$J$729)-SUM($L$674:$L$729),1,0)</f>
        <v>12</v>
      </c>
    </row>
    <row r="696" spans="1:15">
      <c r="A696" s="1" t="s">
        <v>60</v>
      </c>
      <c r="B696" s="1" t="s">
        <v>64</v>
      </c>
      <c r="C696" s="1" t="s">
        <v>38</v>
      </c>
      <c r="D696" s="1" t="s">
        <v>49</v>
      </c>
      <c r="E696" s="1" t="s">
        <v>46</v>
      </c>
      <c r="F696" s="1" t="s">
        <v>41</v>
      </c>
      <c r="G696" s="1">
        <v>22247</v>
      </c>
      <c r="H696" s="1">
        <f>'1_Departamento_n'!C14</f>
        <v>1184153</v>
      </c>
      <c r="I696" s="1">
        <f>'1_Departamento_n'!H14</f>
        <v>1312</v>
      </c>
      <c r="J696" s="1">
        <f>'0_Parametros'!B7</f>
        <v>10</v>
      </c>
      <c r="K696" s="3">
        <f>(I696-SUM($J$674:$J$729))*G696/H696</f>
        <v>14.128025685869984</v>
      </c>
      <c r="L696" s="1">
        <f>INT(K696)</f>
        <v>14</v>
      </c>
      <c r="M696" s="3">
        <f>K696-L696</f>
        <v>0.12802568586998397</v>
      </c>
      <c r="N696" s="1">
        <f>COUNTIF($M$674:$M$729,"&gt;"&amp;M696)+COUNTIF($M$674:M696,M696)</f>
        <v>50</v>
      </c>
      <c r="O696" s="1">
        <f>J696+L696+IF(N696&lt;=I696-SUM($J$674:$J$729)-SUM($L$674:$L$729),1,0)</f>
        <v>24</v>
      </c>
    </row>
    <row r="697" spans="1:15">
      <c r="A697" s="1" t="s">
        <v>60</v>
      </c>
      <c r="B697" s="1" t="s">
        <v>64</v>
      </c>
      <c r="C697" s="1" t="s">
        <v>38</v>
      </c>
      <c r="D697" s="1" t="s">
        <v>49</v>
      </c>
      <c r="E697" s="1" t="s">
        <v>46</v>
      </c>
      <c r="F697" s="1" t="s">
        <v>42</v>
      </c>
      <c r="G697" s="1">
        <v>2099</v>
      </c>
      <c r="H697" s="1">
        <f>'1_Departamento_n'!C14</f>
        <v>1184153</v>
      </c>
      <c r="I697" s="1">
        <f>'1_Departamento_n'!H14</f>
        <v>1312</v>
      </c>
      <c r="J697" s="1">
        <f>'0_Parametros'!B7</f>
        <v>10</v>
      </c>
      <c r="K697" s="3">
        <f>(I697-SUM($J$674:$J$729))*G697/H697</f>
        <v>1.332976397475664</v>
      </c>
      <c r="L697" s="1">
        <f>INT(K697)</f>
        <v>1</v>
      </c>
      <c r="M697" s="3">
        <f>K697-L697</f>
        <v>0.3329763974756641</v>
      </c>
      <c r="N697" s="1">
        <f>COUNTIF($M$674:$M$729,"&gt;"&amp;M697)+COUNTIF($M$674:M697,M697)</f>
        <v>41</v>
      </c>
      <c r="O697" s="1">
        <f>J697+L697+IF(N697&lt;=I697-SUM($J$674:$J$729)-SUM($L$674:$L$729),1,0)</f>
        <v>11</v>
      </c>
    </row>
    <row r="698" spans="1:15">
      <c r="A698" s="1" t="s">
        <v>60</v>
      </c>
      <c r="B698" s="1" t="s">
        <v>64</v>
      </c>
      <c r="C698" s="1" t="s">
        <v>38</v>
      </c>
      <c r="D698" s="1" t="s">
        <v>49</v>
      </c>
      <c r="E698" s="1" t="s">
        <v>47</v>
      </c>
      <c r="F698" s="1" t="s">
        <v>41</v>
      </c>
      <c r="G698" s="1">
        <v>16213</v>
      </c>
      <c r="H698" s="1">
        <f>'1_Departamento_n'!C14</f>
        <v>1184153</v>
      </c>
      <c r="I698" s="1">
        <f>'1_Departamento_n'!H14</f>
        <v>1312</v>
      </c>
      <c r="J698" s="1">
        <f>'0_Parametros'!B7</f>
        <v>10</v>
      </c>
      <c r="K698" s="3">
        <f>(I698-SUM($J$674:$J$729))*G698/H698</f>
        <v>10.296115451297256</v>
      </c>
      <c r="L698" s="1">
        <f>INT(K698)</f>
        <v>10</v>
      </c>
      <c r="M698" s="3">
        <f>K698-L698</f>
        <v>0.2961154512972559</v>
      </c>
      <c r="N698" s="1">
        <f>COUNTIF($M$674:$M$729,"&gt;"&amp;M698)+COUNTIF($M$674:M698,M698)</f>
        <v>43</v>
      </c>
      <c r="O698" s="1">
        <f>J698+L698+IF(N698&lt;=I698-SUM($J$674:$J$729)-SUM($L$674:$L$729),1,0)</f>
        <v>20</v>
      </c>
    </row>
    <row r="699" spans="1:15">
      <c r="A699" s="1" t="s">
        <v>60</v>
      </c>
      <c r="B699" s="1" t="s">
        <v>64</v>
      </c>
      <c r="C699" s="1" t="s">
        <v>38</v>
      </c>
      <c r="D699" s="1" t="s">
        <v>49</v>
      </c>
      <c r="E699" s="1" t="s">
        <v>47</v>
      </c>
      <c r="F699" s="1" t="s">
        <v>42</v>
      </c>
      <c r="G699" s="1">
        <v>1369</v>
      </c>
      <c r="H699" s="1">
        <f>'1_Departamento_n'!C14</f>
        <v>1184153</v>
      </c>
      <c r="I699" s="1">
        <f>'1_Departamento_n'!H14</f>
        <v>1312</v>
      </c>
      <c r="J699" s="1">
        <f>'0_Parametros'!B7</f>
        <v>10</v>
      </c>
      <c r="K699" s="3">
        <f>(I699-SUM($J$674:$J$729))*G699/H699</f>
        <v>0.8693876551425365</v>
      </c>
      <c r="L699" s="1">
        <f>INT(K699)</f>
        <v>0</v>
      </c>
      <c r="M699" s="3">
        <f>K699-L699</f>
        <v>0.8693876551425365</v>
      </c>
      <c r="N699" s="1">
        <f>COUNTIF($M$674:$M$729,"&gt;"&amp;M699)+COUNTIF($M$674:M699,M699)</f>
        <v>6</v>
      </c>
      <c r="O699" s="1">
        <f>J699+L699+IF(N699&lt;=I699-SUM($J$674:$J$729)-SUM($L$674:$L$729),1,0)</f>
        <v>11</v>
      </c>
    </row>
    <row r="700" spans="1:15">
      <c r="A700" s="1" t="s">
        <v>60</v>
      </c>
      <c r="B700" s="1" t="s">
        <v>64</v>
      </c>
      <c r="C700" s="1" t="s">
        <v>38</v>
      </c>
      <c r="D700" s="1" t="s">
        <v>49</v>
      </c>
      <c r="E700" s="1" t="s">
        <v>48</v>
      </c>
      <c r="F700" s="1" t="s">
        <v>41</v>
      </c>
      <c r="G700" s="1">
        <v>23945</v>
      </c>
      <c r="H700" s="1">
        <f>'1_Departamento_n'!C14</f>
        <v>1184153</v>
      </c>
      <c r="I700" s="1">
        <f>'1_Departamento_n'!H14</f>
        <v>1312</v>
      </c>
      <c r="J700" s="1">
        <f>'0_Parametros'!B7</f>
        <v>10</v>
      </c>
      <c r="K700" s="3">
        <f>(I700-SUM($J$674:$J$729))*G700/H700</f>
        <v>15.206345801598273</v>
      </c>
      <c r="L700" s="1">
        <f>INT(K700)</f>
        <v>15</v>
      </c>
      <c r="M700" s="3">
        <f>K700-L700</f>
        <v>0.20634580159827287</v>
      </c>
      <c r="N700" s="1">
        <f>COUNTIF($M$674:$M$729,"&gt;"&amp;M700)+COUNTIF($M$674:M700,M700)</f>
        <v>47</v>
      </c>
      <c r="O700" s="1">
        <f>J700+L700+IF(N700&lt;=I700-SUM($J$674:$J$729)-SUM($L$674:$L$729),1,0)</f>
        <v>25</v>
      </c>
    </row>
    <row r="701" spans="1:15">
      <c r="A701" s="1" t="s">
        <v>60</v>
      </c>
      <c r="B701" s="1" t="s">
        <v>64</v>
      </c>
      <c r="C701" s="1" t="s">
        <v>38</v>
      </c>
      <c r="D701" s="1" t="s">
        <v>49</v>
      </c>
      <c r="E701" s="1" t="s">
        <v>48</v>
      </c>
      <c r="F701" s="1" t="s">
        <v>42</v>
      </c>
      <c r="G701" s="1">
        <v>1223</v>
      </c>
      <c r="H701" s="1">
        <f>'1_Departamento_n'!C14</f>
        <v>1184153</v>
      </c>
      <c r="I701" s="1">
        <f>'1_Departamento_n'!H14</f>
        <v>1312</v>
      </c>
      <c r="J701" s="1">
        <f>'0_Parametros'!B7</f>
        <v>10</v>
      </c>
      <c r="K701" s="3">
        <f>(I701-SUM($J$674:$J$729))*G701/H701</f>
        <v>0.776669906675911</v>
      </c>
      <c r="L701" s="1">
        <f>INT(K701)</f>
        <v>0</v>
      </c>
      <c r="M701" s="3">
        <f>K701-L701</f>
        <v>0.776669906675911</v>
      </c>
      <c r="N701" s="1">
        <f>COUNTIF($M$674:$M$729,"&gt;"&amp;M701)+COUNTIF($M$674:M701,M701)</f>
        <v>14</v>
      </c>
      <c r="O701" s="1">
        <f>J701+L701+IF(N701&lt;=I701-SUM($J$674:$J$729)-SUM($L$674:$L$729),1,0)</f>
        <v>11</v>
      </c>
    </row>
    <row r="702" spans="1:15">
      <c r="A702" s="1" t="s">
        <v>60</v>
      </c>
      <c r="B702" s="1" t="s">
        <v>64</v>
      </c>
      <c r="C702" s="1" t="s">
        <v>50</v>
      </c>
      <c r="D702" s="1" t="s">
        <v>39</v>
      </c>
      <c r="E702" s="1" t="s">
        <v>40</v>
      </c>
      <c r="F702" s="1" t="s">
        <v>41</v>
      </c>
      <c r="G702" s="1">
        <v>32644</v>
      </c>
      <c r="H702" s="1">
        <f>'1_Departamento_n'!C14</f>
        <v>1184153</v>
      </c>
      <c r="I702" s="1">
        <f>'1_Departamento_n'!H14</f>
        <v>1312</v>
      </c>
      <c r="J702" s="1">
        <f>'0_Parametros'!B7</f>
        <v>10</v>
      </c>
      <c r="K702" s="3">
        <f>(I702-SUM($J$674:$J$729))*G702/H702</f>
        <v>20.73067247222276</v>
      </c>
      <c r="L702" s="1">
        <f>INT(K702)</f>
        <v>20</v>
      </c>
      <c r="M702" s="3">
        <f>K702-L702</f>
        <v>0.7306724722227607</v>
      </c>
      <c r="N702" s="1">
        <f>COUNTIF($M$674:$M$729,"&gt;"&amp;M702)+COUNTIF($M$674:M702,M702)</f>
        <v>15</v>
      </c>
      <c r="O702" s="1">
        <f>J702+L702+IF(N702&lt;=I702-SUM($J$674:$J$729)-SUM($L$674:$L$729),1,0)</f>
        <v>31</v>
      </c>
    </row>
    <row r="703" spans="1:15">
      <c r="A703" s="1" t="s">
        <v>60</v>
      </c>
      <c r="B703" s="1" t="s">
        <v>64</v>
      </c>
      <c r="C703" s="1" t="s">
        <v>50</v>
      </c>
      <c r="D703" s="1" t="s">
        <v>39</v>
      </c>
      <c r="E703" s="1" t="s">
        <v>40</v>
      </c>
      <c r="F703" s="1" t="s">
        <v>42</v>
      </c>
      <c r="G703" s="1">
        <v>27294</v>
      </c>
      <c r="H703" s="1">
        <f>'1_Departamento_n'!C14</f>
        <v>1184153</v>
      </c>
      <c r="I703" s="1">
        <f>'1_Departamento_n'!H14</f>
        <v>1312</v>
      </c>
      <c r="J703" s="1">
        <f>'0_Parametros'!B7</f>
        <v>10</v>
      </c>
      <c r="K703" s="3">
        <f>(I703-SUM($J$674:$J$729))*G703/H703</f>
        <v>17.333138538685457</v>
      </c>
      <c r="L703" s="1">
        <f>INT(K703)</f>
        <v>17</v>
      </c>
      <c r="M703" s="3">
        <f>K703-L703</f>
        <v>0.33313853868545706</v>
      </c>
      <c r="N703" s="1">
        <f>COUNTIF($M$674:$M$729,"&gt;"&amp;M703)+COUNTIF($M$674:M703,M703)</f>
        <v>40</v>
      </c>
      <c r="O703" s="1">
        <f>J703+L703+IF(N703&lt;=I703-SUM($J$674:$J$729)-SUM($L$674:$L$729),1,0)</f>
        <v>27</v>
      </c>
    </row>
    <row r="704" spans="1:15">
      <c r="A704" s="1" t="s">
        <v>60</v>
      </c>
      <c r="B704" s="1" t="s">
        <v>64</v>
      </c>
      <c r="C704" s="1" t="s">
        <v>50</v>
      </c>
      <c r="D704" s="1" t="s">
        <v>39</v>
      </c>
      <c r="E704" s="1" t="s">
        <v>43</v>
      </c>
      <c r="F704" s="1" t="s">
        <v>41</v>
      </c>
      <c r="G704" s="1">
        <v>38765</v>
      </c>
      <c r="H704" s="1">
        <f>'1_Departamento_n'!C14</f>
        <v>1184153</v>
      </c>
      <c r="I704" s="1">
        <f>'1_Departamento_n'!H14</f>
        <v>1312</v>
      </c>
      <c r="J704" s="1">
        <f>'0_Parametros'!B7</f>
        <v>10</v>
      </c>
      <c r="K704" s="3">
        <f>(I704-SUM($J$674:$J$729))*G704/H704</f>
        <v>24.617832324032452</v>
      </c>
      <c r="L704" s="1">
        <f>INT(K704)</f>
        <v>24</v>
      </c>
      <c r="M704" s="3">
        <f>K704-L704</f>
        <v>0.6178323240324524</v>
      </c>
      <c r="N704" s="1">
        <f>COUNTIF($M$674:$M$729,"&gt;"&amp;M704)+COUNTIF($M$674:M704,M704)</f>
        <v>23</v>
      </c>
      <c r="O704" s="1">
        <f>J704+L704+IF(N704&lt;=I704-SUM($J$674:$J$729)-SUM($L$674:$L$729),1,0)</f>
        <v>35</v>
      </c>
    </row>
    <row r="705" spans="1:15">
      <c r="A705" s="1" t="s">
        <v>60</v>
      </c>
      <c r="B705" s="1" t="s">
        <v>64</v>
      </c>
      <c r="C705" s="1" t="s">
        <v>50</v>
      </c>
      <c r="D705" s="1" t="s">
        <v>39</v>
      </c>
      <c r="E705" s="1" t="s">
        <v>43</v>
      </c>
      <c r="F705" s="1" t="s">
        <v>42</v>
      </c>
      <c r="G705" s="1">
        <v>33231</v>
      </c>
      <c r="H705" s="1">
        <f>'1_Departamento_n'!C14</f>
        <v>1184153</v>
      </c>
      <c r="I705" s="1">
        <f>'1_Departamento_n'!H14</f>
        <v>1312</v>
      </c>
      <c r="J705" s="1">
        <f>'0_Parametros'!B7</f>
        <v>10</v>
      </c>
      <c r="K705" s="3">
        <f>(I705-SUM($J$674:$J$729))*G705/H705</f>
        <v>21.10344862530433</v>
      </c>
      <c r="L705" s="1">
        <f>INT(K705)</f>
        <v>21</v>
      </c>
      <c r="M705" s="3">
        <f>K705-L705</f>
        <v>0.10344862530433119</v>
      </c>
      <c r="N705" s="1">
        <f>COUNTIF($M$674:$M$729,"&gt;"&amp;M705)+COUNTIF($M$674:M705,M705)</f>
        <v>51</v>
      </c>
      <c r="O705" s="1">
        <f>J705+L705+IF(N705&lt;=I705-SUM($J$674:$J$729)-SUM($L$674:$L$729),1,0)</f>
        <v>31</v>
      </c>
    </row>
    <row r="706" spans="1:15">
      <c r="A706" s="1" t="s">
        <v>60</v>
      </c>
      <c r="B706" s="1" t="s">
        <v>64</v>
      </c>
      <c r="C706" s="1" t="s">
        <v>50</v>
      </c>
      <c r="D706" s="1" t="s">
        <v>39</v>
      </c>
      <c r="E706" s="1" t="s">
        <v>44</v>
      </c>
      <c r="F706" s="1" t="s">
        <v>41</v>
      </c>
      <c r="G706" s="1">
        <v>42579</v>
      </c>
      <c r="H706" s="1">
        <f>'1_Departamento_n'!C14</f>
        <v>1184153</v>
      </c>
      <c r="I706" s="1">
        <f>'1_Departamento_n'!H14</f>
        <v>1312</v>
      </c>
      <c r="J706" s="1">
        <f>'0_Parametros'!B7</f>
        <v>10</v>
      </c>
      <c r="K706" s="3">
        <f>(I706-SUM($J$674:$J$729))*G706/H706</f>
        <v>27.03992473945512</v>
      </c>
      <c r="L706" s="1">
        <f>INT(K706)</f>
        <v>27</v>
      </c>
      <c r="M706" s="3">
        <f>K706-L706</f>
        <v>0.03992473945512032</v>
      </c>
      <c r="N706" s="1">
        <f>COUNTIF($M$674:$M$729,"&gt;"&amp;M706)+COUNTIF($M$674:M706,M706)</f>
        <v>56</v>
      </c>
      <c r="O706" s="1">
        <f>J706+L706+IF(N706&lt;=I706-SUM($J$674:$J$729)-SUM($L$674:$L$729),1,0)</f>
        <v>37</v>
      </c>
    </row>
    <row r="707" spans="1:15">
      <c r="A707" s="1" t="s">
        <v>60</v>
      </c>
      <c r="B707" s="1" t="s">
        <v>64</v>
      </c>
      <c r="C707" s="1" t="s">
        <v>50</v>
      </c>
      <c r="D707" s="1" t="s">
        <v>39</v>
      </c>
      <c r="E707" s="1" t="s">
        <v>44</v>
      </c>
      <c r="F707" s="1" t="s">
        <v>42</v>
      </c>
      <c r="G707" s="1">
        <v>31149</v>
      </c>
      <c r="H707" s="1">
        <f>'1_Departamento_n'!C14</f>
        <v>1184153</v>
      </c>
      <c r="I707" s="1">
        <f>'1_Departamento_n'!H14</f>
        <v>1312</v>
      </c>
      <c r="J707" s="1">
        <f>'0_Parametros'!B7</f>
        <v>10</v>
      </c>
      <c r="K707" s="3">
        <f>(I707-SUM($J$674:$J$729))*G707/H707</f>
        <v>19.781268130047383</v>
      </c>
      <c r="L707" s="1">
        <f>INT(K707)</f>
        <v>19</v>
      </c>
      <c r="M707" s="3">
        <f>K707-L707</f>
        <v>0.7812681300473834</v>
      </c>
      <c r="N707" s="1">
        <f>COUNTIF($M$674:$M$729,"&gt;"&amp;M707)+COUNTIF($M$674:M707,M707)</f>
        <v>13</v>
      </c>
      <c r="O707" s="1">
        <f>J707+L707+IF(N707&lt;=I707-SUM($J$674:$J$729)-SUM($L$674:$L$729),1,0)</f>
        <v>30</v>
      </c>
    </row>
    <row r="708" spans="1:15">
      <c r="A708" s="1" t="s">
        <v>60</v>
      </c>
      <c r="B708" s="1" t="s">
        <v>64</v>
      </c>
      <c r="C708" s="1" t="s">
        <v>50</v>
      </c>
      <c r="D708" s="1" t="s">
        <v>39</v>
      </c>
      <c r="E708" s="1" t="s">
        <v>45</v>
      </c>
      <c r="F708" s="1" t="s">
        <v>41</v>
      </c>
      <c r="G708" s="1">
        <v>37021</v>
      </c>
      <c r="H708" s="1">
        <f>'1_Departamento_n'!C14</f>
        <v>1184153</v>
      </c>
      <c r="I708" s="1">
        <f>'1_Departamento_n'!H14</f>
        <v>1312</v>
      </c>
      <c r="J708" s="1">
        <f>'0_Parametros'!B7</f>
        <v>10</v>
      </c>
      <c r="K708" s="3">
        <f>(I708-SUM($J$674:$J$729))*G708/H708</f>
        <v>23.510299767006458</v>
      </c>
      <c r="L708" s="1">
        <f>INT(K708)</f>
        <v>23</v>
      </c>
      <c r="M708" s="3">
        <f>K708-L708</f>
        <v>0.5102997670064582</v>
      </c>
      <c r="N708" s="1">
        <f>COUNTIF($M$674:$M$729,"&gt;"&amp;M708)+COUNTIF($M$674:M708,M708)</f>
        <v>31</v>
      </c>
      <c r="O708" s="1">
        <f>J708+L708+IF(N708&lt;=I708-SUM($J$674:$J$729)-SUM($L$674:$L$729),1,0)</f>
        <v>33</v>
      </c>
    </row>
    <row r="709" spans="1:15">
      <c r="A709" s="1" t="s">
        <v>60</v>
      </c>
      <c r="B709" s="1" t="s">
        <v>64</v>
      </c>
      <c r="C709" s="1" t="s">
        <v>50</v>
      </c>
      <c r="D709" s="1" t="s">
        <v>39</v>
      </c>
      <c r="E709" s="1" t="s">
        <v>45</v>
      </c>
      <c r="F709" s="1" t="s">
        <v>42</v>
      </c>
      <c r="G709" s="1">
        <v>26128</v>
      </c>
      <c r="H709" s="1">
        <f>'1_Departamento_n'!C14</f>
        <v>1184153</v>
      </c>
      <c r="I709" s="1">
        <f>'1_Departamento_n'!H14</f>
        <v>1312</v>
      </c>
      <c r="J709" s="1">
        <f>'0_Parametros'!B7</f>
        <v>10</v>
      </c>
      <c r="K709" s="3">
        <f>(I709-SUM($J$674:$J$729))*G709/H709</f>
        <v>16.59266665709583</v>
      </c>
      <c r="L709" s="1">
        <f>INT(K709)</f>
        <v>16</v>
      </c>
      <c r="M709" s="3">
        <f>K709-L709</f>
        <v>0.5926666570958297</v>
      </c>
      <c r="N709" s="1">
        <f>COUNTIF($M$674:$M$729,"&gt;"&amp;M709)+COUNTIF($M$674:M709,M709)</f>
        <v>25</v>
      </c>
      <c r="O709" s="1">
        <f>J709+L709+IF(N709&lt;=I709-SUM($J$674:$J$729)-SUM($L$674:$L$729),1,0)</f>
        <v>27</v>
      </c>
    </row>
    <row r="710" spans="1:15">
      <c r="A710" s="1" t="s">
        <v>60</v>
      </c>
      <c r="B710" s="1" t="s">
        <v>64</v>
      </c>
      <c r="C710" s="1" t="s">
        <v>50</v>
      </c>
      <c r="D710" s="1" t="s">
        <v>39</v>
      </c>
      <c r="E710" s="1" t="s">
        <v>46</v>
      </c>
      <c r="F710" s="1" t="s">
        <v>41</v>
      </c>
      <c r="G710" s="1">
        <v>31650</v>
      </c>
      <c r="H710" s="1">
        <f>'1_Departamento_n'!C14</f>
        <v>1184153</v>
      </c>
      <c r="I710" s="1">
        <f>'1_Departamento_n'!H14</f>
        <v>1312</v>
      </c>
      <c r="J710" s="1">
        <f>'0_Parametros'!B7</f>
        <v>10</v>
      </c>
      <c r="K710" s="3">
        <f>(I710-SUM($J$674:$J$729))*G710/H710</f>
        <v>20.09942971896368</v>
      </c>
      <c r="L710" s="1">
        <f>INT(K710)</f>
        <v>20</v>
      </c>
      <c r="M710" s="3">
        <f>K710-L710</f>
        <v>0.09942971896368036</v>
      </c>
      <c r="N710" s="1">
        <f>COUNTIF($M$674:$M$729,"&gt;"&amp;M710)+COUNTIF($M$674:M710,M710)</f>
        <v>53</v>
      </c>
      <c r="O710" s="1">
        <f>J710+L710+IF(N710&lt;=I710-SUM($J$674:$J$729)-SUM($L$674:$L$729),1,0)</f>
        <v>30</v>
      </c>
    </row>
    <row r="711" spans="1:15">
      <c r="A711" s="1" t="s">
        <v>60</v>
      </c>
      <c r="B711" s="1" t="s">
        <v>64</v>
      </c>
      <c r="C711" s="1" t="s">
        <v>50</v>
      </c>
      <c r="D711" s="1" t="s">
        <v>39</v>
      </c>
      <c r="E711" s="1" t="s">
        <v>46</v>
      </c>
      <c r="F711" s="1" t="s">
        <v>42</v>
      </c>
      <c r="G711" s="1">
        <v>21398</v>
      </c>
      <c r="H711" s="1">
        <f>'1_Departamento_n'!C14</f>
        <v>1184153</v>
      </c>
      <c r="I711" s="1">
        <f>'1_Departamento_n'!H14</f>
        <v>1312</v>
      </c>
      <c r="J711" s="1">
        <f>'0_Parametros'!B7</f>
        <v>10</v>
      </c>
      <c r="K711" s="3">
        <f>(I711-SUM($J$674:$J$729))*G711/H711</f>
        <v>13.588865628005841</v>
      </c>
      <c r="L711" s="1">
        <f>INT(K711)</f>
        <v>13</v>
      </c>
      <c r="M711" s="3">
        <f>K711-L711</f>
        <v>0.5888656280058413</v>
      </c>
      <c r="N711" s="1">
        <f>COUNTIF($M$674:$M$729,"&gt;"&amp;M711)+COUNTIF($M$674:M711,M711)</f>
        <v>26</v>
      </c>
      <c r="O711" s="1">
        <f>J711+L711+IF(N711&lt;=I711-SUM($J$674:$J$729)-SUM($L$674:$L$729),1,0)</f>
        <v>24</v>
      </c>
    </row>
    <row r="712" spans="1:15">
      <c r="A712" s="1" t="s">
        <v>60</v>
      </c>
      <c r="B712" s="1" t="s">
        <v>64</v>
      </c>
      <c r="C712" s="1" t="s">
        <v>50</v>
      </c>
      <c r="D712" s="1" t="s">
        <v>39</v>
      </c>
      <c r="E712" s="1" t="s">
        <v>47</v>
      </c>
      <c r="F712" s="1" t="s">
        <v>41</v>
      </c>
      <c r="G712" s="1">
        <v>28115</v>
      </c>
      <c r="H712" s="1">
        <f>'1_Departamento_n'!C14</f>
        <v>1184153</v>
      </c>
      <c r="I712" s="1">
        <f>'1_Departamento_n'!H14</f>
        <v>1312</v>
      </c>
      <c r="J712" s="1">
        <f>'0_Parametros'!B7</f>
        <v>10</v>
      </c>
      <c r="K712" s="3">
        <f>(I712-SUM($J$674:$J$729))*G712/H712</f>
        <v>17.854517110542304</v>
      </c>
      <c r="L712" s="1">
        <f>INT(K712)</f>
        <v>17</v>
      </c>
      <c r="M712" s="3">
        <f>K712-L712</f>
        <v>0.8545171105423037</v>
      </c>
      <c r="N712" s="1">
        <f>COUNTIF($M$674:$M$729,"&gt;"&amp;M712)+COUNTIF($M$674:M712,M712)</f>
        <v>7</v>
      </c>
      <c r="O712" s="1">
        <f>J712+L712+IF(N712&lt;=I712-SUM($J$674:$J$729)-SUM($L$674:$L$729),1,0)</f>
        <v>28</v>
      </c>
    </row>
    <row r="713" spans="1:15">
      <c r="A713" s="1" t="s">
        <v>60</v>
      </c>
      <c r="B713" s="1" t="s">
        <v>64</v>
      </c>
      <c r="C713" s="1" t="s">
        <v>50</v>
      </c>
      <c r="D713" s="1" t="s">
        <v>39</v>
      </c>
      <c r="E713" s="1" t="s">
        <v>47</v>
      </c>
      <c r="F713" s="1" t="s">
        <v>42</v>
      </c>
      <c r="G713" s="1">
        <v>17170</v>
      </c>
      <c r="H713" s="1">
        <f>'1_Departamento_n'!C14</f>
        <v>1184153</v>
      </c>
      <c r="I713" s="1">
        <f>'1_Departamento_n'!H14</f>
        <v>1312</v>
      </c>
      <c r="J713" s="1">
        <f>'0_Parametros'!B7</f>
        <v>10</v>
      </c>
      <c r="K713" s="3">
        <f>(I713-SUM($J$674:$J$729))*G713/H713</f>
        <v>10.903861240903836</v>
      </c>
      <c r="L713" s="1">
        <f>INT(K713)</f>
        <v>10</v>
      </c>
      <c r="M713" s="3">
        <f>K713-L713</f>
        <v>0.9038612409038365</v>
      </c>
      <c r="N713" s="1">
        <f>COUNTIF($M$674:$M$729,"&gt;"&amp;M713)+COUNTIF($M$674:M713,M713)</f>
        <v>4</v>
      </c>
      <c r="O713" s="1">
        <f>J713+L713+IF(N713&lt;=I713-SUM($J$674:$J$729)-SUM($L$674:$L$729),1,0)</f>
        <v>21</v>
      </c>
    </row>
    <row r="714" spans="1:15">
      <c r="A714" s="1" t="s">
        <v>60</v>
      </c>
      <c r="B714" s="1" t="s">
        <v>64</v>
      </c>
      <c r="C714" s="1" t="s">
        <v>50</v>
      </c>
      <c r="D714" s="1" t="s">
        <v>39</v>
      </c>
      <c r="E714" s="1" t="s">
        <v>48</v>
      </c>
      <c r="F714" s="1" t="s">
        <v>41</v>
      </c>
      <c r="G714" s="1">
        <v>40654</v>
      </c>
      <c r="H714" s="1">
        <f>'1_Departamento_n'!C14</f>
        <v>1184153</v>
      </c>
      <c r="I714" s="1">
        <f>'1_Departamento_n'!H14</f>
        <v>1312</v>
      </c>
      <c r="J714" s="1">
        <f>'0_Parametros'!B7</f>
        <v>10</v>
      </c>
      <c r="K714" s="3">
        <f>(I714-SUM($J$674:$J$729))*G714/H714</f>
        <v>25.81744757645338</v>
      </c>
      <c r="L714" s="1">
        <f>INT(K714)</f>
        <v>25</v>
      </c>
      <c r="M714" s="3">
        <f>K714-L714</f>
        <v>0.8174475764533788</v>
      </c>
      <c r="N714" s="1">
        <f>COUNTIF($M$674:$M$729,"&gt;"&amp;M714)+COUNTIF($M$674:M714,M714)</f>
        <v>11</v>
      </c>
      <c r="O714" s="1">
        <f>J714+L714+IF(N714&lt;=I714-SUM($J$674:$J$729)-SUM($L$674:$L$729),1,0)</f>
        <v>36</v>
      </c>
    </row>
    <row r="715" spans="1:15">
      <c r="A715" s="1" t="s">
        <v>60</v>
      </c>
      <c r="B715" s="1" t="s">
        <v>64</v>
      </c>
      <c r="C715" s="1" t="s">
        <v>50</v>
      </c>
      <c r="D715" s="1" t="s">
        <v>39</v>
      </c>
      <c r="E715" s="1" t="s">
        <v>48</v>
      </c>
      <c r="F715" s="1" t="s">
        <v>42</v>
      </c>
      <c r="G715" s="1">
        <v>23191</v>
      </c>
      <c r="H715" s="1">
        <f>'1_Departamento_n'!C14</f>
        <v>1184153</v>
      </c>
      <c r="I715" s="1">
        <f>'1_Departamento_n'!H14</f>
        <v>1312</v>
      </c>
      <c r="J715" s="1">
        <f>'0_Parametros'!B7</f>
        <v>10</v>
      </c>
      <c r="K715" s="3">
        <f>(I715-SUM($J$674:$J$729))*G715/H715</f>
        <v>14.727515785544604</v>
      </c>
      <c r="L715" s="1">
        <f>INT(K715)</f>
        <v>14</v>
      </c>
      <c r="M715" s="3">
        <f>K715-L715</f>
        <v>0.7275157855446039</v>
      </c>
      <c r="N715" s="1">
        <f>COUNTIF($M$674:$M$729,"&gt;"&amp;M715)+COUNTIF($M$674:M715,M715)</f>
        <v>16</v>
      </c>
      <c r="O715" s="1">
        <f>J715+L715+IF(N715&lt;=I715-SUM($J$674:$J$729)-SUM($L$674:$L$729),1,0)</f>
        <v>25</v>
      </c>
    </row>
    <row r="716" spans="1:15">
      <c r="A716" s="1" t="s">
        <v>60</v>
      </c>
      <c r="B716" s="1" t="s">
        <v>64</v>
      </c>
      <c r="C716" s="1" t="s">
        <v>50</v>
      </c>
      <c r="D716" s="1" t="s">
        <v>49</v>
      </c>
      <c r="E716" s="1" t="s">
        <v>40</v>
      </c>
      <c r="F716" s="1" t="s">
        <v>41</v>
      </c>
      <c r="G716" s="1">
        <v>33987</v>
      </c>
      <c r="H716" s="1">
        <f>'1_Departamento_n'!C14</f>
        <v>1184153</v>
      </c>
      <c r="I716" s="1">
        <f>'1_Departamento_n'!H14</f>
        <v>1312</v>
      </c>
      <c r="J716" s="1">
        <f>'0_Parametros'!B7</f>
        <v>10</v>
      </c>
      <c r="K716" s="3">
        <f>(I716-SUM($J$674:$J$729))*G716/H716</f>
        <v>21.58354874750138</v>
      </c>
      <c r="L716" s="1">
        <f>INT(K716)</f>
        <v>21</v>
      </c>
      <c r="M716" s="3">
        <f>K716-L716</f>
        <v>0.5835487475013785</v>
      </c>
      <c r="N716" s="1">
        <f>COUNTIF($M$674:$M$729,"&gt;"&amp;M716)+COUNTIF($M$674:M716,M716)</f>
        <v>28</v>
      </c>
      <c r="O716" s="1">
        <f>J716+L716+IF(N716&lt;=I716-SUM($J$674:$J$729)-SUM($L$674:$L$729),1,0)</f>
        <v>32</v>
      </c>
    </row>
    <row r="717" spans="1:15">
      <c r="A717" s="1" t="s">
        <v>60</v>
      </c>
      <c r="B717" s="1" t="s">
        <v>64</v>
      </c>
      <c r="C717" s="1" t="s">
        <v>50</v>
      </c>
      <c r="D717" s="1" t="s">
        <v>49</v>
      </c>
      <c r="E717" s="1" t="s">
        <v>40</v>
      </c>
      <c r="F717" s="1" t="s">
        <v>42</v>
      </c>
      <c r="G717" s="1">
        <v>28882</v>
      </c>
      <c r="H717" s="1">
        <f>'1_Departamento_n'!C14</f>
        <v>1184153</v>
      </c>
      <c r="I717" s="1">
        <f>'1_Departamento_n'!H14</f>
        <v>1312</v>
      </c>
      <c r="J717" s="1">
        <f>'0_Parametros'!B7</f>
        <v>10</v>
      </c>
      <c r="K717" s="3">
        <f>(I717-SUM($J$674:$J$729))*G717/H717</f>
        <v>18.34160281652793</v>
      </c>
      <c r="L717" s="1">
        <f>INT(K717)</f>
        <v>18</v>
      </c>
      <c r="M717" s="3">
        <f>K717-L717</f>
        <v>0.34160281652793145</v>
      </c>
      <c r="N717" s="1">
        <f>COUNTIF($M$674:$M$729,"&gt;"&amp;M717)+COUNTIF($M$674:M717,M717)</f>
        <v>38</v>
      </c>
      <c r="O717" s="1">
        <f>J717+L717+IF(N717&lt;=I717-SUM($J$674:$J$729)-SUM($L$674:$L$729),1,0)</f>
        <v>28</v>
      </c>
    </row>
    <row r="718" spans="1:15">
      <c r="A718" s="1" t="s">
        <v>60</v>
      </c>
      <c r="B718" s="1" t="s">
        <v>64</v>
      </c>
      <c r="C718" s="1" t="s">
        <v>50</v>
      </c>
      <c r="D718" s="1" t="s">
        <v>49</v>
      </c>
      <c r="E718" s="1" t="s">
        <v>43</v>
      </c>
      <c r="F718" s="1" t="s">
        <v>41</v>
      </c>
      <c r="G718" s="1">
        <v>39941</v>
      </c>
      <c r="H718" s="1">
        <f>'1_Departamento_n'!C14</f>
        <v>1184153</v>
      </c>
      <c r="I718" s="1">
        <f>'1_Departamento_n'!H14</f>
        <v>1312</v>
      </c>
      <c r="J718" s="1">
        <f>'0_Parametros'!B7</f>
        <v>10</v>
      </c>
      <c r="K718" s="3">
        <f>(I718-SUM($J$674:$J$729))*G718/H718</f>
        <v>25.36465473633897</v>
      </c>
      <c r="L718" s="1">
        <f>INT(K718)</f>
        <v>25</v>
      </c>
      <c r="M718" s="3">
        <f>K718-L718</f>
        <v>0.36465473633897005</v>
      </c>
      <c r="N718" s="1">
        <f>COUNTIF($M$674:$M$729,"&gt;"&amp;M718)+COUNTIF($M$674:M718,M718)</f>
        <v>37</v>
      </c>
      <c r="O718" s="1">
        <f>J718+L718+IF(N718&lt;=I718-SUM($J$674:$J$729)-SUM($L$674:$L$729),1,0)</f>
        <v>35</v>
      </c>
    </row>
    <row r="719" spans="1:15">
      <c r="A719" s="1" t="s">
        <v>60</v>
      </c>
      <c r="B719" s="1" t="s">
        <v>64</v>
      </c>
      <c r="C719" s="1" t="s">
        <v>50</v>
      </c>
      <c r="D719" s="1" t="s">
        <v>49</v>
      </c>
      <c r="E719" s="1" t="s">
        <v>43</v>
      </c>
      <c r="F719" s="1" t="s">
        <v>42</v>
      </c>
      <c r="G719" s="1">
        <v>33728</v>
      </c>
      <c r="H719" s="1">
        <f>'1_Departamento_n'!C14</f>
        <v>1184153</v>
      </c>
      <c r="I719" s="1">
        <f>'1_Departamento_n'!H14</f>
        <v>1312</v>
      </c>
      <c r="J719" s="1">
        <f>'0_Parametros'!B7</f>
        <v>10</v>
      </c>
      <c r="K719" s="3">
        <f>(I719-SUM($J$674:$J$729))*G719/H719</f>
        <v>21.41907000193387</v>
      </c>
      <c r="L719" s="1">
        <f>INT(K719)</f>
        <v>21</v>
      </c>
      <c r="M719" s="3">
        <f>K719-L719</f>
        <v>0.41907000193387134</v>
      </c>
      <c r="N719" s="1">
        <f>COUNTIF($M$674:$M$729,"&gt;"&amp;M719)+COUNTIF($M$674:M719,M719)</f>
        <v>34</v>
      </c>
      <c r="O719" s="1">
        <f>J719+L719+IF(N719&lt;=I719-SUM($J$674:$J$729)-SUM($L$674:$L$729),1,0)</f>
        <v>31</v>
      </c>
    </row>
    <row r="720" spans="1:15">
      <c r="A720" s="1" t="s">
        <v>60</v>
      </c>
      <c r="B720" s="1" t="s">
        <v>64</v>
      </c>
      <c r="C720" s="1" t="s">
        <v>50</v>
      </c>
      <c r="D720" s="1" t="s">
        <v>49</v>
      </c>
      <c r="E720" s="1" t="s">
        <v>44</v>
      </c>
      <c r="F720" s="1" t="s">
        <v>41</v>
      </c>
      <c r="G720" s="1">
        <v>38203</v>
      </c>
      <c r="H720" s="1">
        <f>'1_Departamento_n'!C14</f>
        <v>1184153</v>
      </c>
      <c r="I720" s="1">
        <f>'1_Departamento_n'!H14</f>
        <v>1312</v>
      </c>
      <c r="J720" s="1">
        <f>'0_Parametros'!B7</f>
        <v>10</v>
      </c>
      <c r="K720" s="3">
        <f>(I720-SUM($J$674:$J$729))*G720/H720</f>
        <v>24.260932497743113</v>
      </c>
      <c r="L720" s="1">
        <f>INT(K720)</f>
        <v>24</v>
      </c>
      <c r="M720" s="3">
        <f>K720-L720</f>
        <v>0.2609324977431129</v>
      </c>
      <c r="N720" s="1">
        <f>COUNTIF($M$674:$M$729,"&gt;"&amp;M720)+COUNTIF($M$674:M720,M720)</f>
        <v>44</v>
      </c>
      <c r="O720" s="1">
        <f>J720+L720+IF(N720&lt;=I720-SUM($J$674:$J$729)-SUM($L$674:$L$729),1,0)</f>
        <v>34</v>
      </c>
    </row>
    <row r="721" spans="1:15">
      <c r="A721" s="1" t="s">
        <v>60</v>
      </c>
      <c r="B721" s="1" t="s">
        <v>64</v>
      </c>
      <c r="C721" s="1" t="s">
        <v>50</v>
      </c>
      <c r="D721" s="1" t="s">
        <v>49</v>
      </c>
      <c r="E721" s="1" t="s">
        <v>44</v>
      </c>
      <c r="F721" s="1" t="s">
        <v>42</v>
      </c>
      <c r="G721" s="1">
        <v>29242</v>
      </c>
      <c r="H721" s="1">
        <f>'1_Departamento_n'!C14</f>
        <v>1184153</v>
      </c>
      <c r="I721" s="1">
        <f>'1_Departamento_n'!H14</f>
        <v>1312</v>
      </c>
      <c r="J721" s="1">
        <f>'0_Parametros'!B7</f>
        <v>10</v>
      </c>
      <c r="K721" s="3">
        <f>(I721-SUM($J$674:$J$729))*G721/H721</f>
        <v>18.57022192233605</v>
      </c>
      <c r="L721" s="1">
        <f>INT(K721)</f>
        <v>18</v>
      </c>
      <c r="M721" s="3">
        <f>K721-L721</f>
        <v>0.5702219223360494</v>
      </c>
      <c r="N721" s="1">
        <f>COUNTIF($M$674:$M$729,"&gt;"&amp;M721)+COUNTIF($M$674:M721,M721)</f>
        <v>29</v>
      </c>
      <c r="O721" s="1">
        <f>J721+L721+IF(N721&lt;=I721-SUM($J$674:$J$729)-SUM($L$674:$L$729),1,0)</f>
        <v>29</v>
      </c>
    </row>
    <row r="722" spans="1:15">
      <c r="A722" s="1" t="s">
        <v>60</v>
      </c>
      <c r="B722" s="1" t="s">
        <v>64</v>
      </c>
      <c r="C722" s="1" t="s">
        <v>50</v>
      </c>
      <c r="D722" s="1" t="s">
        <v>49</v>
      </c>
      <c r="E722" s="1" t="s">
        <v>45</v>
      </c>
      <c r="F722" s="1" t="s">
        <v>41</v>
      </c>
      <c r="G722" s="1">
        <v>32242</v>
      </c>
      <c r="H722" s="1">
        <f>'1_Departamento_n'!C14</f>
        <v>1184153</v>
      </c>
      <c r="I722" s="1">
        <f>'1_Departamento_n'!H14</f>
        <v>1312</v>
      </c>
      <c r="J722" s="1">
        <f>'0_Parametros'!B7</f>
        <v>10</v>
      </c>
      <c r="K722" s="3">
        <f>(I722-SUM($J$674:$J$729))*G722/H722</f>
        <v>20.475381137403698</v>
      </c>
      <c r="L722" s="1">
        <f>INT(K722)</f>
        <v>20</v>
      </c>
      <c r="M722" s="3">
        <f>K722-L722</f>
        <v>0.4753811374036978</v>
      </c>
      <c r="N722" s="1">
        <f>COUNTIF($M$674:$M$729,"&gt;"&amp;M722)+COUNTIF($M$674:M722,M722)</f>
        <v>32</v>
      </c>
      <c r="O722" s="1">
        <f>J722+L722+IF(N722&lt;=I722-SUM($J$674:$J$729)-SUM($L$674:$L$729),1,0)</f>
        <v>30</v>
      </c>
    </row>
    <row r="723" spans="1:15">
      <c r="A723" s="1" t="s">
        <v>60</v>
      </c>
      <c r="B723" s="1" t="s">
        <v>64</v>
      </c>
      <c r="C723" s="1" t="s">
        <v>50</v>
      </c>
      <c r="D723" s="1" t="s">
        <v>49</v>
      </c>
      <c r="E723" s="1" t="s">
        <v>45</v>
      </c>
      <c r="F723" s="1" t="s">
        <v>42</v>
      </c>
      <c r="G723" s="1">
        <v>26761</v>
      </c>
      <c r="H723" s="1">
        <f>'1_Departamento_n'!C14</f>
        <v>1184153</v>
      </c>
      <c r="I723" s="1">
        <f>'1_Departamento_n'!H14</f>
        <v>1312</v>
      </c>
      <c r="J723" s="1">
        <f>'0_Parametros'!B7</f>
        <v>10</v>
      </c>
      <c r="K723" s="3">
        <f>(I723-SUM($J$674:$J$729))*G723/H723</f>
        <v>16.994655251475105</v>
      </c>
      <c r="L723" s="1">
        <f>INT(K723)</f>
        <v>16</v>
      </c>
      <c r="M723" s="3">
        <f>K723-L723</f>
        <v>0.9946552514751055</v>
      </c>
      <c r="N723" s="1">
        <f>COUNTIF($M$674:$M$729,"&gt;"&amp;M723)+COUNTIF($M$674:M723,M723)</f>
        <v>1</v>
      </c>
      <c r="O723" s="1">
        <f>J723+L723+IF(N723&lt;=I723-SUM($J$674:$J$729)-SUM($L$674:$L$729),1,0)</f>
        <v>27</v>
      </c>
    </row>
    <row r="724" spans="1:15">
      <c r="A724" s="1" t="s">
        <v>60</v>
      </c>
      <c r="B724" s="1" t="s">
        <v>64</v>
      </c>
      <c r="C724" s="1" t="s">
        <v>50</v>
      </c>
      <c r="D724" s="1" t="s">
        <v>49</v>
      </c>
      <c r="E724" s="1" t="s">
        <v>46</v>
      </c>
      <c r="F724" s="1" t="s">
        <v>41</v>
      </c>
      <c r="G724" s="1">
        <v>27485</v>
      </c>
      <c r="H724" s="1">
        <f>'1_Departamento_n'!C14</f>
        <v>1184153</v>
      </c>
      <c r="I724" s="1">
        <f>'1_Departamento_n'!H14</f>
        <v>1312</v>
      </c>
      <c r="J724" s="1">
        <f>'0_Parametros'!B7</f>
        <v>10</v>
      </c>
      <c r="K724" s="3">
        <f>(I724-SUM($J$674:$J$729))*G724/H724</f>
        <v>17.454433675378098</v>
      </c>
      <c r="L724" s="1">
        <f>INT(K724)</f>
        <v>17</v>
      </c>
      <c r="M724" s="3">
        <f>K724-L724</f>
        <v>0.4544336753780982</v>
      </c>
      <c r="N724" s="1">
        <f>COUNTIF($M$674:$M$729,"&gt;"&amp;M724)+COUNTIF($M$674:M724,M724)</f>
        <v>33</v>
      </c>
      <c r="O724" s="1">
        <f>J724+L724+IF(N724&lt;=I724-SUM($J$674:$J$729)-SUM($L$674:$L$729),1,0)</f>
        <v>27</v>
      </c>
    </row>
    <row r="725" spans="1:15">
      <c r="A725" s="1" t="s">
        <v>60</v>
      </c>
      <c r="B725" s="1" t="s">
        <v>64</v>
      </c>
      <c r="C725" s="1" t="s">
        <v>50</v>
      </c>
      <c r="D725" s="1" t="s">
        <v>49</v>
      </c>
      <c r="E725" s="1" t="s">
        <v>46</v>
      </c>
      <c r="F725" s="1" t="s">
        <v>42</v>
      </c>
      <c r="G725" s="1">
        <v>23364</v>
      </c>
      <c r="H725" s="1">
        <f>'1_Departamento_n'!C14</f>
        <v>1184153</v>
      </c>
      <c r="I725" s="1">
        <f>'1_Departamento_n'!H14</f>
        <v>1312</v>
      </c>
      <c r="J725" s="1">
        <f>'0_Parametros'!B7</f>
        <v>10</v>
      </c>
      <c r="K725" s="3">
        <f>(I725-SUM($J$674:$J$729))*G725/H725</f>
        <v>14.83737996694684</v>
      </c>
      <c r="L725" s="1">
        <f>INT(K725)</f>
        <v>14</v>
      </c>
      <c r="M725" s="3">
        <f>K725-L725</f>
        <v>0.8373799669468394</v>
      </c>
      <c r="N725" s="1">
        <f>COUNTIF($M$674:$M$729,"&gt;"&amp;M725)+COUNTIF($M$674:M725,M725)</f>
        <v>9</v>
      </c>
      <c r="O725" s="1">
        <f>J725+L725+IF(N725&lt;=I725-SUM($J$674:$J$729)-SUM($L$674:$L$729),1,0)</f>
        <v>25</v>
      </c>
    </row>
    <row r="726" spans="1:15">
      <c r="A726" s="1" t="s">
        <v>60</v>
      </c>
      <c r="B726" s="1" t="s">
        <v>64</v>
      </c>
      <c r="C726" s="1" t="s">
        <v>50</v>
      </c>
      <c r="D726" s="1" t="s">
        <v>49</v>
      </c>
      <c r="E726" s="1" t="s">
        <v>47</v>
      </c>
      <c r="F726" s="1" t="s">
        <v>41</v>
      </c>
      <c r="G726" s="1">
        <v>25019</v>
      </c>
      <c r="H726" s="1">
        <f>'1_Departamento_n'!C14</f>
        <v>1184153</v>
      </c>
      <c r="I726" s="1">
        <f>'1_Departamento_n'!H14</f>
        <v>1312</v>
      </c>
      <c r="J726" s="1">
        <f>'0_Parametros'!B7</f>
        <v>10</v>
      </c>
      <c r="K726" s="3">
        <f>(I726-SUM($J$674:$J$729))*G726/H726</f>
        <v>15.888392800592491</v>
      </c>
      <c r="L726" s="1">
        <f>INT(K726)</f>
        <v>15</v>
      </c>
      <c r="M726" s="3">
        <f>K726-L726</f>
        <v>0.8883928005924915</v>
      </c>
      <c r="N726" s="1">
        <f>COUNTIF($M$674:$M$729,"&gt;"&amp;M726)+COUNTIF($M$674:M726,M726)</f>
        <v>5</v>
      </c>
      <c r="O726" s="1">
        <f>J726+L726+IF(N726&lt;=I726-SUM($J$674:$J$729)-SUM($L$674:$L$729),1,0)</f>
        <v>26</v>
      </c>
    </row>
    <row r="727" spans="1:15">
      <c r="A727" s="1" t="s">
        <v>60</v>
      </c>
      <c r="B727" s="1" t="s">
        <v>64</v>
      </c>
      <c r="C727" s="1" t="s">
        <v>50</v>
      </c>
      <c r="D727" s="1" t="s">
        <v>49</v>
      </c>
      <c r="E727" s="1" t="s">
        <v>47</v>
      </c>
      <c r="F727" s="1" t="s">
        <v>42</v>
      </c>
      <c r="G727" s="1">
        <v>19735</v>
      </c>
      <c r="H727" s="1">
        <f>'1_Departamento_n'!C14</f>
        <v>1184153</v>
      </c>
      <c r="I727" s="1">
        <f>'1_Departamento_n'!H14</f>
        <v>1312</v>
      </c>
      <c r="J727" s="1">
        <f>'0_Parametros'!B7</f>
        <v>10</v>
      </c>
      <c r="K727" s="3">
        <f>(I727-SUM($J$674:$J$729))*G727/H727</f>
        <v>12.532772369786674</v>
      </c>
      <c r="L727" s="1">
        <f>INT(K727)</f>
        <v>12</v>
      </c>
      <c r="M727" s="3">
        <f>K727-L727</f>
        <v>0.5327723697866737</v>
      </c>
      <c r="N727" s="1">
        <f>COUNTIF($M$674:$M$729,"&gt;"&amp;M727)+COUNTIF($M$674:M727,M727)</f>
        <v>30</v>
      </c>
      <c r="O727" s="1">
        <f>J727+L727+IF(N727&lt;=I727-SUM($J$674:$J$729)-SUM($L$674:$L$729),1,0)</f>
        <v>22</v>
      </c>
    </row>
    <row r="728" spans="1:15">
      <c r="A728" s="1" t="s">
        <v>60</v>
      </c>
      <c r="B728" s="1" t="s">
        <v>64</v>
      </c>
      <c r="C728" s="1" t="s">
        <v>50</v>
      </c>
      <c r="D728" s="1" t="s">
        <v>49</v>
      </c>
      <c r="E728" s="1" t="s">
        <v>48</v>
      </c>
      <c r="F728" s="1" t="s">
        <v>41</v>
      </c>
      <c r="G728" s="1">
        <v>36604</v>
      </c>
      <c r="H728" s="1">
        <f>'1_Departamento_n'!C14</f>
        <v>1184153</v>
      </c>
      <c r="I728" s="1">
        <f>'1_Departamento_n'!H14</f>
        <v>1312</v>
      </c>
      <c r="J728" s="1">
        <f>'0_Parametros'!B7</f>
        <v>10</v>
      </c>
      <c r="K728" s="3">
        <f>(I728-SUM($J$674:$J$729))*G728/H728</f>
        <v>23.245482636112058</v>
      </c>
      <c r="L728" s="1">
        <f>INT(K728)</f>
        <v>23</v>
      </c>
      <c r="M728" s="3">
        <f>K728-L728</f>
        <v>0.24548263611205812</v>
      </c>
      <c r="N728" s="1">
        <f>COUNTIF($M$674:$M$729,"&gt;"&amp;M728)+COUNTIF($M$674:M728,M728)</f>
        <v>45</v>
      </c>
      <c r="O728" s="1">
        <f>J728+L728+IF(N728&lt;=I728-SUM($J$674:$J$729)-SUM($L$674:$L$729),1,0)</f>
        <v>33</v>
      </c>
    </row>
    <row r="729" spans="1:15">
      <c r="A729" s="1" t="s">
        <v>60</v>
      </c>
      <c r="B729" s="1" t="s">
        <v>64</v>
      </c>
      <c r="C729" s="1" t="s">
        <v>50</v>
      </c>
      <c r="D729" s="1" t="s">
        <v>49</v>
      </c>
      <c r="E729" s="1" t="s">
        <v>48</v>
      </c>
      <c r="F729" s="1" t="s">
        <v>42</v>
      </c>
      <c r="G729" s="1">
        <v>28501</v>
      </c>
      <c r="H729" s="1">
        <f>'1_Departamento_n'!C14</f>
        <v>1184153</v>
      </c>
      <c r="I729" s="1">
        <f>'1_Departamento_n'!H14</f>
        <v>1312</v>
      </c>
      <c r="J729" s="1">
        <f>'0_Parametros'!B7</f>
        <v>10</v>
      </c>
      <c r="K729" s="3">
        <f>(I729-SUM($J$674:$J$729))*G729/H729</f>
        <v>18.09964759621434</v>
      </c>
      <c r="L729" s="1">
        <f>INT(K729)</f>
        <v>18</v>
      </c>
      <c r="M729" s="3">
        <f>K729-L729</f>
        <v>0.09964759621433927</v>
      </c>
      <c r="N729" s="1">
        <f>COUNTIF($M$674:$M$729,"&gt;"&amp;M729)+COUNTIF($M$674:M729,M729)</f>
        <v>52</v>
      </c>
      <c r="O729" s="1">
        <f>J729+L729+IF(N729&lt;=I729-SUM($J$674:$J$729)-SUM($L$674:$L$729),1,0)</f>
        <v>28</v>
      </c>
    </row>
    <row r="730" spans="1:15">
      <c r="A730" s="1" t="s">
        <v>60</v>
      </c>
      <c r="B730" s="1" t="s">
        <v>65</v>
      </c>
      <c r="C730" s="1" t="s">
        <v>38</v>
      </c>
      <c r="D730" s="1" t="s">
        <v>39</v>
      </c>
      <c r="E730" s="1" t="s">
        <v>40</v>
      </c>
      <c r="F730" s="1" t="s">
        <v>41</v>
      </c>
      <c r="G730" s="1">
        <v>9459</v>
      </c>
      <c r="H730" s="1">
        <f>'1_Departamento_n'!C15</f>
        <v>569685</v>
      </c>
      <c r="I730" s="1">
        <f>'1_Departamento_n'!H15</f>
        <v>1311</v>
      </c>
      <c r="J730" s="1">
        <f>'0_Parametros'!B7</f>
        <v>10</v>
      </c>
      <c r="K730" s="3">
        <f>(I730-SUM($J$730:$J$785))*G730/H730</f>
        <v>12.46953842913189</v>
      </c>
      <c r="L730" s="1">
        <f>INT(K730)</f>
        <v>12</v>
      </c>
      <c r="M730" s="3">
        <f>K730-L730</f>
        <v>0.46953842913188915</v>
      </c>
      <c r="N730" s="1">
        <f>COUNTIF($M$730:$M$785,"&gt;"&amp;M730)+COUNTIF($M$730:M730,M730)</f>
        <v>31</v>
      </c>
      <c r="O730" s="1">
        <f>J730+L730+IF(N730&lt;=I730-SUM($J$730:$J$785)-SUM($L$730:$L$785),1,0)</f>
        <v>22</v>
      </c>
    </row>
    <row r="731" spans="1:15">
      <c r="A731" s="1" t="s">
        <v>60</v>
      </c>
      <c r="B731" s="1" t="s">
        <v>65</v>
      </c>
      <c r="C731" s="1" t="s">
        <v>38</v>
      </c>
      <c r="D731" s="1" t="s">
        <v>39</v>
      </c>
      <c r="E731" s="1" t="s">
        <v>40</v>
      </c>
      <c r="F731" s="1" t="s">
        <v>42</v>
      </c>
      <c r="G731" s="1">
        <v>701</v>
      </c>
      <c r="H731" s="1">
        <f>'1_Departamento_n'!C15</f>
        <v>569685</v>
      </c>
      <c r="I731" s="1">
        <f>'1_Departamento_n'!H15</f>
        <v>1311</v>
      </c>
      <c r="J731" s="1">
        <f>'0_Parametros'!B7</f>
        <v>10</v>
      </c>
      <c r="K731" s="3">
        <f>(I731-SUM($J$730:$J$785))*G731/H731</f>
        <v>0.9241089373952271</v>
      </c>
      <c r="L731" s="1">
        <f>INT(K731)</f>
        <v>0</v>
      </c>
      <c r="M731" s="3">
        <f>K731-L731</f>
        <v>0.9241089373952271</v>
      </c>
      <c r="N731" s="1">
        <f>COUNTIF($M$730:$M$785,"&gt;"&amp;M731)+COUNTIF($M$730:M731,M731)</f>
        <v>4</v>
      </c>
      <c r="O731" s="1">
        <f>J731+L731+IF(N731&lt;=I731-SUM($J$730:$J$785)-SUM($L$730:$L$785),1,0)</f>
        <v>11</v>
      </c>
    </row>
    <row r="732" spans="1:15">
      <c r="A732" s="1" t="s">
        <v>60</v>
      </c>
      <c r="B732" s="1" t="s">
        <v>65</v>
      </c>
      <c r="C732" s="1" t="s">
        <v>38</v>
      </c>
      <c r="D732" s="1" t="s">
        <v>39</v>
      </c>
      <c r="E732" s="1" t="s">
        <v>43</v>
      </c>
      <c r="F732" s="1" t="s">
        <v>41</v>
      </c>
      <c r="G732" s="1">
        <v>13889</v>
      </c>
      <c r="H732" s="1">
        <f>'1_Departamento_n'!C15</f>
        <v>569685</v>
      </c>
      <c r="I732" s="1">
        <f>'1_Departamento_n'!H15</f>
        <v>1311</v>
      </c>
      <c r="J732" s="1">
        <f>'0_Parametros'!B7</f>
        <v>10</v>
      </c>
      <c r="K732" s="3">
        <f>(I732-SUM($J$730:$J$785))*G732/H732</f>
        <v>18.309485066308575</v>
      </c>
      <c r="L732" s="1">
        <f>INT(K732)</f>
        <v>18</v>
      </c>
      <c r="M732" s="3">
        <f>K732-L732</f>
        <v>0.3094850663085751</v>
      </c>
      <c r="N732" s="1">
        <f>COUNTIF($M$730:$M$785,"&gt;"&amp;M732)+COUNTIF($M$730:M732,M732)</f>
        <v>42</v>
      </c>
      <c r="O732" s="1">
        <f>J732+L732+IF(N732&lt;=I732-SUM($J$730:$J$785)-SUM($L$730:$L$785),1,0)</f>
        <v>28</v>
      </c>
    </row>
    <row r="733" spans="1:15">
      <c r="A733" s="1" t="s">
        <v>60</v>
      </c>
      <c r="B733" s="1" t="s">
        <v>65</v>
      </c>
      <c r="C733" s="1" t="s">
        <v>38</v>
      </c>
      <c r="D733" s="1" t="s">
        <v>39</v>
      </c>
      <c r="E733" s="1" t="s">
        <v>43</v>
      </c>
      <c r="F733" s="1" t="s">
        <v>42</v>
      </c>
      <c r="G733" s="1">
        <v>596</v>
      </c>
      <c r="H733" s="1">
        <f>'1_Departamento_n'!C15</f>
        <v>569685</v>
      </c>
      <c r="I733" s="1">
        <f>'1_Departamento_n'!H15</f>
        <v>1311</v>
      </c>
      <c r="J733" s="1">
        <f>'0_Parametros'!B7</f>
        <v>10</v>
      </c>
      <c r="K733" s="3">
        <f>(I733-SUM($J$730:$J$785))*G733/H733</f>
        <v>0.7856903376427324</v>
      </c>
      <c r="L733" s="1">
        <f>INT(K733)</f>
        <v>0</v>
      </c>
      <c r="M733" s="3">
        <f>K733-L733</f>
        <v>0.7856903376427324</v>
      </c>
      <c r="N733" s="1">
        <f>COUNTIF($M$730:$M$785,"&gt;"&amp;M733)+COUNTIF($M$730:M733,M733)</f>
        <v>9</v>
      </c>
      <c r="O733" s="1">
        <f>J733+L733+IF(N733&lt;=I733-SUM($J$730:$J$785)-SUM($L$730:$L$785),1,0)</f>
        <v>11</v>
      </c>
    </row>
    <row r="734" spans="1:15">
      <c r="A734" s="1" t="s">
        <v>60</v>
      </c>
      <c r="B734" s="1" t="s">
        <v>65</v>
      </c>
      <c r="C734" s="1" t="s">
        <v>38</v>
      </c>
      <c r="D734" s="1" t="s">
        <v>39</v>
      </c>
      <c r="E734" s="1" t="s">
        <v>44</v>
      </c>
      <c r="F734" s="1" t="s">
        <v>41</v>
      </c>
      <c r="G734" s="1">
        <v>19256</v>
      </c>
      <c r="H734" s="1">
        <f>'1_Departamento_n'!C15</f>
        <v>569685</v>
      </c>
      <c r="I734" s="1">
        <f>'1_Departamento_n'!H15</f>
        <v>1311</v>
      </c>
      <c r="J734" s="1">
        <f>'0_Parametros'!B7</f>
        <v>10</v>
      </c>
      <c r="K734" s="3">
        <f>(I734-SUM($J$730:$J$785))*G734/H734</f>
        <v>25.384652922228952</v>
      </c>
      <c r="L734" s="1">
        <f>INT(K734)</f>
        <v>25</v>
      </c>
      <c r="M734" s="3">
        <f>K734-L734</f>
        <v>0.38465292222895187</v>
      </c>
      <c r="N734" s="1">
        <f>COUNTIF($M$730:$M$785,"&gt;"&amp;M734)+COUNTIF($M$730:M734,M734)</f>
        <v>34</v>
      </c>
      <c r="O734" s="1">
        <f>J734+L734+IF(N734&lt;=I734-SUM($J$730:$J$785)-SUM($L$730:$L$785),1,0)</f>
        <v>35</v>
      </c>
    </row>
    <row r="735" spans="1:15">
      <c r="A735" s="1" t="s">
        <v>60</v>
      </c>
      <c r="B735" s="1" t="s">
        <v>65</v>
      </c>
      <c r="C735" s="1" t="s">
        <v>38</v>
      </c>
      <c r="D735" s="1" t="s">
        <v>39</v>
      </c>
      <c r="E735" s="1" t="s">
        <v>44</v>
      </c>
      <c r="F735" s="1" t="s">
        <v>42</v>
      </c>
      <c r="G735" s="1">
        <v>1174</v>
      </c>
      <c r="H735" s="1">
        <f>'1_Departamento_n'!C15</f>
        <v>569685</v>
      </c>
      <c r="I735" s="1">
        <f>'1_Departamento_n'!H15</f>
        <v>1311</v>
      </c>
      <c r="J735" s="1">
        <f>'0_Parametros'!B7</f>
        <v>10</v>
      </c>
      <c r="K735" s="3">
        <f>(I735-SUM($J$730:$J$785))*G735/H735</f>
        <v>1.5476517724707515</v>
      </c>
      <c r="L735" s="1">
        <f>INT(K735)</f>
        <v>1</v>
      </c>
      <c r="M735" s="3">
        <f>K735-L735</f>
        <v>0.5476517724707515</v>
      </c>
      <c r="N735" s="1">
        <f>COUNTIF($M$730:$M$785,"&gt;"&amp;M735)+COUNTIF($M$730:M735,M735)</f>
        <v>25</v>
      </c>
      <c r="O735" s="1">
        <f>J735+L735+IF(N735&lt;=I735-SUM($J$730:$J$785)-SUM($L$730:$L$785),1,0)</f>
        <v>12</v>
      </c>
    </row>
    <row r="736" spans="1:15">
      <c r="A736" s="1" t="s">
        <v>60</v>
      </c>
      <c r="B736" s="1" t="s">
        <v>65</v>
      </c>
      <c r="C736" s="1" t="s">
        <v>38</v>
      </c>
      <c r="D736" s="1" t="s">
        <v>39</v>
      </c>
      <c r="E736" s="1" t="s">
        <v>45</v>
      </c>
      <c r="F736" s="1" t="s">
        <v>41</v>
      </c>
      <c r="G736" s="1">
        <v>23289</v>
      </c>
      <c r="H736" s="1">
        <f>'1_Departamento_n'!C15</f>
        <v>569685</v>
      </c>
      <c r="I736" s="1">
        <f>'1_Departamento_n'!H15</f>
        <v>1311</v>
      </c>
      <c r="J736" s="1">
        <f>'0_Parametros'!B7</f>
        <v>10</v>
      </c>
      <c r="K736" s="3">
        <f>(I736-SUM($J$730:$J$785))*G736/H736</f>
        <v>30.701245425103348</v>
      </c>
      <c r="L736" s="1">
        <f>INT(K736)</f>
        <v>30</v>
      </c>
      <c r="M736" s="3">
        <f>K736-L736</f>
        <v>0.7012454251033482</v>
      </c>
      <c r="N736" s="1">
        <f>COUNTIF($M$730:$M$785,"&gt;"&amp;M736)+COUNTIF($M$730:M736,M736)</f>
        <v>16</v>
      </c>
      <c r="O736" s="1">
        <f>J736+L736+IF(N736&lt;=I736-SUM($J$730:$J$785)-SUM($L$730:$L$785),1,0)</f>
        <v>41</v>
      </c>
    </row>
    <row r="737" spans="1:15">
      <c r="A737" s="1" t="s">
        <v>60</v>
      </c>
      <c r="B737" s="1" t="s">
        <v>65</v>
      </c>
      <c r="C737" s="1" t="s">
        <v>38</v>
      </c>
      <c r="D737" s="1" t="s">
        <v>39</v>
      </c>
      <c r="E737" s="1" t="s">
        <v>45</v>
      </c>
      <c r="F737" s="1" t="s">
        <v>42</v>
      </c>
      <c r="G737" s="1">
        <v>886</v>
      </c>
      <c r="H737" s="1">
        <f>'1_Departamento_n'!C15</f>
        <v>569685</v>
      </c>
      <c r="I737" s="1">
        <f>'1_Departamento_n'!H15</f>
        <v>1311</v>
      </c>
      <c r="J737" s="1">
        <f>'0_Parametros'!B7</f>
        <v>10</v>
      </c>
      <c r="K737" s="3">
        <f>(I737-SUM($J$730:$J$785))*G737/H737</f>
        <v>1.167989327435337</v>
      </c>
      <c r="L737" s="1">
        <f>INT(K737)</f>
        <v>1</v>
      </c>
      <c r="M737" s="3">
        <f>K737-L737</f>
        <v>0.167989327435337</v>
      </c>
      <c r="N737" s="1">
        <f>COUNTIF($M$730:$M$785,"&gt;"&amp;M737)+COUNTIF($M$730:M737,M737)</f>
        <v>51</v>
      </c>
      <c r="O737" s="1">
        <f>J737+L737+IF(N737&lt;=I737-SUM($J$730:$J$785)-SUM($L$730:$L$785),1,0)</f>
        <v>11</v>
      </c>
    </row>
    <row r="738" spans="1:15">
      <c r="A738" s="1" t="s">
        <v>60</v>
      </c>
      <c r="B738" s="1" t="s">
        <v>65</v>
      </c>
      <c r="C738" s="1" t="s">
        <v>38</v>
      </c>
      <c r="D738" s="1" t="s">
        <v>39</v>
      </c>
      <c r="E738" s="1" t="s">
        <v>46</v>
      </c>
      <c r="F738" s="1" t="s">
        <v>41</v>
      </c>
      <c r="G738" s="1">
        <v>21387</v>
      </c>
      <c r="H738" s="1">
        <f>'1_Departamento_n'!C15</f>
        <v>569685</v>
      </c>
      <c r="I738" s="1">
        <f>'1_Departamento_n'!H15</f>
        <v>1311</v>
      </c>
      <c r="J738" s="1">
        <f>'0_Parametros'!B7</f>
        <v>10</v>
      </c>
      <c r="K738" s="3">
        <f>(I738-SUM($J$730:$J$785))*G738/H738</f>
        <v>28.193891361015297</v>
      </c>
      <c r="L738" s="1">
        <f>INT(K738)</f>
        <v>28</v>
      </c>
      <c r="M738" s="3">
        <f>K738-L738</f>
        <v>0.19389136101529658</v>
      </c>
      <c r="N738" s="1">
        <f>COUNTIF($M$730:$M$785,"&gt;"&amp;M738)+COUNTIF($M$730:M738,M738)</f>
        <v>48</v>
      </c>
      <c r="O738" s="1">
        <f>J738+L738+IF(N738&lt;=I738-SUM($J$730:$J$785)-SUM($L$730:$L$785),1,0)</f>
        <v>38</v>
      </c>
    </row>
    <row r="739" spans="1:15">
      <c r="A739" s="1" t="s">
        <v>60</v>
      </c>
      <c r="B739" s="1" t="s">
        <v>65</v>
      </c>
      <c r="C739" s="1" t="s">
        <v>38</v>
      </c>
      <c r="D739" s="1" t="s">
        <v>39</v>
      </c>
      <c r="E739" s="1" t="s">
        <v>46</v>
      </c>
      <c r="F739" s="1" t="s">
        <v>42</v>
      </c>
      <c r="G739" s="1">
        <v>721</v>
      </c>
      <c r="H739" s="1">
        <f>'1_Departamento_n'!C15</f>
        <v>569685</v>
      </c>
      <c r="I739" s="1">
        <f>'1_Departamento_n'!H15</f>
        <v>1311</v>
      </c>
      <c r="J739" s="1">
        <f>'0_Parametros'!B7</f>
        <v>10</v>
      </c>
      <c r="K739" s="3">
        <f>(I739-SUM($J$730:$J$785))*G739/H739</f>
        <v>0.950474384967131</v>
      </c>
      <c r="L739" s="1">
        <f>INT(K739)</f>
        <v>0</v>
      </c>
      <c r="M739" s="3">
        <f>K739-L739</f>
        <v>0.950474384967131</v>
      </c>
      <c r="N739" s="1">
        <f>COUNTIF($M$730:$M$785,"&gt;"&amp;M739)+COUNTIF($M$730:M739,M739)</f>
        <v>3</v>
      </c>
      <c r="O739" s="1">
        <f>J739+L739+IF(N739&lt;=I739-SUM($J$730:$J$785)-SUM($L$730:$L$785),1,0)</f>
        <v>11</v>
      </c>
    </row>
    <row r="740" spans="1:15">
      <c r="A740" s="1" t="s">
        <v>60</v>
      </c>
      <c r="B740" s="1" t="s">
        <v>65</v>
      </c>
      <c r="C740" s="1" t="s">
        <v>38</v>
      </c>
      <c r="D740" s="1" t="s">
        <v>39</v>
      </c>
      <c r="E740" s="1" t="s">
        <v>47</v>
      </c>
      <c r="F740" s="1" t="s">
        <v>41</v>
      </c>
      <c r="G740" s="1">
        <v>18868</v>
      </c>
      <c r="H740" s="1">
        <f>'1_Departamento_n'!C15</f>
        <v>569685</v>
      </c>
      <c r="I740" s="1">
        <f>'1_Departamento_n'!H15</f>
        <v>1311</v>
      </c>
      <c r="J740" s="1">
        <f>'0_Parametros'!B7</f>
        <v>10</v>
      </c>
      <c r="K740" s="3">
        <f>(I740-SUM($J$730:$J$785))*G740/H740</f>
        <v>24.87316323933402</v>
      </c>
      <c r="L740" s="1">
        <f>INT(K740)</f>
        <v>24</v>
      </c>
      <c r="M740" s="3">
        <f>K740-L740</f>
        <v>0.8731632393340192</v>
      </c>
      <c r="N740" s="1">
        <f>COUNTIF($M$730:$M$785,"&gt;"&amp;M740)+COUNTIF($M$730:M740,M740)</f>
        <v>8</v>
      </c>
      <c r="O740" s="1">
        <f>J740+L740+IF(N740&lt;=I740-SUM($J$730:$J$785)-SUM($L$730:$L$785),1,0)</f>
        <v>35</v>
      </c>
    </row>
    <row r="741" spans="1:15">
      <c r="A741" s="1" t="s">
        <v>60</v>
      </c>
      <c r="B741" s="1" t="s">
        <v>65</v>
      </c>
      <c r="C741" s="1" t="s">
        <v>38</v>
      </c>
      <c r="D741" s="1" t="s">
        <v>39</v>
      </c>
      <c r="E741" s="1" t="s">
        <v>47</v>
      </c>
      <c r="F741" s="1" t="s">
        <v>42</v>
      </c>
      <c r="G741" s="1">
        <v>559</v>
      </c>
      <c r="H741" s="1">
        <f>'1_Departamento_n'!C15</f>
        <v>569685</v>
      </c>
      <c r="I741" s="1">
        <f>'1_Departamento_n'!H15</f>
        <v>1311</v>
      </c>
      <c r="J741" s="1">
        <f>'0_Parametros'!B7</f>
        <v>10</v>
      </c>
      <c r="K741" s="3">
        <f>(I741-SUM($J$730:$J$785))*G741/H741</f>
        <v>0.7369142596347104</v>
      </c>
      <c r="L741" s="1">
        <f>INT(K741)</f>
        <v>0</v>
      </c>
      <c r="M741" s="3">
        <f>K741-L741</f>
        <v>0.7369142596347104</v>
      </c>
      <c r="N741" s="1">
        <f>COUNTIF($M$730:$M$785,"&gt;"&amp;M741)+COUNTIF($M$730:M741,M741)</f>
        <v>12</v>
      </c>
      <c r="O741" s="1">
        <f>J741+L741+IF(N741&lt;=I741-SUM($J$730:$J$785)-SUM($L$730:$L$785),1,0)</f>
        <v>11</v>
      </c>
    </row>
    <row r="742" spans="1:15">
      <c r="A742" s="1" t="s">
        <v>60</v>
      </c>
      <c r="B742" s="1" t="s">
        <v>65</v>
      </c>
      <c r="C742" s="1" t="s">
        <v>38</v>
      </c>
      <c r="D742" s="1" t="s">
        <v>39</v>
      </c>
      <c r="E742" s="1" t="s">
        <v>48</v>
      </c>
      <c r="F742" s="1" t="s">
        <v>41</v>
      </c>
      <c r="G742" s="1">
        <v>39591</v>
      </c>
      <c r="H742" s="1">
        <f>'1_Departamento_n'!C15</f>
        <v>569685</v>
      </c>
      <c r="I742" s="1">
        <f>'1_Departamento_n'!H15</f>
        <v>1311</v>
      </c>
      <c r="J742" s="1">
        <f>'0_Parametros'!B7</f>
        <v>10</v>
      </c>
      <c r="K742" s="3">
        <f>(I742-SUM($J$730:$J$785))*G742/H742</f>
        <v>52.19172174096211</v>
      </c>
      <c r="L742" s="1">
        <f>INT(K742)</f>
        <v>52</v>
      </c>
      <c r="M742" s="3">
        <f>K742-L742</f>
        <v>0.1917217409621088</v>
      </c>
      <c r="N742" s="1">
        <f>COUNTIF($M$730:$M$785,"&gt;"&amp;M742)+COUNTIF($M$730:M742,M742)</f>
        <v>49</v>
      </c>
      <c r="O742" s="1">
        <f>J742+L742+IF(N742&lt;=I742-SUM($J$730:$J$785)-SUM($L$730:$L$785),1,0)</f>
        <v>62</v>
      </c>
    </row>
    <row r="743" spans="1:15">
      <c r="A743" s="1" t="s">
        <v>60</v>
      </c>
      <c r="B743" s="1" t="s">
        <v>65</v>
      </c>
      <c r="C743" s="1" t="s">
        <v>38</v>
      </c>
      <c r="D743" s="1" t="s">
        <v>39</v>
      </c>
      <c r="E743" s="1" t="s">
        <v>48</v>
      </c>
      <c r="F743" s="1" t="s">
        <v>42</v>
      </c>
      <c r="G743" s="1">
        <v>953</v>
      </c>
      <c r="H743" s="1">
        <f>'1_Departamento_n'!C15</f>
        <v>569685</v>
      </c>
      <c r="I743" s="1">
        <f>'1_Departamento_n'!H15</f>
        <v>1311</v>
      </c>
      <c r="J743" s="1">
        <f>'0_Parametros'!B7</f>
        <v>10</v>
      </c>
      <c r="K743" s="3">
        <f>(I743-SUM($J$730:$J$785))*G743/H743</f>
        <v>1.2563135768012148</v>
      </c>
      <c r="L743" s="1">
        <f>INT(K743)</f>
        <v>1</v>
      </c>
      <c r="M743" s="3">
        <f>K743-L743</f>
        <v>0.2563135768012148</v>
      </c>
      <c r="N743" s="1">
        <f>COUNTIF($M$730:$M$785,"&gt;"&amp;M743)+COUNTIF($M$730:M743,M743)</f>
        <v>45</v>
      </c>
      <c r="O743" s="1">
        <f>J743+L743+IF(N743&lt;=I743-SUM($J$730:$J$785)-SUM($L$730:$L$785),1,0)</f>
        <v>11</v>
      </c>
    </row>
    <row r="744" spans="1:15">
      <c r="A744" s="1" t="s">
        <v>60</v>
      </c>
      <c r="B744" s="1" t="s">
        <v>65</v>
      </c>
      <c r="C744" s="1" t="s">
        <v>38</v>
      </c>
      <c r="D744" s="1" t="s">
        <v>49</v>
      </c>
      <c r="E744" s="1" t="s">
        <v>40</v>
      </c>
      <c r="F744" s="1" t="s">
        <v>41</v>
      </c>
      <c r="G744" s="1">
        <v>10148</v>
      </c>
      <c r="H744" s="1">
        <f>'1_Departamento_n'!C15</f>
        <v>569685</v>
      </c>
      <c r="I744" s="1">
        <f>'1_Departamento_n'!H15</f>
        <v>1311</v>
      </c>
      <c r="J744" s="1">
        <f>'0_Parametros'!B7</f>
        <v>10</v>
      </c>
      <c r="K744" s="3">
        <f>(I744-SUM($J$730:$J$785))*G744/H744</f>
        <v>13.377828097983974</v>
      </c>
      <c r="L744" s="1">
        <f>INT(K744)</f>
        <v>13</v>
      </c>
      <c r="M744" s="3">
        <f>K744-L744</f>
        <v>0.3778280979839739</v>
      </c>
      <c r="N744" s="1">
        <f>COUNTIF($M$730:$M$785,"&gt;"&amp;M744)+COUNTIF($M$730:M744,M744)</f>
        <v>37</v>
      </c>
      <c r="O744" s="1">
        <f>J744+L744+IF(N744&lt;=I744-SUM($J$730:$J$785)-SUM($L$730:$L$785),1,0)</f>
        <v>23</v>
      </c>
    </row>
    <row r="745" spans="1:15">
      <c r="A745" s="1" t="s">
        <v>60</v>
      </c>
      <c r="B745" s="1" t="s">
        <v>65</v>
      </c>
      <c r="C745" s="1" t="s">
        <v>38</v>
      </c>
      <c r="D745" s="1" t="s">
        <v>49</v>
      </c>
      <c r="E745" s="1" t="s">
        <v>40</v>
      </c>
      <c r="F745" s="1" t="s">
        <v>42</v>
      </c>
      <c r="G745" s="1">
        <v>666</v>
      </c>
      <c r="H745" s="1">
        <f>'1_Departamento_n'!C15</f>
        <v>569685</v>
      </c>
      <c r="I745" s="1">
        <f>'1_Departamento_n'!H15</f>
        <v>1311</v>
      </c>
      <c r="J745" s="1">
        <f>'0_Parametros'!B7</f>
        <v>10</v>
      </c>
      <c r="K745" s="3">
        <f>(I745-SUM($J$730:$J$785))*G745/H745</f>
        <v>0.8779694041443956</v>
      </c>
      <c r="L745" s="1">
        <f>INT(K745)</f>
        <v>0</v>
      </c>
      <c r="M745" s="3">
        <f>K745-L745</f>
        <v>0.8779694041443956</v>
      </c>
      <c r="N745" s="1">
        <f>COUNTIF($M$730:$M$785,"&gt;"&amp;M745)+COUNTIF($M$730:M745,M745)</f>
        <v>7</v>
      </c>
      <c r="O745" s="1">
        <f>J745+L745+IF(N745&lt;=I745-SUM($J$730:$J$785)-SUM($L$730:$L$785),1,0)</f>
        <v>11</v>
      </c>
    </row>
    <row r="746" spans="1:15">
      <c r="A746" s="1" t="s">
        <v>60</v>
      </c>
      <c r="B746" s="1" t="s">
        <v>65</v>
      </c>
      <c r="C746" s="1" t="s">
        <v>38</v>
      </c>
      <c r="D746" s="1" t="s">
        <v>49</v>
      </c>
      <c r="E746" s="1" t="s">
        <v>43</v>
      </c>
      <c r="F746" s="1" t="s">
        <v>41</v>
      </c>
      <c r="G746" s="1">
        <v>14410</v>
      </c>
      <c r="H746" s="1">
        <f>'1_Departamento_n'!C15</f>
        <v>569685</v>
      </c>
      <c r="I746" s="1">
        <f>'1_Departamento_n'!H15</f>
        <v>1311</v>
      </c>
      <c r="J746" s="1">
        <f>'0_Parametros'!B7</f>
        <v>10</v>
      </c>
      <c r="K746" s="3">
        <f>(I746-SUM($J$730:$J$785))*G746/H746</f>
        <v>18.99630497555667</v>
      </c>
      <c r="L746" s="1">
        <f>INT(K746)</f>
        <v>18</v>
      </c>
      <c r="M746" s="3">
        <f>K746-L746</f>
        <v>0.9963049755566686</v>
      </c>
      <c r="N746" s="1">
        <f>COUNTIF($M$730:$M$785,"&gt;"&amp;M746)+COUNTIF($M$730:M746,M746)</f>
        <v>1</v>
      </c>
      <c r="O746" s="1">
        <f>J746+L746+IF(N746&lt;=I746-SUM($J$730:$J$785)-SUM($L$730:$L$785),1,0)</f>
        <v>29</v>
      </c>
    </row>
    <row r="747" spans="1:15">
      <c r="A747" s="1" t="s">
        <v>60</v>
      </c>
      <c r="B747" s="1" t="s">
        <v>65</v>
      </c>
      <c r="C747" s="1" t="s">
        <v>38</v>
      </c>
      <c r="D747" s="1" t="s">
        <v>49</v>
      </c>
      <c r="E747" s="1" t="s">
        <v>43</v>
      </c>
      <c r="F747" s="1" t="s">
        <v>42</v>
      </c>
      <c r="G747" s="1">
        <v>676</v>
      </c>
      <c r="H747" s="1">
        <f>'1_Departamento_n'!C15</f>
        <v>569685</v>
      </c>
      <c r="I747" s="1">
        <f>'1_Departamento_n'!H15</f>
        <v>1311</v>
      </c>
      <c r="J747" s="1">
        <f>'0_Parametros'!B7</f>
        <v>10</v>
      </c>
      <c r="K747" s="3">
        <f>(I747-SUM($J$730:$J$785))*G747/H747</f>
        <v>0.8911521279303475</v>
      </c>
      <c r="L747" s="1">
        <f>INT(K747)</f>
        <v>0</v>
      </c>
      <c r="M747" s="3">
        <f>K747-L747</f>
        <v>0.8911521279303475</v>
      </c>
      <c r="N747" s="1">
        <f>COUNTIF($M$730:$M$785,"&gt;"&amp;M747)+COUNTIF($M$730:M747,M747)</f>
        <v>5</v>
      </c>
      <c r="O747" s="1">
        <f>J747+L747+IF(N747&lt;=I747-SUM($J$730:$J$785)-SUM($L$730:$L$785),1,0)</f>
        <v>11</v>
      </c>
    </row>
    <row r="748" spans="1:15">
      <c r="A748" s="1" t="s">
        <v>60</v>
      </c>
      <c r="B748" s="1" t="s">
        <v>65</v>
      </c>
      <c r="C748" s="1" t="s">
        <v>38</v>
      </c>
      <c r="D748" s="1" t="s">
        <v>49</v>
      </c>
      <c r="E748" s="1" t="s">
        <v>44</v>
      </c>
      <c r="F748" s="1" t="s">
        <v>41</v>
      </c>
      <c r="G748" s="1">
        <v>19939</v>
      </c>
      <c r="H748" s="1">
        <f>'1_Departamento_n'!C15</f>
        <v>569685</v>
      </c>
      <c r="I748" s="1">
        <f>'1_Departamento_n'!H15</f>
        <v>1311</v>
      </c>
      <c r="J748" s="1">
        <f>'0_Parametros'!B7</f>
        <v>10</v>
      </c>
      <c r="K748" s="3">
        <f>(I748-SUM($J$730:$J$785))*G748/H748</f>
        <v>26.285032956809466</v>
      </c>
      <c r="L748" s="1">
        <f>INT(K748)</f>
        <v>26</v>
      </c>
      <c r="M748" s="3">
        <f>K748-L748</f>
        <v>0.2850329568094665</v>
      </c>
      <c r="N748" s="1">
        <f>COUNTIF($M$730:$M$785,"&gt;"&amp;M748)+COUNTIF($M$730:M748,M748)</f>
        <v>44</v>
      </c>
      <c r="O748" s="1">
        <f>J748+L748+IF(N748&lt;=I748-SUM($J$730:$J$785)-SUM($L$730:$L$785),1,0)</f>
        <v>36</v>
      </c>
    </row>
    <row r="749" spans="1:15">
      <c r="A749" s="1" t="s">
        <v>60</v>
      </c>
      <c r="B749" s="1" t="s">
        <v>65</v>
      </c>
      <c r="C749" s="1" t="s">
        <v>38</v>
      </c>
      <c r="D749" s="1" t="s">
        <v>49</v>
      </c>
      <c r="E749" s="1" t="s">
        <v>44</v>
      </c>
      <c r="F749" s="1" t="s">
        <v>42</v>
      </c>
      <c r="G749" s="1">
        <v>1510</v>
      </c>
      <c r="H749" s="1">
        <f>'1_Departamento_n'!C15</f>
        <v>569685</v>
      </c>
      <c r="I749" s="1">
        <f>'1_Departamento_n'!H15</f>
        <v>1311</v>
      </c>
      <c r="J749" s="1">
        <f>'0_Parametros'!B7</f>
        <v>10</v>
      </c>
      <c r="K749" s="3">
        <f>(I749-SUM($J$730:$J$785))*G749/H749</f>
        <v>1.9905912916787347</v>
      </c>
      <c r="L749" s="1">
        <f>INT(K749)</f>
        <v>1</v>
      </c>
      <c r="M749" s="3">
        <f>K749-L749</f>
        <v>0.9905912916787347</v>
      </c>
      <c r="N749" s="1">
        <f>COUNTIF($M$730:$M$785,"&gt;"&amp;M749)+COUNTIF($M$730:M749,M749)</f>
        <v>2</v>
      </c>
      <c r="O749" s="1">
        <f>J749+L749+IF(N749&lt;=I749-SUM($J$730:$J$785)-SUM($L$730:$L$785),1,0)</f>
        <v>12</v>
      </c>
    </row>
    <row r="750" spans="1:15">
      <c r="A750" s="1" t="s">
        <v>60</v>
      </c>
      <c r="B750" s="1" t="s">
        <v>65</v>
      </c>
      <c r="C750" s="1" t="s">
        <v>38</v>
      </c>
      <c r="D750" s="1" t="s">
        <v>49</v>
      </c>
      <c r="E750" s="1" t="s">
        <v>45</v>
      </c>
      <c r="F750" s="1" t="s">
        <v>41</v>
      </c>
      <c r="G750" s="1">
        <v>21791</v>
      </c>
      <c r="H750" s="1">
        <f>'1_Departamento_n'!C15</f>
        <v>569685</v>
      </c>
      <c r="I750" s="1">
        <f>'1_Departamento_n'!H15</f>
        <v>1311</v>
      </c>
      <c r="J750" s="1">
        <f>'0_Parametros'!B7</f>
        <v>10</v>
      </c>
      <c r="K750" s="3">
        <f>(I750-SUM($J$730:$J$785))*G750/H750</f>
        <v>28.726473401967755</v>
      </c>
      <c r="L750" s="1">
        <f>INT(K750)</f>
        <v>28</v>
      </c>
      <c r="M750" s="3">
        <f>K750-L750</f>
        <v>0.7264734019677554</v>
      </c>
      <c r="N750" s="1">
        <f>COUNTIF($M$730:$M$785,"&gt;"&amp;M750)+COUNTIF($M$730:M750,M750)</f>
        <v>13</v>
      </c>
      <c r="O750" s="1">
        <f>J750+L750+IF(N750&lt;=I750-SUM($J$730:$J$785)-SUM($L$730:$L$785),1,0)</f>
        <v>39</v>
      </c>
    </row>
    <row r="751" spans="1:15">
      <c r="A751" s="1" t="s">
        <v>60</v>
      </c>
      <c r="B751" s="1" t="s">
        <v>65</v>
      </c>
      <c r="C751" s="1" t="s">
        <v>38</v>
      </c>
      <c r="D751" s="1" t="s">
        <v>49</v>
      </c>
      <c r="E751" s="1" t="s">
        <v>45</v>
      </c>
      <c r="F751" s="1" t="s">
        <v>42</v>
      </c>
      <c r="G751" s="1">
        <v>1110</v>
      </c>
      <c r="H751" s="1">
        <f>'1_Departamento_n'!C15</f>
        <v>569685</v>
      </c>
      <c r="I751" s="1">
        <f>'1_Departamento_n'!H15</f>
        <v>1311</v>
      </c>
      <c r="J751" s="1">
        <f>'0_Parametros'!B7</f>
        <v>10</v>
      </c>
      <c r="K751" s="3">
        <f>(I751-SUM($J$730:$J$785))*G751/H751</f>
        <v>1.4632823402406594</v>
      </c>
      <c r="L751" s="1">
        <f>INT(K751)</f>
        <v>1</v>
      </c>
      <c r="M751" s="3">
        <f>K751-L751</f>
        <v>0.4632823402406594</v>
      </c>
      <c r="N751" s="1">
        <f>COUNTIF($M$730:$M$785,"&gt;"&amp;M751)+COUNTIF($M$730:M751,M751)</f>
        <v>32</v>
      </c>
      <c r="O751" s="1">
        <f>J751+L751+IF(N751&lt;=I751-SUM($J$730:$J$785)-SUM($L$730:$L$785),1,0)</f>
        <v>11</v>
      </c>
    </row>
    <row r="752" spans="1:15">
      <c r="A752" s="1" t="s">
        <v>60</v>
      </c>
      <c r="B752" s="1" t="s">
        <v>65</v>
      </c>
      <c r="C752" s="1" t="s">
        <v>38</v>
      </c>
      <c r="D752" s="1" t="s">
        <v>49</v>
      </c>
      <c r="E752" s="1" t="s">
        <v>46</v>
      </c>
      <c r="F752" s="1" t="s">
        <v>41</v>
      </c>
      <c r="G752" s="1">
        <v>19980</v>
      </c>
      <c r="H752" s="1">
        <f>'1_Departamento_n'!C15</f>
        <v>569685</v>
      </c>
      <c r="I752" s="1">
        <f>'1_Departamento_n'!H15</f>
        <v>1311</v>
      </c>
      <c r="J752" s="1">
        <f>'0_Parametros'!B7</f>
        <v>10</v>
      </c>
      <c r="K752" s="3">
        <f>(I752-SUM($J$730:$J$785))*G752/H752</f>
        <v>26.339082124331867</v>
      </c>
      <c r="L752" s="1">
        <f>INT(K752)</f>
        <v>26</v>
      </c>
      <c r="M752" s="3">
        <f>K752-L752</f>
        <v>0.3390821243318669</v>
      </c>
      <c r="N752" s="1">
        <f>COUNTIF($M$730:$M$785,"&gt;"&amp;M752)+COUNTIF($M$730:M752,M752)</f>
        <v>38</v>
      </c>
      <c r="O752" s="1">
        <f>J752+L752+IF(N752&lt;=I752-SUM($J$730:$J$785)-SUM($L$730:$L$785),1,0)</f>
        <v>36</v>
      </c>
    </row>
    <row r="753" spans="1:15">
      <c r="A753" s="1" t="s">
        <v>60</v>
      </c>
      <c r="B753" s="1" t="s">
        <v>65</v>
      </c>
      <c r="C753" s="1" t="s">
        <v>38</v>
      </c>
      <c r="D753" s="1" t="s">
        <v>49</v>
      </c>
      <c r="E753" s="1" t="s">
        <v>46</v>
      </c>
      <c r="F753" s="1" t="s">
        <v>42</v>
      </c>
      <c r="G753" s="1">
        <v>925</v>
      </c>
      <c r="H753" s="1">
        <f>'1_Departamento_n'!C15</f>
        <v>569685</v>
      </c>
      <c r="I753" s="1">
        <f>'1_Departamento_n'!H15</f>
        <v>1311</v>
      </c>
      <c r="J753" s="1">
        <f>'0_Parametros'!B7</f>
        <v>10</v>
      </c>
      <c r="K753" s="3">
        <f>(I753-SUM($J$730:$J$785))*G753/H753</f>
        <v>1.2194019502005495</v>
      </c>
      <c r="L753" s="1">
        <f>INT(K753)</f>
        <v>1</v>
      </c>
      <c r="M753" s="3">
        <f>K753-L753</f>
        <v>0.21940195020054953</v>
      </c>
      <c r="N753" s="1">
        <f>COUNTIF($M$730:$M$785,"&gt;"&amp;M753)+COUNTIF($M$730:M753,M753)</f>
        <v>47</v>
      </c>
      <c r="O753" s="1">
        <f>J753+L753+IF(N753&lt;=I753-SUM($J$730:$J$785)-SUM($L$730:$L$785),1,0)</f>
        <v>11</v>
      </c>
    </row>
    <row r="754" spans="1:15">
      <c r="A754" s="1" t="s">
        <v>60</v>
      </c>
      <c r="B754" s="1" t="s">
        <v>65</v>
      </c>
      <c r="C754" s="1" t="s">
        <v>38</v>
      </c>
      <c r="D754" s="1" t="s">
        <v>49</v>
      </c>
      <c r="E754" s="1" t="s">
        <v>47</v>
      </c>
      <c r="F754" s="1" t="s">
        <v>41</v>
      </c>
      <c r="G754" s="1">
        <v>17067</v>
      </c>
      <c r="H754" s="1">
        <f>'1_Departamento_n'!C15</f>
        <v>569685</v>
      </c>
      <c r="I754" s="1">
        <f>'1_Departamento_n'!H15</f>
        <v>1311</v>
      </c>
      <c r="J754" s="1">
        <f>'0_Parametros'!B7</f>
        <v>10</v>
      </c>
      <c r="K754" s="3">
        <f>(I754-SUM($J$730:$J$785))*G754/H754</f>
        <v>22.498954685484083</v>
      </c>
      <c r="L754" s="1">
        <f>INT(K754)</f>
        <v>22</v>
      </c>
      <c r="M754" s="3">
        <f>K754-L754</f>
        <v>0.49895468548408317</v>
      </c>
      <c r="N754" s="1">
        <f>COUNTIF($M$730:$M$785,"&gt;"&amp;M754)+COUNTIF($M$730:M754,M754)</f>
        <v>30</v>
      </c>
      <c r="O754" s="1">
        <f>J754+L754+IF(N754&lt;=I754-SUM($J$730:$J$785)-SUM($L$730:$L$785),1,0)</f>
        <v>32</v>
      </c>
    </row>
    <row r="755" spans="1:15">
      <c r="A755" s="1" t="s">
        <v>60</v>
      </c>
      <c r="B755" s="1" t="s">
        <v>65</v>
      </c>
      <c r="C755" s="1" t="s">
        <v>38</v>
      </c>
      <c r="D755" s="1" t="s">
        <v>49</v>
      </c>
      <c r="E755" s="1" t="s">
        <v>47</v>
      </c>
      <c r="F755" s="1" t="s">
        <v>42</v>
      </c>
      <c r="G755" s="1">
        <v>772</v>
      </c>
      <c r="H755" s="1">
        <f>'1_Departamento_n'!C15</f>
        <v>569685</v>
      </c>
      <c r="I755" s="1">
        <f>'1_Departamento_n'!H15</f>
        <v>1311</v>
      </c>
      <c r="J755" s="1">
        <f>'0_Parametros'!B7</f>
        <v>10</v>
      </c>
      <c r="K755" s="3">
        <f>(I755-SUM($J$730:$J$785))*G755/H755</f>
        <v>1.0177062762754856</v>
      </c>
      <c r="L755" s="1">
        <f>INT(K755)</f>
        <v>1</v>
      </c>
      <c r="M755" s="3">
        <f>K755-L755</f>
        <v>0.0177062762754856</v>
      </c>
      <c r="N755" s="1">
        <f>COUNTIF($M$730:$M$785,"&gt;"&amp;M755)+COUNTIF($M$730:M755,M755)</f>
        <v>55</v>
      </c>
      <c r="O755" s="1">
        <f>J755+L755+IF(N755&lt;=I755-SUM($J$730:$J$785)-SUM($L$730:$L$785),1,0)</f>
        <v>11</v>
      </c>
    </row>
    <row r="756" spans="1:15">
      <c r="A756" s="1" t="s">
        <v>60</v>
      </c>
      <c r="B756" s="1" t="s">
        <v>65</v>
      </c>
      <c r="C756" s="1" t="s">
        <v>38</v>
      </c>
      <c r="D756" s="1" t="s">
        <v>49</v>
      </c>
      <c r="E756" s="1" t="s">
        <v>48</v>
      </c>
      <c r="F756" s="1" t="s">
        <v>41</v>
      </c>
      <c r="G756" s="1">
        <v>30833</v>
      </c>
      <c r="H756" s="1">
        <f>'1_Departamento_n'!C15</f>
        <v>569685</v>
      </c>
      <c r="I756" s="1">
        <f>'1_Departamento_n'!H15</f>
        <v>1311</v>
      </c>
      <c r="J756" s="1">
        <f>'0_Parametros'!B7</f>
        <v>10</v>
      </c>
      <c r="K756" s="3">
        <f>(I756-SUM($J$730:$J$785))*G756/H756</f>
        <v>40.646292249225446</v>
      </c>
      <c r="L756" s="1">
        <f>INT(K756)</f>
        <v>40</v>
      </c>
      <c r="M756" s="3">
        <f>K756-L756</f>
        <v>0.6462922492254464</v>
      </c>
      <c r="N756" s="1">
        <f>COUNTIF($M$730:$M$785,"&gt;"&amp;M756)+COUNTIF($M$730:M756,M756)</f>
        <v>18</v>
      </c>
      <c r="O756" s="1">
        <f>J756+L756+IF(N756&lt;=I756-SUM($J$730:$J$785)-SUM($L$730:$L$785),1,0)</f>
        <v>51</v>
      </c>
    </row>
    <row r="757" spans="1:15">
      <c r="A757" s="1" t="s">
        <v>60</v>
      </c>
      <c r="B757" s="1" t="s">
        <v>65</v>
      </c>
      <c r="C757" s="1" t="s">
        <v>38</v>
      </c>
      <c r="D757" s="1" t="s">
        <v>49</v>
      </c>
      <c r="E757" s="1" t="s">
        <v>48</v>
      </c>
      <c r="F757" s="1" t="s">
        <v>42</v>
      </c>
      <c r="G757" s="1">
        <v>1202</v>
      </c>
      <c r="H757" s="1">
        <f>'1_Departamento_n'!C15</f>
        <v>569685</v>
      </c>
      <c r="I757" s="1">
        <f>'1_Departamento_n'!H15</f>
        <v>1311</v>
      </c>
      <c r="J757" s="1">
        <f>'0_Parametros'!B7</f>
        <v>10</v>
      </c>
      <c r="K757" s="3">
        <f>(I757-SUM($J$730:$J$785))*G757/H757</f>
        <v>1.5845633990714167</v>
      </c>
      <c r="L757" s="1">
        <f>INT(K757)</f>
        <v>1</v>
      </c>
      <c r="M757" s="3">
        <f>K757-L757</f>
        <v>0.5845633990714167</v>
      </c>
      <c r="N757" s="1">
        <f>COUNTIF($M$730:$M$785,"&gt;"&amp;M757)+COUNTIF($M$730:M757,M757)</f>
        <v>22</v>
      </c>
      <c r="O757" s="1">
        <f>J757+L757+IF(N757&lt;=I757-SUM($J$730:$J$785)-SUM($L$730:$L$785),1,0)</f>
        <v>12</v>
      </c>
    </row>
    <row r="758" spans="1:15">
      <c r="A758" s="1" t="s">
        <v>60</v>
      </c>
      <c r="B758" s="1" t="s">
        <v>65</v>
      </c>
      <c r="C758" s="1" t="s">
        <v>50</v>
      </c>
      <c r="D758" s="1" t="s">
        <v>39</v>
      </c>
      <c r="E758" s="1" t="s">
        <v>40</v>
      </c>
      <c r="F758" s="1" t="s">
        <v>41</v>
      </c>
      <c r="G758" s="1">
        <v>11112</v>
      </c>
      <c r="H758" s="1">
        <f>'1_Departamento_n'!C15</f>
        <v>569685</v>
      </c>
      <c r="I758" s="1">
        <f>'1_Departamento_n'!H15</f>
        <v>1311</v>
      </c>
      <c r="J758" s="1">
        <f>'0_Parametros'!B7</f>
        <v>10</v>
      </c>
      <c r="K758" s="3">
        <f>(I758-SUM($J$730:$J$785))*G758/H758</f>
        <v>14.648642670949735</v>
      </c>
      <c r="L758" s="1">
        <f>INT(K758)</f>
        <v>14</v>
      </c>
      <c r="M758" s="3">
        <f>K758-L758</f>
        <v>0.6486426709497355</v>
      </c>
      <c r="N758" s="1">
        <f>COUNTIF($M$730:$M$785,"&gt;"&amp;M758)+COUNTIF($M$730:M758,M758)</f>
        <v>17</v>
      </c>
      <c r="O758" s="1">
        <f>J758+L758+IF(N758&lt;=I758-SUM($J$730:$J$785)-SUM($L$730:$L$785),1,0)</f>
        <v>25</v>
      </c>
    </row>
    <row r="759" spans="1:15">
      <c r="A759" s="1" t="s">
        <v>60</v>
      </c>
      <c r="B759" s="1" t="s">
        <v>65</v>
      </c>
      <c r="C759" s="1" t="s">
        <v>50</v>
      </c>
      <c r="D759" s="1" t="s">
        <v>39</v>
      </c>
      <c r="E759" s="1" t="s">
        <v>40</v>
      </c>
      <c r="F759" s="1" t="s">
        <v>42</v>
      </c>
      <c r="G759" s="1">
        <v>3986</v>
      </c>
      <c r="H759" s="1">
        <f>'1_Departamento_n'!C15</f>
        <v>569685</v>
      </c>
      <c r="I759" s="1">
        <f>'1_Departamento_n'!H15</f>
        <v>1311</v>
      </c>
      <c r="J759" s="1">
        <f>'0_Parametros'!B7</f>
        <v>10</v>
      </c>
      <c r="K759" s="3">
        <f>(I759-SUM($J$730:$J$785))*G759/H759</f>
        <v>5.254633701080421</v>
      </c>
      <c r="L759" s="1">
        <f>INT(K759)</f>
        <v>5</v>
      </c>
      <c r="M759" s="3">
        <f>K759-L759</f>
        <v>0.2546337010804214</v>
      </c>
      <c r="N759" s="1">
        <f>COUNTIF($M$730:$M$785,"&gt;"&amp;M759)+COUNTIF($M$730:M759,M759)</f>
        <v>46</v>
      </c>
      <c r="O759" s="1">
        <f>J759+L759+IF(N759&lt;=I759-SUM($J$730:$J$785)-SUM($L$730:$L$785),1,0)</f>
        <v>15</v>
      </c>
    </row>
    <row r="760" spans="1:15">
      <c r="A760" s="1" t="s">
        <v>60</v>
      </c>
      <c r="B760" s="1" t="s">
        <v>65</v>
      </c>
      <c r="C760" s="1" t="s">
        <v>50</v>
      </c>
      <c r="D760" s="1" t="s">
        <v>39</v>
      </c>
      <c r="E760" s="1" t="s">
        <v>43</v>
      </c>
      <c r="F760" s="1" t="s">
        <v>41</v>
      </c>
      <c r="G760" s="1">
        <v>15459</v>
      </c>
      <c r="H760" s="1">
        <f>'1_Departamento_n'!C15</f>
        <v>569685</v>
      </c>
      <c r="I760" s="1">
        <f>'1_Departamento_n'!H15</f>
        <v>1311</v>
      </c>
      <c r="J760" s="1">
        <f>'0_Parametros'!B7</f>
        <v>10</v>
      </c>
      <c r="K760" s="3">
        <f>(I760-SUM($J$730:$J$785))*G760/H760</f>
        <v>20.37917270070302</v>
      </c>
      <c r="L760" s="1">
        <f>INT(K760)</f>
        <v>20</v>
      </c>
      <c r="M760" s="3">
        <f>K760-L760</f>
        <v>0.37917270070301967</v>
      </c>
      <c r="N760" s="1">
        <f>COUNTIF($M$730:$M$785,"&gt;"&amp;M760)+COUNTIF($M$730:M760,M760)</f>
        <v>35</v>
      </c>
      <c r="O760" s="1">
        <f>J760+L760+IF(N760&lt;=I760-SUM($J$730:$J$785)-SUM($L$730:$L$785),1,0)</f>
        <v>30</v>
      </c>
    </row>
    <row r="761" spans="1:15">
      <c r="A761" s="1" t="s">
        <v>60</v>
      </c>
      <c r="B761" s="1" t="s">
        <v>65</v>
      </c>
      <c r="C761" s="1" t="s">
        <v>50</v>
      </c>
      <c r="D761" s="1" t="s">
        <v>39</v>
      </c>
      <c r="E761" s="1" t="s">
        <v>43</v>
      </c>
      <c r="F761" s="1" t="s">
        <v>42</v>
      </c>
      <c r="G761" s="1">
        <v>3576</v>
      </c>
      <c r="H761" s="1">
        <f>'1_Departamento_n'!C15</f>
        <v>569685</v>
      </c>
      <c r="I761" s="1">
        <f>'1_Departamento_n'!H15</f>
        <v>1311</v>
      </c>
      <c r="J761" s="1">
        <f>'0_Parametros'!B7</f>
        <v>10</v>
      </c>
      <c r="K761" s="3">
        <f>(I761-SUM($J$730:$J$785))*G761/H761</f>
        <v>4.714142025856394</v>
      </c>
      <c r="L761" s="1">
        <f>INT(K761)</f>
        <v>4</v>
      </c>
      <c r="M761" s="3">
        <f>K761-L761</f>
        <v>0.7141420258563942</v>
      </c>
      <c r="N761" s="1">
        <f>COUNTIF($M$730:$M$785,"&gt;"&amp;M761)+COUNTIF($M$730:M761,M761)</f>
        <v>14</v>
      </c>
      <c r="O761" s="1">
        <f>J761+L761+IF(N761&lt;=I761-SUM($J$730:$J$785)-SUM($L$730:$L$785),1,0)</f>
        <v>15</v>
      </c>
    </row>
    <row r="762" spans="1:15">
      <c r="A762" s="1" t="s">
        <v>60</v>
      </c>
      <c r="B762" s="1" t="s">
        <v>65</v>
      </c>
      <c r="C762" s="1" t="s">
        <v>50</v>
      </c>
      <c r="D762" s="1" t="s">
        <v>39</v>
      </c>
      <c r="E762" s="1" t="s">
        <v>44</v>
      </c>
      <c r="F762" s="1" t="s">
        <v>41</v>
      </c>
      <c r="G762" s="1">
        <v>18741</v>
      </c>
      <c r="H762" s="1">
        <f>'1_Departamento_n'!C15</f>
        <v>569685</v>
      </c>
      <c r="I762" s="1">
        <f>'1_Departamento_n'!H15</f>
        <v>1311</v>
      </c>
      <c r="J762" s="1">
        <f>'0_Parametros'!B7</f>
        <v>10</v>
      </c>
      <c r="K762" s="3">
        <f>(I762-SUM($J$730:$J$785))*G762/H762</f>
        <v>24.70574264725243</v>
      </c>
      <c r="L762" s="1">
        <f>INT(K762)</f>
        <v>24</v>
      </c>
      <c r="M762" s="3">
        <f>K762-L762</f>
        <v>0.7057426472524284</v>
      </c>
      <c r="N762" s="1">
        <f>COUNTIF($M$730:$M$785,"&gt;"&amp;M762)+COUNTIF($M$730:M762,M762)</f>
        <v>15</v>
      </c>
      <c r="O762" s="1">
        <f>J762+L762+IF(N762&lt;=I762-SUM($J$730:$J$785)-SUM($L$730:$L$785),1,0)</f>
        <v>35</v>
      </c>
    </row>
    <row r="763" spans="1:15">
      <c r="A763" s="1" t="s">
        <v>60</v>
      </c>
      <c r="B763" s="1" t="s">
        <v>65</v>
      </c>
      <c r="C763" s="1" t="s">
        <v>50</v>
      </c>
      <c r="D763" s="1" t="s">
        <v>39</v>
      </c>
      <c r="E763" s="1" t="s">
        <v>44</v>
      </c>
      <c r="F763" s="1" t="s">
        <v>42</v>
      </c>
      <c r="G763" s="1">
        <v>3878</v>
      </c>
      <c r="H763" s="1">
        <f>'1_Departamento_n'!C15</f>
        <v>569685</v>
      </c>
      <c r="I763" s="1">
        <f>'1_Departamento_n'!H15</f>
        <v>1311</v>
      </c>
      <c r="J763" s="1">
        <f>'0_Parametros'!B7</f>
        <v>10</v>
      </c>
      <c r="K763" s="3">
        <f>(I763-SUM($J$730:$J$785))*G763/H763</f>
        <v>5.112260284192141</v>
      </c>
      <c r="L763" s="1">
        <f>INT(K763)</f>
        <v>5</v>
      </c>
      <c r="M763" s="3">
        <f>K763-L763</f>
        <v>0.11226028419214096</v>
      </c>
      <c r="N763" s="1">
        <f>COUNTIF($M$730:$M$785,"&gt;"&amp;M763)+COUNTIF($M$730:M763,M763)</f>
        <v>52</v>
      </c>
      <c r="O763" s="1">
        <f>J763+L763+IF(N763&lt;=I763-SUM($J$730:$J$785)-SUM($L$730:$L$785),1,0)</f>
        <v>15</v>
      </c>
    </row>
    <row r="764" spans="1:15">
      <c r="A764" s="1" t="s">
        <v>60</v>
      </c>
      <c r="B764" s="1" t="s">
        <v>65</v>
      </c>
      <c r="C764" s="1" t="s">
        <v>50</v>
      </c>
      <c r="D764" s="1" t="s">
        <v>39</v>
      </c>
      <c r="E764" s="1" t="s">
        <v>45</v>
      </c>
      <c r="F764" s="1" t="s">
        <v>41</v>
      </c>
      <c r="G764" s="1">
        <v>17666</v>
      </c>
      <c r="H764" s="1">
        <f>'1_Departamento_n'!C15</f>
        <v>569685</v>
      </c>
      <c r="I764" s="1">
        <f>'1_Departamento_n'!H15</f>
        <v>1311</v>
      </c>
      <c r="J764" s="1">
        <f>'0_Parametros'!B7</f>
        <v>10</v>
      </c>
      <c r="K764" s="3">
        <f>(I764-SUM($J$730:$J$785))*G764/H764</f>
        <v>23.288599840262602</v>
      </c>
      <c r="L764" s="1">
        <f>INT(K764)</f>
        <v>23</v>
      </c>
      <c r="M764" s="3">
        <f>K764-L764</f>
        <v>0.2885998402626022</v>
      </c>
      <c r="N764" s="1">
        <f>COUNTIF($M$730:$M$785,"&gt;"&amp;M764)+COUNTIF($M$730:M764,M764)</f>
        <v>43</v>
      </c>
      <c r="O764" s="1">
        <f>J764+L764+IF(N764&lt;=I764-SUM($J$730:$J$785)-SUM($L$730:$L$785),1,0)</f>
        <v>33</v>
      </c>
    </row>
    <row r="765" spans="1:15">
      <c r="A765" s="1" t="s">
        <v>60</v>
      </c>
      <c r="B765" s="1" t="s">
        <v>65</v>
      </c>
      <c r="C765" s="1" t="s">
        <v>50</v>
      </c>
      <c r="D765" s="1" t="s">
        <v>39</v>
      </c>
      <c r="E765" s="1" t="s">
        <v>45</v>
      </c>
      <c r="F765" s="1" t="s">
        <v>42</v>
      </c>
      <c r="G765" s="1">
        <v>3441</v>
      </c>
      <c r="H765" s="1">
        <f>'1_Departamento_n'!C15</f>
        <v>569685</v>
      </c>
      <c r="I765" s="1">
        <f>'1_Departamento_n'!H15</f>
        <v>1311</v>
      </c>
      <c r="J765" s="1">
        <f>'0_Parametros'!B7</f>
        <v>10</v>
      </c>
      <c r="K765" s="3">
        <f>(I765-SUM($J$730:$J$785))*G765/H765</f>
        <v>4.536175254746044</v>
      </c>
      <c r="L765" s="1">
        <f>INT(K765)</f>
        <v>4</v>
      </c>
      <c r="M765" s="3">
        <f>K765-L765</f>
        <v>0.5361752547460439</v>
      </c>
      <c r="N765" s="1">
        <f>COUNTIF($M$730:$M$785,"&gt;"&amp;M765)+COUNTIF($M$730:M765,M765)</f>
        <v>26</v>
      </c>
      <c r="O765" s="1">
        <f>J765+L765+IF(N765&lt;=I765-SUM($J$730:$J$785)-SUM($L$730:$L$785),1,0)</f>
        <v>15</v>
      </c>
    </row>
    <row r="766" spans="1:15">
      <c r="A766" s="1" t="s">
        <v>60</v>
      </c>
      <c r="B766" s="1" t="s">
        <v>65</v>
      </c>
      <c r="C766" s="1" t="s">
        <v>50</v>
      </c>
      <c r="D766" s="1" t="s">
        <v>39</v>
      </c>
      <c r="E766" s="1" t="s">
        <v>46</v>
      </c>
      <c r="F766" s="1" t="s">
        <v>41</v>
      </c>
      <c r="G766" s="1">
        <v>15575</v>
      </c>
      <c r="H766" s="1">
        <f>'1_Departamento_n'!C15</f>
        <v>569685</v>
      </c>
      <c r="I766" s="1">
        <f>'1_Departamento_n'!H15</f>
        <v>1311</v>
      </c>
      <c r="J766" s="1">
        <f>'0_Parametros'!B7</f>
        <v>10</v>
      </c>
      <c r="K766" s="3">
        <f>(I766-SUM($J$730:$J$785))*G766/H766</f>
        <v>20.53209229662006</v>
      </c>
      <c r="L766" s="1">
        <f>INT(K766)</f>
        <v>20</v>
      </c>
      <c r="M766" s="3">
        <f>K766-L766</f>
        <v>0.5320922966200605</v>
      </c>
      <c r="N766" s="1">
        <f>COUNTIF($M$730:$M$785,"&gt;"&amp;M766)+COUNTIF($M$730:M766,M766)</f>
        <v>27</v>
      </c>
      <c r="O766" s="1">
        <f>J766+L766+IF(N766&lt;=I766-SUM($J$730:$J$785)-SUM($L$730:$L$785),1,0)</f>
        <v>31</v>
      </c>
    </row>
    <row r="767" spans="1:15">
      <c r="A767" s="1" t="s">
        <v>60</v>
      </c>
      <c r="B767" s="1" t="s">
        <v>65</v>
      </c>
      <c r="C767" s="1" t="s">
        <v>50</v>
      </c>
      <c r="D767" s="1" t="s">
        <v>39</v>
      </c>
      <c r="E767" s="1" t="s">
        <v>46</v>
      </c>
      <c r="F767" s="1" t="s">
        <v>42</v>
      </c>
      <c r="G767" s="1">
        <v>2752</v>
      </c>
      <c r="H767" s="1">
        <f>'1_Departamento_n'!C15</f>
        <v>569685</v>
      </c>
      <c r="I767" s="1">
        <f>'1_Departamento_n'!H15</f>
        <v>1311</v>
      </c>
      <c r="J767" s="1">
        <f>'0_Parametros'!B7</f>
        <v>10</v>
      </c>
      <c r="K767" s="3">
        <f>(I767-SUM($J$730:$J$785))*G767/H767</f>
        <v>3.627885585893959</v>
      </c>
      <c r="L767" s="1">
        <f>INT(K767)</f>
        <v>3</v>
      </c>
      <c r="M767" s="3">
        <f>K767-L767</f>
        <v>0.6278855858939592</v>
      </c>
      <c r="N767" s="1">
        <f>COUNTIF($M$730:$M$785,"&gt;"&amp;M767)+COUNTIF($M$730:M767,M767)</f>
        <v>19</v>
      </c>
      <c r="O767" s="1">
        <f>J767+L767+IF(N767&lt;=I767-SUM($J$730:$J$785)-SUM($L$730:$L$785),1,0)</f>
        <v>14</v>
      </c>
    </row>
    <row r="768" spans="1:15">
      <c r="A768" s="1" t="s">
        <v>60</v>
      </c>
      <c r="B768" s="1" t="s">
        <v>65</v>
      </c>
      <c r="C768" s="1" t="s">
        <v>50</v>
      </c>
      <c r="D768" s="1" t="s">
        <v>39</v>
      </c>
      <c r="E768" s="1" t="s">
        <v>47</v>
      </c>
      <c r="F768" s="1" t="s">
        <v>41</v>
      </c>
      <c r="G768" s="1">
        <v>15459</v>
      </c>
      <c r="H768" s="1">
        <f>'1_Departamento_n'!C15</f>
        <v>569685</v>
      </c>
      <c r="I768" s="1">
        <f>'1_Departamento_n'!H15</f>
        <v>1311</v>
      </c>
      <c r="J768" s="1">
        <f>'0_Parametros'!B7</f>
        <v>10</v>
      </c>
      <c r="K768" s="3">
        <f>(I768-SUM($J$730:$J$785))*G768/H768</f>
        <v>20.37917270070302</v>
      </c>
      <c r="L768" s="1">
        <f>INT(K768)</f>
        <v>20</v>
      </c>
      <c r="M768" s="3">
        <f>K768-L768</f>
        <v>0.37917270070301967</v>
      </c>
      <c r="N768" s="1">
        <f>COUNTIF($M$730:$M$785,"&gt;"&amp;M768)+COUNTIF($M$730:M768,M768)</f>
        <v>36</v>
      </c>
      <c r="O768" s="1">
        <f>J768+L768+IF(N768&lt;=I768-SUM($J$730:$J$785)-SUM($L$730:$L$785),1,0)</f>
        <v>30</v>
      </c>
    </row>
    <row r="769" spans="1:15">
      <c r="A769" s="1" t="s">
        <v>60</v>
      </c>
      <c r="B769" s="1" t="s">
        <v>65</v>
      </c>
      <c r="C769" s="1" t="s">
        <v>50</v>
      </c>
      <c r="D769" s="1" t="s">
        <v>39</v>
      </c>
      <c r="E769" s="1" t="s">
        <v>47</v>
      </c>
      <c r="F769" s="1" t="s">
        <v>42</v>
      </c>
      <c r="G769" s="1">
        <v>2414</v>
      </c>
      <c r="H769" s="1">
        <f>'1_Departamento_n'!C15</f>
        <v>569685</v>
      </c>
      <c r="I769" s="1">
        <f>'1_Departamento_n'!H15</f>
        <v>1311</v>
      </c>
      <c r="J769" s="1">
        <f>'0_Parametros'!B7</f>
        <v>10</v>
      </c>
      <c r="K769" s="3">
        <f>(I769-SUM($J$730:$J$785))*G769/H769</f>
        <v>3.182309521928785</v>
      </c>
      <c r="L769" s="1">
        <f>INT(K769)</f>
        <v>3</v>
      </c>
      <c r="M769" s="3">
        <f>K769-L769</f>
        <v>0.18230952192878513</v>
      </c>
      <c r="N769" s="1">
        <f>COUNTIF($M$730:$M$785,"&gt;"&amp;M769)+COUNTIF($M$730:M769,M769)</f>
        <v>50</v>
      </c>
      <c r="O769" s="1">
        <f>J769+L769+IF(N769&lt;=I769-SUM($J$730:$J$785)-SUM($L$730:$L$785),1,0)</f>
        <v>13</v>
      </c>
    </row>
    <row r="770" spans="1:15">
      <c r="A770" s="1" t="s">
        <v>60</v>
      </c>
      <c r="B770" s="1" t="s">
        <v>65</v>
      </c>
      <c r="C770" s="1" t="s">
        <v>50</v>
      </c>
      <c r="D770" s="1" t="s">
        <v>39</v>
      </c>
      <c r="E770" s="1" t="s">
        <v>48</v>
      </c>
      <c r="F770" s="1" t="s">
        <v>41</v>
      </c>
      <c r="G770" s="1">
        <v>26986</v>
      </c>
      <c r="H770" s="1">
        <f>'1_Departamento_n'!C15</f>
        <v>569685</v>
      </c>
      <c r="I770" s="1">
        <f>'1_Departamento_n'!H15</f>
        <v>1311</v>
      </c>
      <c r="J770" s="1">
        <f>'0_Parametros'!B7</f>
        <v>10</v>
      </c>
      <c r="K770" s="3">
        <f>(I770-SUM($J$730:$J$785))*G770/H770</f>
        <v>35.57489840876976</v>
      </c>
      <c r="L770" s="1">
        <f>INT(K770)</f>
        <v>35</v>
      </c>
      <c r="M770" s="3">
        <f>K770-L770</f>
        <v>0.5748984087697622</v>
      </c>
      <c r="N770" s="1">
        <f>COUNTIF($M$730:$M$785,"&gt;"&amp;M770)+COUNTIF($M$730:M770,M770)</f>
        <v>24</v>
      </c>
      <c r="O770" s="1">
        <f>J770+L770+IF(N770&lt;=I770-SUM($J$730:$J$785)-SUM($L$730:$L$785),1,0)</f>
        <v>46</v>
      </c>
    </row>
    <row r="771" spans="1:15">
      <c r="A771" s="1" t="s">
        <v>60</v>
      </c>
      <c r="B771" s="1" t="s">
        <v>65</v>
      </c>
      <c r="C771" s="1" t="s">
        <v>50</v>
      </c>
      <c r="D771" s="1" t="s">
        <v>39</v>
      </c>
      <c r="E771" s="1" t="s">
        <v>48</v>
      </c>
      <c r="F771" s="1" t="s">
        <v>42</v>
      </c>
      <c r="G771" s="1">
        <v>3797</v>
      </c>
      <c r="H771" s="1">
        <f>'1_Departamento_n'!C15</f>
        <v>569685</v>
      </c>
      <c r="I771" s="1">
        <f>'1_Departamento_n'!H15</f>
        <v>1311</v>
      </c>
      <c r="J771" s="1">
        <f>'0_Parametros'!B7</f>
        <v>10</v>
      </c>
      <c r="K771" s="3">
        <f>(I771-SUM($J$730:$J$785))*G771/H771</f>
        <v>5.005480221525931</v>
      </c>
      <c r="L771" s="1">
        <f>INT(K771)</f>
        <v>5</v>
      </c>
      <c r="M771" s="3">
        <f>K771-L771</f>
        <v>0.005480221525931306</v>
      </c>
      <c r="N771" s="1">
        <f>COUNTIF($M$730:$M$785,"&gt;"&amp;M771)+COUNTIF($M$730:M771,M771)</f>
        <v>56</v>
      </c>
      <c r="O771" s="1">
        <f>J771+L771+IF(N771&lt;=I771-SUM($J$730:$J$785)-SUM($L$730:$L$785),1,0)</f>
        <v>15</v>
      </c>
    </row>
    <row r="772" spans="1:15">
      <c r="A772" s="1" t="s">
        <v>60</v>
      </c>
      <c r="B772" s="1" t="s">
        <v>65</v>
      </c>
      <c r="C772" s="1" t="s">
        <v>50</v>
      </c>
      <c r="D772" s="1" t="s">
        <v>49</v>
      </c>
      <c r="E772" s="1" t="s">
        <v>40</v>
      </c>
      <c r="F772" s="1" t="s">
        <v>41</v>
      </c>
      <c r="G772" s="1">
        <v>11616</v>
      </c>
      <c r="H772" s="1">
        <f>'1_Departamento_n'!C15</f>
        <v>569685</v>
      </c>
      <c r="I772" s="1">
        <f>'1_Departamento_n'!H15</f>
        <v>1311</v>
      </c>
      <c r="J772" s="1">
        <f>'0_Parametros'!B7</f>
        <v>10</v>
      </c>
      <c r="K772" s="3">
        <f>(I772-SUM($J$730:$J$785))*G772/H772</f>
        <v>15.31305194976171</v>
      </c>
      <c r="L772" s="1">
        <f>INT(K772)</f>
        <v>15</v>
      </c>
      <c r="M772" s="3">
        <f>K772-L772</f>
        <v>0.3130519497617108</v>
      </c>
      <c r="N772" s="1">
        <f>COUNTIF($M$730:$M$785,"&gt;"&amp;M772)+COUNTIF($M$730:M772,M772)</f>
        <v>41</v>
      </c>
      <c r="O772" s="1">
        <f>J772+L772+IF(N772&lt;=I772-SUM($J$730:$J$785)-SUM($L$730:$L$785),1,0)</f>
        <v>25</v>
      </c>
    </row>
    <row r="773" spans="1:15">
      <c r="A773" s="1" t="s">
        <v>60</v>
      </c>
      <c r="B773" s="1" t="s">
        <v>65</v>
      </c>
      <c r="C773" s="1" t="s">
        <v>50</v>
      </c>
      <c r="D773" s="1" t="s">
        <v>49</v>
      </c>
      <c r="E773" s="1" t="s">
        <v>40</v>
      </c>
      <c r="F773" s="1" t="s">
        <v>42</v>
      </c>
      <c r="G773" s="1">
        <v>4031</v>
      </c>
      <c r="H773" s="1">
        <f>'1_Departamento_n'!C15</f>
        <v>569685</v>
      </c>
      <c r="I773" s="1">
        <f>'1_Departamento_n'!H15</f>
        <v>1311</v>
      </c>
      <c r="J773" s="1">
        <f>'0_Parametros'!B7</f>
        <v>10</v>
      </c>
      <c r="K773" s="3">
        <f>(I773-SUM($J$730:$J$785))*G773/H773</f>
        <v>5.313955958117205</v>
      </c>
      <c r="L773" s="1">
        <f>INT(K773)</f>
        <v>5</v>
      </c>
      <c r="M773" s="3">
        <f>K773-L773</f>
        <v>0.3139559581172051</v>
      </c>
      <c r="N773" s="1">
        <f>COUNTIF($M$730:$M$785,"&gt;"&amp;M773)+COUNTIF($M$730:M773,M773)</f>
        <v>40</v>
      </c>
      <c r="O773" s="1">
        <f>J773+L773+IF(N773&lt;=I773-SUM($J$730:$J$785)-SUM($L$730:$L$785),1,0)</f>
        <v>15</v>
      </c>
    </row>
    <row r="774" spans="1:15">
      <c r="A774" s="1" t="s">
        <v>60</v>
      </c>
      <c r="B774" s="1" t="s">
        <v>65</v>
      </c>
      <c r="C774" s="1" t="s">
        <v>50</v>
      </c>
      <c r="D774" s="1" t="s">
        <v>49</v>
      </c>
      <c r="E774" s="1" t="s">
        <v>43</v>
      </c>
      <c r="F774" s="1" t="s">
        <v>41</v>
      </c>
      <c r="G774" s="1">
        <v>16007</v>
      </c>
      <c r="H774" s="1">
        <f>'1_Departamento_n'!C15</f>
        <v>569685</v>
      </c>
      <c r="I774" s="1">
        <f>'1_Departamento_n'!H15</f>
        <v>1311</v>
      </c>
      <c r="J774" s="1">
        <f>'0_Parametros'!B7</f>
        <v>10</v>
      </c>
      <c r="K774" s="3">
        <f>(I774-SUM($J$730:$J$785))*G774/H774</f>
        <v>21.101585964173182</v>
      </c>
      <c r="L774" s="1">
        <f>INT(K774)</f>
        <v>21</v>
      </c>
      <c r="M774" s="3">
        <f>K774-L774</f>
        <v>0.10158596417318222</v>
      </c>
      <c r="N774" s="1">
        <f>COUNTIF($M$730:$M$785,"&gt;"&amp;M774)+COUNTIF($M$730:M774,M774)</f>
        <v>53</v>
      </c>
      <c r="O774" s="1">
        <f>J774+L774+IF(N774&lt;=I774-SUM($J$730:$J$785)-SUM($L$730:$L$785),1,0)</f>
        <v>31</v>
      </c>
    </row>
    <row r="775" spans="1:15">
      <c r="A775" s="1" t="s">
        <v>60</v>
      </c>
      <c r="B775" s="1" t="s">
        <v>65</v>
      </c>
      <c r="C775" s="1" t="s">
        <v>50</v>
      </c>
      <c r="D775" s="1" t="s">
        <v>49</v>
      </c>
      <c r="E775" s="1" t="s">
        <v>43</v>
      </c>
      <c r="F775" s="1" t="s">
        <v>42</v>
      </c>
      <c r="G775" s="1">
        <v>3701</v>
      </c>
      <c r="H775" s="1">
        <f>'1_Departamento_n'!C15</f>
        <v>569685</v>
      </c>
      <c r="I775" s="1">
        <f>'1_Departamento_n'!H15</f>
        <v>1311</v>
      </c>
      <c r="J775" s="1">
        <f>'0_Parametros'!B7</f>
        <v>10</v>
      </c>
      <c r="K775" s="3">
        <f>(I775-SUM($J$730:$J$785))*G775/H775</f>
        <v>4.878926073180793</v>
      </c>
      <c r="L775" s="1">
        <f>INT(K775)</f>
        <v>4</v>
      </c>
      <c r="M775" s="3">
        <f>K775-L775</f>
        <v>0.8789260731807929</v>
      </c>
      <c r="N775" s="1">
        <f>COUNTIF($M$730:$M$785,"&gt;"&amp;M775)+COUNTIF($M$730:M775,M775)</f>
        <v>6</v>
      </c>
      <c r="O775" s="1">
        <f>J775+L775+IF(N775&lt;=I775-SUM($J$730:$J$785)-SUM($L$730:$L$785),1,0)</f>
        <v>15</v>
      </c>
    </row>
    <row r="776" spans="1:15">
      <c r="A776" s="1" t="s">
        <v>60</v>
      </c>
      <c r="B776" s="1" t="s">
        <v>65</v>
      </c>
      <c r="C776" s="1" t="s">
        <v>50</v>
      </c>
      <c r="D776" s="1" t="s">
        <v>49</v>
      </c>
      <c r="E776" s="1" t="s">
        <v>44</v>
      </c>
      <c r="F776" s="1" t="s">
        <v>41</v>
      </c>
      <c r="G776" s="1">
        <v>16375</v>
      </c>
      <c r="H776" s="1">
        <f>'1_Departamento_n'!C15</f>
        <v>569685</v>
      </c>
      <c r="I776" s="1">
        <f>'1_Departamento_n'!H15</f>
        <v>1311</v>
      </c>
      <c r="J776" s="1">
        <f>'0_Parametros'!B7</f>
        <v>10</v>
      </c>
      <c r="K776" s="3">
        <f>(I776-SUM($J$730:$J$785))*G776/H776</f>
        <v>21.586710199496213</v>
      </c>
      <c r="L776" s="1">
        <f>INT(K776)</f>
        <v>21</v>
      </c>
      <c r="M776" s="3">
        <f>K776-L776</f>
        <v>0.5867101994962134</v>
      </c>
      <c r="N776" s="1">
        <f>COUNTIF($M$730:$M$785,"&gt;"&amp;M776)+COUNTIF($M$730:M776,M776)</f>
        <v>21</v>
      </c>
      <c r="O776" s="1">
        <f>J776+L776+IF(N776&lt;=I776-SUM($J$730:$J$785)-SUM($L$730:$L$785),1,0)</f>
        <v>32</v>
      </c>
    </row>
    <row r="777" spans="1:15">
      <c r="A777" s="1" t="s">
        <v>60</v>
      </c>
      <c r="B777" s="1" t="s">
        <v>65</v>
      </c>
      <c r="C777" s="1" t="s">
        <v>50</v>
      </c>
      <c r="D777" s="1" t="s">
        <v>49</v>
      </c>
      <c r="E777" s="1" t="s">
        <v>44</v>
      </c>
      <c r="F777" s="1" t="s">
        <v>42</v>
      </c>
      <c r="G777" s="1">
        <v>3620</v>
      </c>
      <c r="H777" s="1">
        <f>'1_Departamento_n'!C15</f>
        <v>569685</v>
      </c>
      <c r="I777" s="1">
        <f>'1_Departamento_n'!H15</f>
        <v>1311</v>
      </c>
      <c r="J777" s="1">
        <f>'0_Parametros'!B7</f>
        <v>10</v>
      </c>
      <c r="K777" s="3">
        <f>(I777-SUM($J$730:$J$785))*G777/H777</f>
        <v>4.772146010514582</v>
      </c>
      <c r="L777" s="1">
        <f>INT(K777)</f>
        <v>4</v>
      </c>
      <c r="M777" s="3">
        <f>K777-L777</f>
        <v>0.7721460105145823</v>
      </c>
      <c r="N777" s="1">
        <f>COUNTIF($M$730:$M$785,"&gt;"&amp;M777)+COUNTIF($M$730:M777,M777)</f>
        <v>10</v>
      </c>
      <c r="O777" s="1">
        <f>J777+L777+IF(N777&lt;=I777-SUM($J$730:$J$785)-SUM($L$730:$L$785),1,0)</f>
        <v>15</v>
      </c>
    </row>
    <row r="778" spans="1:15">
      <c r="A778" s="1" t="s">
        <v>60</v>
      </c>
      <c r="B778" s="1" t="s">
        <v>65</v>
      </c>
      <c r="C778" s="1" t="s">
        <v>50</v>
      </c>
      <c r="D778" s="1" t="s">
        <v>49</v>
      </c>
      <c r="E778" s="1" t="s">
        <v>45</v>
      </c>
      <c r="F778" s="1" t="s">
        <v>41</v>
      </c>
      <c r="G778" s="1">
        <v>14849</v>
      </c>
      <c r="H778" s="1">
        <f>'1_Departamento_n'!C15</f>
        <v>569685</v>
      </c>
      <c r="I778" s="1">
        <f>'1_Departamento_n'!H15</f>
        <v>1311</v>
      </c>
      <c r="J778" s="1">
        <f>'0_Parametros'!B7</f>
        <v>10</v>
      </c>
      <c r="K778" s="3">
        <f>(I778-SUM($J$730:$J$785))*G778/H778</f>
        <v>19.575026549759954</v>
      </c>
      <c r="L778" s="1">
        <f>INT(K778)</f>
        <v>19</v>
      </c>
      <c r="M778" s="3">
        <f>K778-L778</f>
        <v>0.5750265497599543</v>
      </c>
      <c r="N778" s="1">
        <f>COUNTIF($M$730:$M$785,"&gt;"&amp;M778)+COUNTIF($M$730:M778,M778)</f>
        <v>23</v>
      </c>
      <c r="O778" s="1">
        <f>J778+L778+IF(N778&lt;=I778-SUM($J$730:$J$785)-SUM($L$730:$L$785),1,0)</f>
        <v>30</v>
      </c>
    </row>
    <row r="779" spans="1:15">
      <c r="A779" s="1" t="s">
        <v>60</v>
      </c>
      <c r="B779" s="1" t="s">
        <v>65</v>
      </c>
      <c r="C779" s="1" t="s">
        <v>50</v>
      </c>
      <c r="D779" s="1" t="s">
        <v>49</v>
      </c>
      <c r="E779" s="1" t="s">
        <v>45</v>
      </c>
      <c r="F779" s="1" t="s">
        <v>42</v>
      </c>
      <c r="G779" s="1">
        <v>3415</v>
      </c>
      <c r="H779" s="1">
        <f>'1_Departamento_n'!C15</f>
        <v>569685</v>
      </c>
      <c r="I779" s="1">
        <f>'1_Departamento_n'!H15</f>
        <v>1311</v>
      </c>
      <c r="J779" s="1">
        <f>'0_Parametros'!B7</f>
        <v>10</v>
      </c>
      <c r="K779" s="3">
        <f>(I779-SUM($J$730:$J$785))*G779/H779</f>
        <v>4.501900172902569</v>
      </c>
      <c r="L779" s="1">
        <f>INT(K779)</f>
        <v>4</v>
      </c>
      <c r="M779" s="3">
        <f>K779-L779</f>
        <v>0.5019001729025687</v>
      </c>
      <c r="N779" s="1">
        <f>COUNTIF($M$730:$M$785,"&gt;"&amp;M779)+COUNTIF($M$730:M779,M779)</f>
        <v>29</v>
      </c>
      <c r="O779" s="1">
        <f>J779+L779+IF(N779&lt;=I779-SUM($J$730:$J$785)-SUM($L$730:$L$785),1,0)</f>
        <v>14</v>
      </c>
    </row>
    <row r="780" spans="1:15">
      <c r="A780" s="1" t="s">
        <v>60</v>
      </c>
      <c r="B780" s="1" t="s">
        <v>65</v>
      </c>
      <c r="C780" s="1" t="s">
        <v>50</v>
      </c>
      <c r="D780" s="1" t="s">
        <v>49</v>
      </c>
      <c r="E780" s="1" t="s">
        <v>46</v>
      </c>
      <c r="F780" s="1" t="s">
        <v>41</v>
      </c>
      <c r="G780" s="1">
        <v>11939</v>
      </c>
      <c r="H780" s="1">
        <f>'1_Departamento_n'!C15</f>
        <v>569685</v>
      </c>
      <c r="I780" s="1">
        <f>'1_Departamento_n'!H15</f>
        <v>1311</v>
      </c>
      <c r="J780" s="1">
        <f>'0_Parametros'!B7</f>
        <v>10</v>
      </c>
      <c r="K780" s="3">
        <f>(I780-SUM($J$730:$J$785))*G780/H780</f>
        <v>15.738853928047956</v>
      </c>
      <c r="L780" s="1">
        <f>INT(K780)</f>
        <v>15</v>
      </c>
      <c r="M780" s="3">
        <f>K780-L780</f>
        <v>0.7388539280479556</v>
      </c>
      <c r="N780" s="1">
        <f>COUNTIF($M$730:$M$785,"&gt;"&amp;M780)+COUNTIF($M$730:M780,M780)</f>
        <v>11</v>
      </c>
      <c r="O780" s="1">
        <f>J780+L780+IF(N780&lt;=I780-SUM($J$730:$J$785)-SUM($L$730:$L$785),1,0)</f>
        <v>26</v>
      </c>
    </row>
    <row r="781" spans="1:15">
      <c r="A781" s="1" t="s">
        <v>60</v>
      </c>
      <c r="B781" s="1" t="s">
        <v>65</v>
      </c>
      <c r="C781" s="1" t="s">
        <v>50</v>
      </c>
      <c r="D781" s="1" t="s">
        <v>49</v>
      </c>
      <c r="E781" s="1" t="s">
        <v>46</v>
      </c>
      <c r="F781" s="1" t="s">
        <v>42</v>
      </c>
      <c r="G781" s="1">
        <v>2724</v>
      </c>
      <c r="H781" s="1">
        <f>'1_Departamento_n'!C15</f>
        <v>569685</v>
      </c>
      <c r="I781" s="1">
        <f>'1_Departamento_n'!H15</f>
        <v>1311</v>
      </c>
      <c r="J781" s="1">
        <f>'0_Parametros'!B7</f>
        <v>10</v>
      </c>
      <c r="K781" s="3">
        <f>(I781-SUM($J$730:$J$785))*G781/H781</f>
        <v>3.5909739592932937</v>
      </c>
      <c r="L781" s="1">
        <f>INT(K781)</f>
        <v>3</v>
      </c>
      <c r="M781" s="3">
        <f>K781-L781</f>
        <v>0.5909739592932937</v>
      </c>
      <c r="N781" s="1">
        <f>COUNTIF($M$730:$M$785,"&gt;"&amp;M781)+COUNTIF($M$730:M781,M781)</f>
        <v>20</v>
      </c>
      <c r="O781" s="1">
        <f>J781+L781+IF(N781&lt;=I781-SUM($J$730:$J$785)-SUM($L$730:$L$785),1,0)</f>
        <v>14</v>
      </c>
    </row>
    <row r="782" spans="1:15">
      <c r="A782" s="1" t="s">
        <v>60</v>
      </c>
      <c r="B782" s="1" t="s">
        <v>65</v>
      </c>
      <c r="C782" s="1" t="s">
        <v>50</v>
      </c>
      <c r="D782" s="1" t="s">
        <v>49</v>
      </c>
      <c r="E782" s="1" t="s">
        <v>47</v>
      </c>
      <c r="F782" s="1" t="s">
        <v>41</v>
      </c>
      <c r="G782" s="1">
        <v>12156</v>
      </c>
      <c r="H782" s="1">
        <f>'1_Departamento_n'!C15</f>
        <v>569685</v>
      </c>
      <c r="I782" s="1">
        <f>'1_Departamento_n'!H15</f>
        <v>1311</v>
      </c>
      <c r="J782" s="1">
        <f>'0_Parametros'!B7</f>
        <v>10</v>
      </c>
      <c r="K782" s="3">
        <f>(I782-SUM($J$730:$J$785))*G782/H782</f>
        <v>16.024919034203112</v>
      </c>
      <c r="L782" s="1">
        <f>INT(K782)</f>
        <v>16</v>
      </c>
      <c r="M782" s="3">
        <f>K782-L782</f>
        <v>0.024919034203112034</v>
      </c>
      <c r="N782" s="1">
        <f>COUNTIF($M$730:$M$785,"&gt;"&amp;M782)+COUNTIF($M$730:M782,M782)</f>
        <v>54</v>
      </c>
      <c r="O782" s="1">
        <f>J782+L782+IF(N782&lt;=I782-SUM($J$730:$J$785)-SUM($L$730:$L$785),1,0)</f>
        <v>26</v>
      </c>
    </row>
    <row r="783" spans="1:15">
      <c r="A783" s="1" t="s">
        <v>60</v>
      </c>
      <c r="B783" s="1" t="s">
        <v>65</v>
      </c>
      <c r="C783" s="1" t="s">
        <v>50</v>
      </c>
      <c r="D783" s="1" t="s">
        <v>49</v>
      </c>
      <c r="E783" s="1" t="s">
        <v>47</v>
      </c>
      <c r="F783" s="1" t="s">
        <v>42</v>
      </c>
      <c r="G783" s="1">
        <v>2581</v>
      </c>
      <c r="H783" s="1">
        <f>'1_Departamento_n'!C15</f>
        <v>569685</v>
      </c>
      <c r="I783" s="1">
        <f>'1_Departamento_n'!H15</f>
        <v>1311</v>
      </c>
      <c r="J783" s="1">
        <f>'0_Parametros'!B7</f>
        <v>10</v>
      </c>
      <c r="K783" s="3">
        <f>(I783-SUM($J$730:$J$785))*G783/H783</f>
        <v>3.4024610091541816</v>
      </c>
      <c r="L783" s="1">
        <f>INT(K783)</f>
        <v>3</v>
      </c>
      <c r="M783" s="3">
        <f>K783-L783</f>
        <v>0.4024610091541816</v>
      </c>
      <c r="N783" s="1">
        <f>COUNTIF($M$730:$M$785,"&gt;"&amp;M783)+COUNTIF($M$730:M783,M783)</f>
        <v>33</v>
      </c>
      <c r="O783" s="1">
        <f>J783+L783+IF(N783&lt;=I783-SUM($J$730:$J$785)-SUM($L$730:$L$785),1,0)</f>
        <v>13</v>
      </c>
    </row>
    <row r="784" spans="1:15">
      <c r="A784" s="1" t="s">
        <v>60</v>
      </c>
      <c r="B784" s="1" t="s">
        <v>65</v>
      </c>
      <c r="C784" s="1" t="s">
        <v>50</v>
      </c>
      <c r="D784" s="1" t="s">
        <v>49</v>
      </c>
      <c r="E784" s="1" t="s">
        <v>48</v>
      </c>
      <c r="F784" s="1" t="s">
        <v>41</v>
      </c>
      <c r="G784" s="1">
        <v>24664</v>
      </c>
      <c r="H784" s="1">
        <f>'1_Departamento_n'!C15</f>
        <v>569685</v>
      </c>
      <c r="I784" s="1">
        <f>'1_Departamento_n'!H15</f>
        <v>1311</v>
      </c>
      <c r="J784" s="1">
        <f>'0_Parametros'!B7</f>
        <v>10</v>
      </c>
      <c r="K784" s="3">
        <f>(I784-SUM($J$730:$J$785))*G784/H784</f>
        <v>32.51386994567173</v>
      </c>
      <c r="L784" s="1">
        <f>INT(K784)</f>
        <v>32</v>
      </c>
      <c r="M784" s="3">
        <f>K784-L784</f>
        <v>0.5138699456717291</v>
      </c>
      <c r="N784" s="1">
        <f>COUNTIF($M$730:$M$785,"&gt;"&amp;M784)+COUNTIF($M$730:M784,M784)</f>
        <v>28</v>
      </c>
      <c r="O784" s="1">
        <f>J784+L784+IF(N784&lt;=I784-SUM($J$730:$J$785)-SUM($L$730:$L$785),1,0)</f>
        <v>43</v>
      </c>
    </row>
    <row r="785" spans="1:15">
      <c r="A785" s="1" t="s">
        <v>60</v>
      </c>
      <c r="B785" s="1" t="s">
        <v>65</v>
      </c>
      <c r="C785" s="1" t="s">
        <v>50</v>
      </c>
      <c r="D785" s="1" t="s">
        <v>49</v>
      </c>
      <c r="E785" s="1" t="s">
        <v>48</v>
      </c>
      <c r="F785" s="1" t="s">
        <v>42</v>
      </c>
      <c r="G785" s="1">
        <v>4807</v>
      </c>
      <c r="H785" s="1">
        <f>'1_Departamento_n'!C15</f>
        <v>569685</v>
      </c>
      <c r="I785" s="1">
        <f>'1_Departamento_n'!H15</f>
        <v>1311</v>
      </c>
      <c r="J785" s="1">
        <f>'0_Parametros'!B7</f>
        <v>10</v>
      </c>
      <c r="K785" s="3">
        <f>(I785-SUM($J$730:$J$785))*G785/H785</f>
        <v>6.336935323907071</v>
      </c>
      <c r="L785" s="1">
        <f>INT(K785)</f>
        <v>6</v>
      </c>
      <c r="M785" s="3">
        <f>K785-L785</f>
        <v>0.33693532390707137</v>
      </c>
      <c r="N785" s="1">
        <f>COUNTIF($M$730:$M$785,"&gt;"&amp;M785)+COUNTIF($M$730:M785,M785)</f>
        <v>39</v>
      </c>
      <c r="O785" s="1">
        <f>J785+L785+IF(N785&lt;=I785-SUM($J$730:$J$785)-SUM($L$730:$L$785),1,0)</f>
        <v>16</v>
      </c>
    </row>
    <row r="786" spans="1:15">
      <c r="A786" s="1" t="s">
        <v>60</v>
      </c>
      <c r="B786" s="1" t="s">
        <v>66</v>
      </c>
      <c r="C786" s="1" t="s">
        <v>38</v>
      </c>
      <c r="D786" s="1" t="s">
        <v>39</v>
      </c>
      <c r="E786" s="1" t="s">
        <v>40</v>
      </c>
      <c r="F786" s="1" t="s">
        <v>41</v>
      </c>
      <c r="G786" s="1">
        <v>19665</v>
      </c>
      <c r="H786" s="1">
        <f>'1_Departamento_n'!C16</f>
        <v>1076349</v>
      </c>
      <c r="I786" s="1">
        <f>'1_Departamento_n'!H16</f>
        <v>1312</v>
      </c>
      <c r="J786" s="1">
        <f>'0_Parametros'!B7</f>
        <v>10</v>
      </c>
      <c r="K786" s="3">
        <f>(I786-SUM($J$786:$J$841))*G786/H786</f>
        <v>13.73911249975612</v>
      </c>
      <c r="L786" s="1">
        <f>INT(K786)</f>
        <v>13</v>
      </c>
      <c r="M786" s="3">
        <f>K786-L786</f>
        <v>0.7391124997561196</v>
      </c>
      <c r="N786" s="1">
        <f>COUNTIF($M$786:$M$841,"&gt;"&amp;M786)+COUNTIF($M$786:M786,M786)</f>
        <v>17</v>
      </c>
      <c r="O786" s="1">
        <f>J786+L786+IF(N786&lt;=I786-SUM($J$786:$J$841)-SUM($L$786:$L$841),1,0)</f>
        <v>24</v>
      </c>
    </row>
    <row r="787" spans="1:15">
      <c r="A787" s="1" t="s">
        <v>60</v>
      </c>
      <c r="B787" s="1" t="s">
        <v>66</v>
      </c>
      <c r="C787" s="1" t="s">
        <v>38</v>
      </c>
      <c r="D787" s="1" t="s">
        <v>39</v>
      </c>
      <c r="E787" s="1" t="s">
        <v>40</v>
      </c>
      <c r="F787" s="1" t="s">
        <v>42</v>
      </c>
      <c r="G787" s="1">
        <v>1161</v>
      </c>
      <c r="H787" s="1">
        <f>'1_Departamento_n'!C16</f>
        <v>1076349</v>
      </c>
      <c r="I787" s="1">
        <f>'1_Departamento_n'!H16</f>
        <v>1312</v>
      </c>
      <c r="J787" s="1">
        <f>'0_Parametros'!B7</f>
        <v>10</v>
      </c>
      <c r="K787" s="3">
        <f>(I787-SUM($J$786:$J$841))*G787/H787</f>
        <v>0.8111421109695833</v>
      </c>
      <c r="L787" s="1">
        <f>INT(K787)</f>
        <v>0</v>
      </c>
      <c r="M787" s="3">
        <f>K787-L787</f>
        <v>0.8111421109695833</v>
      </c>
      <c r="N787" s="1">
        <f>COUNTIF($M$786:$M$841,"&gt;"&amp;M787)+COUNTIF($M$786:M787,M787)</f>
        <v>11</v>
      </c>
      <c r="O787" s="1">
        <f>J787+L787+IF(N787&lt;=I787-SUM($J$786:$J$841)-SUM($L$786:$L$841),1,0)</f>
        <v>11</v>
      </c>
    </row>
    <row r="788" spans="1:15">
      <c r="A788" s="1" t="s">
        <v>60</v>
      </c>
      <c r="B788" s="1" t="s">
        <v>66</v>
      </c>
      <c r="C788" s="1" t="s">
        <v>38</v>
      </c>
      <c r="D788" s="1" t="s">
        <v>39</v>
      </c>
      <c r="E788" s="1" t="s">
        <v>43</v>
      </c>
      <c r="F788" s="1" t="s">
        <v>41</v>
      </c>
      <c r="G788" s="1">
        <v>30594</v>
      </c>
      <c r="H788" s="1">
        <f>'1_Departamento_n'!C16</f>
        <v>1076349</v>
      </c>
      <c r="I788" s="1">
        <f>'1_Departamento_n'!H16</f>
        <v>1312</v>
      </c>
      <c r="J788" s="1">
        <f>'0_Parametros'!B7</f>
        <v>10</v>
      </c>
      <c r="K788" s="3">
        <f>(I788-SUM($J$786:$J$841))*G788/H788</f>
        <v>21.37474740999434</v>
      </c>
      <c r="L788" s="1">
        <f>INT(K788)</f>
        <v>21</v>
      </c>
      <c r="M788" s="3">
        <f>K788-L788</f>
        <v>0.37474740999434175</v>
      </c>
      <c r="N788" s="1">
        <f>COUNTIF($M$786:$M$841,"&gt;"&amp;M788)+COUNTIF($M$786:M788,M788)</f>
        <v>33</v>
      </c>
      <c r="O788" s="1">
        <f>J788+L788+IF(N788&lt;=I788-SUM($J$786:$J$841)-SUM($L$786:$L$841),1,0)</f>
        <v>31</v>
      </c>
    </row>
    <row r="789" spans="1:15">
      <c r="A789" s="1" t="s">
        <v>60</v>
      </c>
      <c r="B789" s="1" t="s">
        <v>66</v>
      </c>
      <c r="C789" s="1" t="s">
        <v>38</v>
      </c>
      <c r="D789" s="1" t="s">
        <v>39</v>
      </c>
      <c r="E789" s="1" t="s">
        <v>43</v>
      </c>
      <c r="F789" s="1" t="s">
        <v>42</v>
      </c>
      <c r="G789" s="1">
        <v>1238</v>
      </c>
      <c r="H789" s="1">
        <f>'1_Departamento_n'!C16</f>
        <v>1076349</v>
      </c>
      <c r="I789" s="1">
        <f>'1_Departamento_n'!H16</f>
        <v>1312</v>
      </c>
      <c r="J789" s="1">
        <f>'0_Parametros'!B7</f>
        <v>10</v>
      </c>
      <c r="K789" s="3">
        <f>(I789-SUM($J$786:$J$841))*G789/H789</f>
        <v>0.8649387884412956</v>
      </c>
      <c r="L789" s="1">
        <f>INT(K789)</f>
        <v>0</v>
      </c>
      <c r="M789" s="3">
        <f>K789-L789</f>
        <v>0.8649387884412956</v>
      </c>
      <c r="N789" s="1">
        <f>COUNTIF($M$786:$M$841,"&gt;"&amp;M789)+COUNTIF($M$786:M789,M789)</f>
        <v>8</v>
      </c>
      <c r="O789" s="1">
        <f>J789+L789+IF(N789&lt;=I789-SUM($J$786:$J$841)-SUM($L$786:$L$841),1,0)</f>
        <v>11</v>
      </c>
    </row>
    <row r="790" spans="1:15">
      <c r="A790" s="1" t="s">
        <v>60</v>
      </c>
      <c r="B790" s="1" t="s">
        <v>66</v>
      </c>
      <c r="C790" s="1" t="s">
        <v>38</v>
      </c>
      <c r="D790" s="1" t="s">
        <v>39</v>
      </c>
      <c r="E790" s="1" t="s">
        <v>44</v>
      </c>
      <c r="F790" s="1" t="s">
        <v>41</v>
      </c>
      <c r="G790" s="1">
        <v>41773</v>
      </c>
      <c r="H790" s="1">
        <f>'1_Departamento_n'!C16</f>
        <v>1076349</v>
      </c>
      <c r="I790" s="1">
        <f>'1_Departamento_n'!H16</f>
        <v>1312</v>
      </c>
      <c r="J790" s="1">
        <f>'0_Parametros'!B7</f>
        <v>10</v>
      </c>
      <c r="K790" s="3">
        <f>(I790-SUM($J$786:$J$841))*G790/H790</f>
        <v>29.185046857478383</v>
      </c>
      <c r="L790" s="1">
        <f>INT(K790)</f>
        <v>29</v>
      </c>
      <c r="M790" s="3">
        <f>K790-L790</f>
        <v>0.18504685747838323</v>
      </c>
      <c r="N790" s="1">
        <f>COUNTIF($M$786:$M$841,"&gt;"&amp;M790)+COUNTIF($M$786:M790,M790)</f>
        <v>41</v>
      </c>
      <c r="O790" s="1">
        <f>J790+L790+IF(N790&lt;=I790-SUM($J$786:$J$841)-SUM($L$786:$L$841),1,0)</f>
        <v>39</v>
      </c>
    </row>
    <row r="791" spans="1:15">
      <c r="A791" s="1" t="s">
        <v>60</v>
      </c>
      <c r="B791" s="1" t="s">
        <v>66</v>
      </c>
      <c r="C791" s="1" t="s">
        <v>38</v>
      </c>
      <c r="D791" s="1" t="s">
        <v>39</v>
      </c>
      <c r="E791" s="1" t="s">
        <v>44</v>
      </c>
      <c r="F791" s="1" t="s">
        <v>42</v>
      </c>
      <c r="G791" s="1">
        <v>2968</v>
      </c>
      <c r="H791" s="1">
        <f>'1_Departamento_n'!C16</f>
        <v>1076349</v>
      </c>
      <c r="I791" s="1">
        <f>'1_Departamento_n'!H16</f>
        <v>1312</v>
      </c>
      <c r="J791" s="1">
        <f>'0_Parametros'!B7</f>
        <v>10</v>
      </c>
      <c r="K791" s="3">
        <f>(I791-SUM($J$786:$J$841))*G791/H791</f>
        <v>2.0736173861823626</v>
      </c>
      <c r="L791" s="1">
        <f>INT(K791)</f>
        <v>2</v>
      </c>
      <c r="M791" s="3">
        <f>K791-L791</f>
        <v>0.07361738618236258</v>
      </c>
      <c r="N791" s="1">
        <f>COUNTIF($M$786:$M$841,"&gt;"&amp;M791)+COUNTIF($M$786:M791,M791)</f>
        <v>53</v>
      </c>
      <c r="O791" s="1">
        <f>J791+L791+IF(N791&lt;=I791-SUM($J$786:$J$841)-SUM($L$786:$L$841),1,0)</f>
        <v>12</v>
      </c>
    </row>
    <row r="792" spans="1:15">
      <c r="A792" s="1" t="s">
        <v>60</v>
      </c>
      <c r="B792" s="1" t="s">
        <v>66</v>
      </c>
      <c r="C792" s="1" t="s">
        <v>38</v>
      </c>
      <c r="D792" s="1" t="s">
        <v>39</v>
      </c>
      <c r="E792" s="1" t="s">
        <v>45</v>
      </c>
      <c r="F792" s="1" t="s">
        <v>41</v>
      </c>
      <c r="G792" s="1">
        <v>48381</v>
      </c>
      <c r="H792" s="1">
        <f>'1_Departamento_n'!C16</f>
        <v>1076349</v>
      </c>
      <c r="I792" s="1">
        <f>'1_Departamento_n'!H16</f>
        <v>1312</v>
      </c>
      <c r="J792" s="1">
        <f>'0_Parametros'!B7</f>
        <v>10</v>
      </c>
      <c r="K792" s="3">
        <f>(I792-SUM($J$786:$J$841))*G792/H792</f>
        <v>33.80177990595987</v>
      </c>
      <c r="L792" s="1">
        <f>INT(K792)</f>
        <v>33</v>
      </c>
      <c r="M792" s="3">
        <f>K792-L792</f>
        <v>0.8017799059598687</v>
      </c>
      <c r="N792" s="1">
        <f>COUNTIF($M$786:$M$841,"&gt;"&amp;M792)+COUNTIF($M$786:M792,M792)</f>
        <v>13</v>
      </c>
      <c r="O792" s="1">
        <f>J792+L792+IF(N792&lt;=I792-SUM($J$786:$J$841)-SUM($L$786:$L$841),1,0)</f>
        <v>44</v>
      </c>
    </row>
    <row r="793" spans="1:15">
      <c r="A793" s="1" t="s">
        <v>60</v>
      </c>
      <c r="B793" s="1" t="s">
        <v>66</v>
      </c>
      <c r="C793" s="1" t="s">
        <v>38</v>
      </c>
      <c r="D793" s="1" t="s">
        <v>39</v>
      </c>
      <c r="E793" s="1" t="s">
        <v>45</v>
      </c>
      <c r="F793" s="1" t="s">
        <v>42</v>
      </c>
      <c r="G793" s="1">
        <v>2076</v>
      </c>
      <c r="H793" s="1">
        <f>'1_Departamento_n'!C16</f>
        <v>1076349</v>
      </c>
      <c r="I793" s="1">
        <f>'1_Departamento_n'!H16</f>
        <v>1312</v>
      </c>
      <c r="J793" s="1">
        <f>'0_Parametros'!B7</f>
        <v>10</v>
      </c>
      <c r="K793" s="3">
        <f>(I793-SUM($J$786:$J$841))*G793/H793</f>
        <v>1.4504143172892807</v>
      </c>
      <c r="L793" s="1">
        <f>INT(K793)</f>
        <v>1</v>
      </c>
      <c r="M793" s="3">
        <f>K793-L793</f>
        <v>0.4504143172892807</v>
      </c>
      <c r="N793" s="1">
        <f>COUNTIF($M$786:$M$841,"&gt;"&amp;M793)+COUNTIF($M$786:M793,M793)</f>
        <v>28</v>
      </c>
      <c r="O793" s="1">
        <f>J793+L793+IF(N793&lt;=I793-SUM($J$786:$J$841)-SUM($L$786:$L$841),1,0)</f>
        <v>11</v>
      </c>
    </row>
    <row r="794" spans="1:15">
      <c r="A794" s="1" t="s">
        <v>60</v>
      </c>
      <c r="B794" s="1" t="s">
        <v>66</v>
      </c>
      <c r="C794" s="1" t="s">
        <v>38</v>
      </c>
      <c r="D794" s="1" t="s">
        <v>39</v>
      </c>
      <c r="E794" s="1" t="s">
        <v>46</v>
      </c>
      <c r="F794" s="1" t="s">
        <v>41</v>
      </c>
      <c r="G794" s="1">
        <v>43196</v>
      </c>
      <c r="H794" s="1">
        <f>'1_Departamento_n'!C16</f>
        <v>1076349</v>
      </c>
      <c r="I794" s="1">
        <f>'1_Departamento_n'!H16</f>
        <v>1312</v>
      </c>
      <c r="J794" s="1">
        <f>'0_Parametros'!B7</f>
        <v>10</v>
      </c>
      <c r="K794" s="3">
        <f>(I794-SUM($J$786:$J$841))*G794/H794</f>
        <v>30.179237403481583</v>
      </c>
      <c r="L794" s="1">
        <f>INT(K794)</f>
        <v>30</v>
      </c>
      <c r="M794" s="3">
        <f>K794-L794</f>
        <v>0.1792374034815829</v>
      </c>
      <c r="N794" s="1">
        <f>COUNTIF($M$786:$M$841,"&gt;"&amp;M794)+COUNTIF($M$786:M794,M794)</f>
        <v>42</v>
      </c>
      <c r="O794" s="1">
        <f>J794+L794+IF(N794&lt;=I794-SUM($J$786:$J$841)-SUM($L$786:$L$841),1,0)</f>
        <v>40</v>
      </c>
    </row>
    <row r="795" spans="1:15">
      <c r="A795" s="1" t="s">
        <v>60</v>
      </c>
      <c r="B795" s="1" t="s">
        <v>66</v>
      </c>
      <c r="C795" s="1" t="s">
        <v>38</v>
      </c>
      <c r="D795" s="1" t="s">
        <v>39</v>
      </c>
      <c r="E795" s="1" t="s">
        <v>46</v>
      </c>
      <c r="F795" s="1" t="s">
        <v>42</v>
      </c>
      <c r="G795" s="1">
        <v>1469</v>
      </c>
      <c r="H795" s="1">
        <f>'1_Departamento_n'!C16</f>
        <v>1076349</v>
      </c>
      <c r="I795" s="1">
        <f>'1_Departamento_n'!H16</f>
        <v>1312</v>
      </c>
      <c r="J795" s="1">
        <f>'0_Parametros'!B7</f>
        <v>10</v>
      </c>
      <c r="K795" s="3">
        <f>(I795-SUM($J$786:$J$841))*G795/H795</f>
        <v>1.0263288208564323</v>
      </c>
      <c r="L795" s="1">
        <f>INT(K795)</f>
        <v>1</v>
      </c>
      <c r="M795" s="3">
        <f>K795-L795</f>
        <v>0.02632882085643229</v>
      </c>
      <c r="N795" s="1">
        <f>COUNTIF($M$786:$M$841,"&gt;"&amp;M795)+COUNTIF($M$786:M795,M795)</f>
        <v>56</v>
      </c>
      <c r="O795" s="1">
        <f>J795+L795+IF(N795&lt;=I795-SUM($J$786:$J$841)-SUM($L$786:$L$841),1,0)</f>
        <v>11</v>
      </c>
    </row>
    <row r="796" spans="1:15">
      <c r="A796" s="1" t="s">
        <v>60</v>
      </c>
      <c r="B796" s="1" t="s">
        <v>66</v>
      </c>
      <c r="C796" s="1" t="s">
        <v>38</v>
      </c>
      <c r="D796" s="1" t="s">
        <v>39</v>
      </c>
      <c r="E796" s="1" t="s">
        <v>47</v>
      </c>
      <c r="F796" s="1" t="s">
        <v>41</v>
      </c>
      <c r="G796" s="1">
        <v>35745</v>
      </c>
      <c r="H796" s="1">
        <f>'1_Departamento_n'!C16</f>
        <v>1076349</v>
      </c>
      <c r="I796" s="1">
        <f>'1_Departamento_n'!H16</f>
        <v>1312</v>
      </c>
      <c r="J796" s="1">
        <f>'0_Parametros'!B7</f>
        <v>10</v>
      </c>
      <c r="K796" s="3">
        <f>(I796-SUM($J$786:$J$841))*G796/H796</f>
        <v>24.973535535407198</v>
      </c>
      <c r="L796" s="1">
        <f>INT(K796)</f>
        <v>24</v>
      </c>
      <c r="M796" s="3">
        <f>K796-L796</f>
        <v>0.9735355354071977</v>
      </c>
      <c r="N796" s="1">
        <f>COUNTIF($M$786:$M$841,"&gt;"&amp;M796)+COUNTIF($M$786:M796,M796)</f>
        <v>3</v>
      </c>
      <c r="O796" s="1">
        <f>J796+L796+IF(N796&lt;=I796-SUM($J$786:$J$841)-SUM($L$786:$L$841),1,0)</f>
        <v>35</v>
      </c>
    </row>
    <row r="797" spans="1:15">
      <c r="A797" s="1" t="s">
        <v>60</v>
      </c>
      <c r="B797" s="1" t="s">
        <v>66</v>
      </c>
      <c r="C797" s="1" t="s">
        <v>38</v>
      </c>
      <c r="D797" s="1" t="s">
        <v>39</v>
      </c>
      <c r="E797" s="1" t="s">
        <v>47</v>
      </c>
      <c r="F797" s="1" t="s">
        <v>42</v>
      </c>
      <c r="G797" s="1">
        <v>1068</v>
      </c>
      <c r="H797" s="1">
        <f>'1_Departamento_n'!C16</f>
        <v>1076349</v>
      </c>
      <c r="I797" s="1">
        <f>'1_Departamento_n'!H16</f>
        <v>1312</v>
      </c>
      <c r="J797" s="1">
        <f>'0_Parametros'!B7</f>
        <v>10</v>
      </c>
      <c r="K797" s="3">
        <f>(I797-SUM($J$786:$J$841))*G797/H797</f>
        <v>0.7461669031141386</v>
      </c>
      <c r="L797" s="1">
        <f>INT(K797)</f>
        <v>0</v>
      </c>
      <c r="M797" s="3">
        <f>K797-L797</f>
        <v>0.7461669031141386</v>
      </c>
      <c r="N797" s="1">
        <f>COUNTIF($M$786:$M$841,"&gt;"&amp;M797)+COUNTIF($M$786:M797,M797)</f>
        <v>16</v>
      </c>
      <c r="O797" s="1">
        <f>J797+L797+IF(N797&lt;=I797-SUM($J$786:$J$841)-SUM($L$786:$L$841),1,0)</f>
        <v>11</v>
      </c>
    </row>
    <row r="798" spans="1:15">
      <c r="A798" s="1" t="s">
        <v>60</v>
      </c>
      <c r="B798" s="1" t="s">
        <v>66</v>
      </c>
      <c r="C798" s="1" t="s">
        <v>38</v>
      </c>
      <c r="D798" s="1" t="s">
        <v>39</v>
      </c>
      <c r="E798" s="1" t="s">
        <v>48</v>
      </c>
      <c r="F798" s="1" t="s">
        <v>41</v>
      </c>
      <c r="G798" s="1">
        <v>71212</v>
      </c>
      <c r="H798" s="1">
        <f>'1_Departamento_n'!C16</f>
        <v>1076349</v>
      </c>
      <c r="I798" s="1">
        <f>'1_Departamento_n'!H16</f>
        <v>1312</v>
      </c>
      <c r="J798" s="1">
        <f>'0_Parametros'!B7</f>
        <v>10</v>
      </c>
      <c r="K798" s="3">
        <f>(I798-SUM($J$786:$J$841))*G798/H798</f>
        <v>49.75284410539704</v>
      </c>
      <c r="L798" s="1">
        <f>INT(K798)</f>
        <v>49</v>
      </c>
      <c r="M798" s="3">
        <f>K798-L798</f>
        <v>0.7528441053970383</v>
      </c>
      <c r="N798" s="1">
        <f>COUNTIF($M$786:$M$841,"&gt;"&amp;M798)+COUNTIF($M$786:M798,M798)</f>
        <v>15</v>
      </c>
      <c r="O798" s="1">
        <f>J798+L798+IF(N798&lt;=I798-SUM($J$786:$J$841)-SUM($L$786:$L$841),1,0)</f>
        <v>60</v>
      </c>
    </row>
    <row r="799" spans="1:15">
      <c r="A799" s="1" t="s">
        <v>60</v>
      </c>
      <c r="B799" s="1" t="s">
        <v>66</v>
      </c>
      <c r="C799" s="1" t="s">
        <v>38</v>
      </c>
      <c r="D799" s="1" t="s">
        <v>39</v>
      </c>
      <c r="E799" s="1" t="s">
        <v>48</v>
      </c>
      <c r="F799" s="1" t="s">
        <v>42</v>
      </c>
      <c r="G799" s="1">
        <v>1677</v>
      </c>
      <c r="H799" s="1">
        <f>'1_Departamento_n'!C16</f>
        <v>1076349</v>
      </c>
      <c r="I799" s="1">
        <f>'1_Departamento_n'!H16</f>
        <v>1312</v>
      </c>
      <c r="J799" s="1">
        <f>'0_Parametros'!B7</f>
        <v>10</v>
      </c>
      <c r="K799" s="3">
        <f>(I799-SUM($J$786:$J$841))*G799/H799</f>
        <v>1.1716497158449537</v>
      </c>
      <c r="L799" s="1">
        <f>INT(K799)</f>
        <v>1</v>
      </c>
      <c r="M799" s="3">
        <f>K799-L799</f>
        <v>0.1716497158449537</v>
      </c>
      <c r="N799" s="1">
        <f>COUNTIF($M$786:$M$841,"&gt;"&amp;M799)+COUNTIF($M$786:M799,M799)</f>
        <v>43</v>
      </c>
      <c r="O799" s="1">
        <f>J799+L799+IF(N799&lt;=I799-SUM($J$786:$J$841)-SUM($L$786:$L$841),1,0)</f>
        <v>11</v>
      </c>
    </row>
    <row r="800" spans="1:15">
      <c r="A800" s="1" t="s">
        <v>60</v>
      </c>
      <c r="B800" s="1" t="s">
        <v>66</v>
      </c>
      <c r="C800" s="1" t="s">
        <v>38</v>
      </c>
      <c r="D800" s="1" t="s">
        <v>49</v>
      </c>
      <c r="E800" s="1" t="s">
        <v>40</v>
      </c>
      <c r="F800" s="1" t="s">
        <v>41</v>
      </c>
      <c r="G800" s="1">
        <v>20677</v>
      </c>
      <c r="H800" s="1">
        <f>'1_Departamento_n'!C16</f>
        <v>1076349</v>
      </c>
      <c r="I800" s="1">
        <f>'1_Departamento_n'!H16</f>
        <v>1312</v>
      </c>
      <c r="J800" s="1">
        <f>'0_Parametros'!B7</f>
        <v>10</v>
      </c>
      <c r="K800" s="3">
        <f>(I800-SUM($J$786:$J$841))*G800/H800</f>
        <v>14.446154546527195</v>
      </c>
      <c r="L800" s="1">
        <f>INT(K800)</f>
        <v>14</v>
      </c>
      <c r="M800" s="3">
        <f>K800-L800</f>
        <v>0.446154546527195</v>
      </c>
      <c r="N800" s="1">
        <f>COUNTIF($M$786:$M$841,"&gt;"&amp;M800)+COUNTIF($M$786:M800,M800)</f>
        <v>29</v>
      </c>
      <c r="O800" s="1">
        <f>J800+L800+IF(N800&lt;=I800-SUM($J$786:$J$841)-SUM($L$786:$L$841),1,0)</f>
        <v>24</v>
      </c>
    </row>
    <row r="801" spans="1:15">
      <c r="A801" s="1" t="s">
        <v>60</v>
      </c>
      <c r="B801" s="1" t="s">
        <v>66</v>
      </c>
      <c r="C801" s="1" t="s">
        <v>38</v>
      </c>
      <c r="D801" s="1" t="s">
        <v>49</v>
      </c>
      <c r="E801" s="1" t="s">
        <v>40</v>
      </c>
      <c r="F801" s="1" t="s">
        <v>42</v>
      </c>
      <c r="G801" s="1">
        <v>1183</v>
      </c>
      <c r="H801" s="1">
        <f>'1_Departamento_n'!C16</f>
        <v>1076349</v>
      </c>
      <c r="I801" s="1">
        <f>'1_Departamento_n'!H16</f>
        <v>1312</v>
      </c>
      <c r="J801" s="1">
        <f>'0_Parametros'!B7</f>
        <v>10</v>
      </c>
      <c r="K801" s="3">
        <f>(I801-SUM($J$786:$J$841))*G801/H801</f>
        <v>0.8265125902472154</v>
      </c>
      <c r="L801" s="1">
        <f>INT(K801)</f>
        <v>0</v>
      </c>
      <c r="M801" s="3">
        <f>K801-L801</f>
        <v>0.8265125902472154</v>
      </c>
      <c r="N801" s="1">
        <f>COUNTIF($M$786:$M$841,"&gt;"&amp;M801)+COUNTIF($M$786:M801,M801)</f>
        <v>10</v>
      </c>
      <c r="O801" s="1">
        <f>J801+L801+IF(N801&lt;=I801-SUM($J$786:$J$841)-SUM($L$786:$L$841),1,0)</f>
        <v>11</v>
      </c>
    </row>
    <row r="802" spans="1:15">
      <c r="A802" s="1" t="s">
        <v>60</v>
      </c>
      <c r="B802" s="1" t="s">
        <v>66</v>
      </c>
      <c r="C802" s="1" t="s">
        <v>38</v>
      </c>
      <c r="D802" s="1" t="s">
        <v>49</v>
      </c>
      <c r="E802" s="1" t="s">
        <v>43</v>
      </c>
      <c r="F802" s="1" t="s">
        <v>41</v>
      </c>
      <c r="G802" s="1">
        <v>31299</v>
      </c>
      <c r="H802" s="1">
        <f>'1_Departamento_n'!C16</f>
        <v>1076349</v>
      </c>
      <c r="I802" s="1">
        <f>'1_Departamento_n'!H16</f>
        <v>1312</v>
      </c>
      <c r="J802" s="1">
        <f>'0_Parametros'!B7</f>
        <v>10</v>
      </c>
      <c r="K802" s="3">
        <f>(I802-SUM($J$786:$J$841))*G802/H802</f>
        <v>21.86730140502755</v>
      </c>
      <c r="L802" s="1">
        <f>INT(K802)</f>
        <v>21</v>
      </c>
      <c r="M802" s="3">
        <f>K802-L802</f>
        <v>0.8673014050275505</v>
      </c>
      <c r="N802" s="1">
        <f>COUNTIF($M$786:$M$841,"&gt;"&amp;M802)+COUNTIF($M$786:M802,M802)</f>
        <v>7</v>
      </c>
      <c r="O802" s="1">
        <f>J802+L802+IF(N802&lt;=I802-SUM($J$786:$J$841)-SUM($L$786:$L$841),1,0)</f>
        <v>32</v>
      </c>
    </row>
    <row r="803" spans="1:15">
      <c r="A803" s="1" t="s">
        <v>60</v>
      </c>
      <c r="B803" s="1" t="s">
        <v>66</v>
      </c>
      <c r="C803" s="1" t="s">
        <v>38</v>
      </c>
      <c r="D803" s="1" t="s">
        <v>49</v>
      </c>
      <c r="E803" s="1" t="s">
        <v>43</v>
      </c>
      <c r="F803" s="1" t="s">
        <v>42</v>
      </c>
      <c r="G803" s="1">
        <v>1398</v>
      </c>
      <c r="H803" s="1">
        <f>'1_Departamento_n'!C16</f>
        <v>1076349</v>
      </c>
      <c r="I803" s="1">
        <f>'1_Departamento_n'!H16</f>
        <v>1312</v>
      </c>
      <c r="J803" s="1">
        <f>'0_Parametros'!B7</f>
        <v>10</v>
      </c>
      <c r="K803" s="3">
        <f>(I803-SUM($J$786:$J$841))*G803/H803</f>
        <v>0.9767240922786197</v>
      </c>
      <c r="L803" s="1">
        <f>INT(K803)</f>
        <v>0</v>
      </c>
      <c r="M803" s="3">
        <f>K803-L803</f>
        <v>0.9767240922786197</v>
      </c>
      <c r="N803" s="1">
        <f>COUNTIF($M$786:$M$841,"&gt;"&amp;M803)+COUNTIF($M$786:M803,M803)</f>
        <v>2</v>
      </c>
      <c r="O803" s="1">
        <f>J803+L803+IF(N803&lt;=I803-SUM($J$786:$J$841)-SUM($L$786:$L$841),1,0)</f>
        <v>11</v>
      </c>
    </row>
    <row r="804" spans="1:15">
      <c r="A804" s="1" t="s">
        <v>60</v>
      </c>
      <c r="B804" s="1" t="s">
        <v>66</v>
      </c>
      <c r="C804" s="1" t="s">
        <v>38</v>
      </c>
      <c r="D804" s="1" t="s">
        <v>49</v>
      </c>
      <c r="E804" s="1" t="s">
        <v>44</v>
      </c>
      <c r="F804" s="1" t="s">
        <v>41</v>
      </c>
      <c r="G804" s="1">
        <v>41789</v>
      </c>
      <c r="H804" s="1">
        <f>'1_Departamento_n'!C16</f>
        <v>1076349</v>
      </c>
      <c r="I804" s="1">
        <f>'1_Departamento_n'!H16</f>
        <v>1312</v>
      </c>
      <c r="J804" s="1">
        <f>'0_Parametros'!B7</f>
        <v>10</v>
      </c>
      <c r="K804" s="3">
        <f>(I804-SUM($J$786:$J$841))*G804/H804</f>
        <v>29.196225387862114</v>
      </c>
      <c r="L804" s="1">
        <f>INT(K804)</f>
        <v>29</v>
      </c>
      <c r="M804" s="3">
        <f>K804-L804</f>
        <v>0.19622538786211408</v>
      </c>
      <c r="N804" s="1">
        <f>COUNTIF($M$786:$M$841,"&gt;"&amp;M804)+COUNTIF($M$786:M804,M804)</f>
        <v>40</v>
      </c>
      <c r="O804" s="1">
        <f>J804+L804+IF(N804&lt;=I804-SUM($J$786:$J$841)-SUM($L$786:$L$841),1,0)</f>
        <v>39</v>
      </c>
    </row>
    <row r="805" spans="1:15">
      <c r="A805" s="1" t="s">
        <v>60</v>
      </c>
      <c r="B805" s="1" t="s">
        <v>66</v>
      </c>
      <c r="C805" s="1" t="s">
        <v>38</v>
      </c>
      <c r="D805" s="1" t="s">
        <v>49</v>
      </c>
      <c r="E805" s="1" t="s">
        <v>44</v>
      </c>
      <c r="F805" s="1" t="s">
        <v>42</v>
      </c>
      <c r="G805" s="1">
        <v>3402</v>
      </c>
      <c r="H805" s="1">
        <f>'1_Departamento_n'!C16</f>
        <v>1076349</v>
      </c>
      <c r="I805" s="1">
        <f>'1_Departamento_n'!H16</f>
        <v>1312</v>
      </c>
      <c r="J805" s="1">
        <f>'0_Parametros'!B7</f>
        <v>10</v>
      </c>
      <c r="K805" s="3">
        <f>(I805-SUM($J$786:$J$841))*G805/H805</f>
        <v>2.3768350228411044</v>
      </c>
      <c r="L805" s="1">
        <f>INT(K805)</f>
        <v>2</v>
      </c>
      <c r="M805" s="3">
        <f>K805-L805</f>
        <v>0.3768350228411044</v>
      </c>
      <c r="N805" s="1">
        <f>COUNTIF($M$786:$M$841,"&gt;"&amp;M805)+COUNTIF($M$786:M805,M805)</f>
        <v>32</v>
      </c>
      <c r="O805" s="1">
        <f>J805+L805+IF(N805&lt;=I805-SUM($J$786:$J$841)-SUM($L$786:$L$841),1,0)</f>
        <v>12</v>
      </c>
    </row>
    <row r="806" spans="1:15">
      <c r="A806" s="1" t="s">
        <v>60</v>
      </c>
      <c r="B806" s="1" t="s">
        <v>66</v>
      </c>
      <c r="C806" s="1" t="s">
        <v>38</v>
      </c>
      <c r="D806" s="1" t="s">
        <v>49</v>
      </c>
      <c r="E806" s="1" t="s">
        <v>45</v>
      </c>
      <c r="F806" s="1" t="s">
        <v>41</v>
      </c>
      <c r="G806" s="1">
        <v>45425</v>
      </c>
      <c r="H806" s="1">
        <f>'1_Departamento_n'!C16</f>
        <v>1076349</v>
      </c>
      <c r="I806" s="1">
        <f>'1_Departamento_n'!H16</f>
        <v>1312</v>
      </c>
      <c r="J806" s="1">
        <f>'0_Parametros'!B7</f>
        <v>10</v>
      </c>
      <c r="K806" s="3">
        <f>(I806-SUM($J$786:$J$841))*G806/H806</f>
        <v>31.736546417565307</v>
      </c>
      <c r="L806" s="1">
        <f>INT(K806)</f>
        <v>31</v>
      </c>
      <c r="M806" s="3">
        <f>K806-L806</f>
        <v>0.7365464175653074</v>
      </c>
      <c r="N806" s="1">
        <f>COUNTIF($M$786:$M$841,"&gt;"&amp;M806)+COUNTIF($M$786:M806,M806)</f>
        <v>19</v>
      </c>
      <c r="O806" s="1">
        <f>J806+L806+IF(N806&lt;=I806-SUM($J$786:$J$841)-SUM($L$786:$L$841),1,0)</f>
        <v>42</v>
      </c>
    </row>
    <row r="807" spans="1:15">
      <c r="A807" s="1" t="s">
        <v>60</v>
      </c>
      <c r="B807" s="1" t="s">
        <v>66</v>
      </c>
      <c r="C807" s="1" t="s">
        <v>38</v>
      </c>
      <c r="D807" s="1" t="s">
        <v>49</v>
      </c>
      <c r="E807" s="1" t="s">
        <v>45</v>
      </c>
      <c r="F807" s="1" t="s">
        <v>42</v>
      </c>
      <c r="G807" s="1">
        <v>2165</v>
      </c>
      <c r="H807" s="1">
        <f>'1_Departamento_n'!C16</f>
        <v>1076349</v>
      </c>
      <c r="I807" s="1">
        <f>'1_Departamento_n'!H16</f>
        <v>1312</v>
      </c>
      <c r="J807" s="1">
        <f>'0_Parametros'!B7</f>
        <v>10</v>
      </c>
      <c r="K807" s="3">
        <f>(I807-SUM($J$786:$J$841))*G807/H807</f>
        <v>1.5125948925487922</v>
      </c>
      <c r="L807" s="1">
        <f>INT(K807)</f>
        <v>1</v>
      </c>
      <c r="M807" s="3">
        <f>K807-L807</f>
        <v>0.5125948925487922</v>
      </c>
      <c r="N807" s="1">
        <f>COUNTIF($M$786:$M$841,"&gt;"&amp;M807)+COUNTIF($M$786:M807,M807)</f>
        <v>27</v>
      </c>
      <c r="O807" s="1">
        <f>J807+L807+IF(N807&lt;=I807-SUM($J$786:$J$841)-SUM($L$786:$L$841),1,0)</f>
        <v>12</v>
      </c>
    </row>
    <row r="808" spans="1:15">
      <c r="A808" s="1" t="s">
        <v>60</v>
      </c>
      <c r="B808" s="1" t="s">
        <v>66</v>
      </c>
      <c r="C808" s="1" t="s">
        <v>38</v>
      </c>
      <c r="D808" s="1" t="s">
        <v>49</v>
      </c>
      <c r="E808" s="1" t="s">
        <v>46</v>
      </c>
      <c r="F808" s="1" t="s">
        <v>41</v>
      </c>
      <c r="G808" s="1">
        <v>40299</v>
      </c>
      <c r="H808" s="1">
        <f>'1_Departamento_n'!C16</f>
        <v>1076349</v>
      </c>
      <c r="I808" s="1">
        <f>'1_Departamento_n'!H16</f>
        <v>1312</v>
      </c>
      <c r="J808" s="1">
        <f>'0_Parametros'!B7</f>
        <v>10</v>
      </c>
      <c r="K808" s="3">
        <f>(I808-SUM($J$786:$J$841))*G808/H808</f>
        <v>28.155224745877035</v>
      </c>
      <c r="L808" s="1">
        <f>INT(K808)</f>
        <v>28</v>
      </c>
      <c r="M808" s="3">
        <f>K808-L808</f>
        <v>0.15522474587703528</v>
      </c>
      <c r="N808" s="1">
        <f>COUNTIF($M$786:$M$841,"&gt;"&amp;M808)+COUNTIF($M$786:M808,M808)</f>
        <v>44</v>
      </c>
      <c r="O808" s="1">
        <f>J808+L808+IF(N808&lt;=I808-SUM($J$786:$J$841)-SUM($L$786:$L$841),1,0)</f>
        <v>38</v>
      </c>
    </row>
    <row r="809" spans="1:15">
      <c r="A809" s="1" t="s">
        <v>60</v>
      </c>
      <c r="B809" s="1" t="s">
        <v>66</v>
      </c>
      <c r="C809" s="1" t="s">
        <v>38</v>
      </c>
      <c r="D809" s="1" t="s">
        <v>49</v>
      </c>
      <c r="E809" s="1" t="s">
        <v>46</v>
      </c>
      <c r="F809" s="1" t="s">
        <v>42</v>
      </c>
      <c r="G809" s="1">
        <v>1542</v>
      </c>
      <c r="H809" s="1">
        <f>'1_Departamento_n'!C16</f>
        <v>1076349</v>
      </c>
      <c r="I809" s="1">
        <f>'1_Departamento_n'!H16</f>
        <v>1312</v>
      </c>
      <c r="J809" s="1">
        <f>'0_Parametros'!B7</f>
        <v>10</v>
      </c>
      <c r="K809" s="3">
        <f>(I809-SUM($J$786:$J$841))*G809/H809</f>
        <v>1.0773308657322114</v>
      </c>
      <c r="L809" s="1">
        <f>INT(K809)</f>
        <v>1</v>
      </c>
      <c r="M809" s="3">
        <f>K809-L809</f>
        <v>0.07733086573221137</v>
      </c>
      <c r="N809" s="1">
        <f>COUNTIF($M$786:$M$841,"&gt;"&amp;M809)+COUNTIF($M$786:M809,M809)</f>
        <v>52</v>
      </c>
      <c r="O809" s="1">
        <f>J809+L809+IF(N809&lt;=I809-SUM($J$786:$J$841)-SUM($L$786:$L$841),1,0)</f>
        <v>11</v>
      </c>
    </row>
    <row r="810" spans="1:15">
      <c r="A810" s="1" t="s">
        <v>60</v>
      </c>
      <c r="B810" s="1" t="s">
        <v>66</v>
      </c>
      <c r="C810" s="1" t="s">
        <v>38</v>
      </c>
      <c r="D810" s="1" t="s">
        <v>49</v>
      </c>
      <c r="E810" s="1" t="s">
        <v>47</v>
      </c>
      <c r="F810" s="1" t="s">
        <v>41</v>
      </c>
      <c r="G810" s="1">
        <v>32696</v>
      </c>
      <c r="H810" s="1">
        <f>'1_Departamento_n'!C16</f>
        <v>1076349</v>
      </c>
      <c r="I810" s="1">
        <f>'1_Departamento_n'!H16</f>
        <v>1312</v>
      </c>
      <c r="J810" s="1">
        <f>'0_Parametros'!B7</f>
        <v>10</v>
      </c>
      <c r="K810" s="3">
        <f>(I810-SUM($J$786:$J$841))*G810/H810</f>
        <v>22.84332683915719</v>
      </c>
      <c r="L810" s="1">
        <f>INT(K810)</f>
        <v>22</v>
      </c>
      <c r="M810" s="3">
        <f>K810-L810</f>
        <v>0.8433268391571893</v>
      </c>
      <c r="N810" s="1">
        <f>COUNTIF($M$786:$M$841,"&gt;"&amp;M810)+COUNTIF($M$786:M810,M810)</f>
        <v>9</v>
      </c>
      <c r="O810" s="1">
        <f>J810+L810+IF(N810&lt;=I810-SUM($J$786:$J$841)-SUM($L$786:$L$841),1,0)</f>
        <v>33</v>
      </c>
    </row>
    <row r="811" spans="1:15">
      <c r="A811" s="1" t="s">
        <v>60</v>
      </c>
      <c r="B811" s="1" t="s">
        <v>66</v>
      </c>
      <c r="C811" s="1" t="s">
        <v>38</v>
      </c>
      <c r="D811" s="1" t="s">
        <v>49</v>
      </c>
      <c r="E811" s="1" t="s">
        <v>47</v>
      </c>
      <c r="F811" s="1" t="s">
        <v>42</v>
      </c>
      <c r="G811" s="1">
        <v>1289</v>
      </c>
      <c r="H811" s="1">
        <f>'1_Departamento_n'!C16</f>
        <v>1076349</v>
      </c>
      <c r="I811" s="1">
        <f>'1_Departamento_n'!H16</f>
        <v>1312</v>
      </c>
      <c r="J811" s="1">
        <f>'0_Parametros'!B7</f>
        <v>10</v>
      </c>
      <c r="K811" s="3">
        <f>(I811-SUM($J$786:$J$841))*G811/H811</f>
        <v>0.9005703540394426</v>
      </c>
      <c r="L811" s="1">
        <f>INT(K811)</f>
        <v>0</v>
      </c>
      <c r="M811" s="3">
        <f>K811-L811</f>
        <v>0.9005703540394426</v>
      </c>
      <c r="N811" s="1">
        <f>COUNTIF($M$786:$M$841,"&gt;"&amp;M811)+COUNTIF($M$786:M811,M811)</f>
        <v>4</v>
      </c>
      <c r="O811" s="1">
        <f>J811+L811+IF(N811&lt;=I811-SUM($J$786:$J$841)-SUM($L$786:$L$841),1,0)</f>
        <v>11</v>
      </c>
    </row>
    <row r="812" spans="1:15">
      <c r="A812" s="1" t="s">
        <v>60</v>
      </c>
      <c r="B812" s="1" t="s">
        <v>66</v>
      </c>
      <c r="C812" s="1" t="s">
        <v>38</v>
      </c>
      <c r="D812" s="1" t="s">
        <v>49</v>
      </c>
      <c r="E812" s="1" t="s">
        <v>48</v>
      </c>
      <c r="F812" s="1" t="s">
        <v>41</v>
      </c>
      <c r="G812" s="1">
        <v>54589</v>
      </c>
      <c r="H812" s="1">
        <f>'1_Departamento_n'!C16</f>
        <v>1076349</v>
      </c>
      <c r="I812" s="1">
        <f>'1_Departamento_n'!H16</f>
        <v>1312</v>
      </c>
      <c r="J812" s="1">
        <f>'0_Parametros'!B7</f>
        <v>10</v>
      </c>
      <c r="K812" s="3">
        <f>(I812-SUM($J$786:$J$841))*G812/H812</f>
        <v>38.13904969484805</v>
      </c>
      <c r="L812" s="1">
        <f>INT(K812)</f>
        <v>38</v>
      </c>
      <c r="M812" s="3">
        <f>K812-L812</f>
        <v>0.13904969484804752</v>
      </c>
      <c r="N812" s="1">
        <f>COUNTIF($M$786:$M$841,"&gt;"&amp;M812)+COUNTIF($M$786:M812,M812)</f>
        <v>46</v>
      </c>
      <c r="O812" s="1">
        <f>J812+L812+IF(N812&lt;=I812-SUM($J$786:$J$841)-SUM($L$786:$L$841),1,0)</f>
        <v>48</v>
      </c>
    </row>
    <row r="813" spans="1:15">
      <c r="A813" s="1" t="s">
        <v>60</v>
      </c>
      <c r="B813" s="1" t="s">
        <v>66</v>
      </c>
      <c r="C813" s="1" t="s">
        <v>38</v>
      </c>
      <c r="D813" s="1" t="s">
        <v>49</v>
      </c>
      <c r="E813" s="1" t="s">
        <v>48</v>
      </c>
      <c r="F813" s="1" t="s">
        <v>42</v>
      </c>
      <c r="G813" s="1">
        <v>1859</v>
      </c>
      <c r="H813" s="1">
        <f>'1_Departamento_n'!C16</f>
        <v>1076349</v>
      </c>
      <c r="I813" s="1">
        <f>'1_Departamento_n'!H16</f>
        <v>1312</v>
      </c>
      <c r="J813" s="1">
        <f>'0_Parametros'!B7</f>
        <v>10</v>
      </c>
      <c r="K813" s="3">
        <f>(I813-SUM($J$786:$J$841))*G813/H813</f>
        <v>1.2988054989599098</v>
      </c>
      <c r="L813" s="1">
        <f>INT(K813)</f>
        <v>1</v>
      </c>
      <c r="M813" s="3">
        <f>K813-L813</f>
        <v>0.2988054989599098</v>
      </c>
      <c r="N813" s="1">
        <f>COUNTIF($M$786:$M$841,"&gt;"&amp;M813)+COUNTIF($M$786:M813,M813)</f>
        <v>35</v>
      </c>
      <c r="O813" s="1">
        <f>J813+L813+IF(N813&lt;=I813-SUM($J$786:$J$841)-SUM($L$786:$L$841),1,0)</f>
        <v>11</v>
      </c>
    </row>
    <row r="814" spans="1:15">
      <c r="A814" s="1" t="s">
        <v>60</v>
      </c>
      <c r="B814" s="1" t="s">
        <v>66</v>
      </c>
      <c r="C814" s="1" t="s">
        <v>50</v>
      </c>
      <c r="D814" s="1" t="s">
        <v>39</v>
      </c>
      <c r="E814" s="1" t="s">
        <v>40</v>
      </c>
      <c r="F814" s="1" t="s">
        <v>41</v>
      </c>
      <c r="G814" s="1">
        <v>17239</v>
      </c>
      <c r="H814" s="1">
        <f>'1_Departamento_n'!C16</f>
        <v>1076349</v>
      </c>
      <c r="I814" s="1">
        <f>'1_Departamento_n'!H16</f>
        <v>1312</v>
      </c>
      <c r="J814" s="1">
        <f>'0_Parametros'!B7</f>
        <v>10</v>
      </c>
      <c r="K814" s="3">
        <f>(I814-SUM($J$786:$J$841))*G814/H814</f>
        <v>12.044167830322692</v>
      </c>
      <c r="L814" s="1">
        <f>INT(K814)</f>
        <v>12</v>
      </c>
      <c r="M814" s="3">
        <f>K814-L814</f>
        <v>0.044167830322692225</v>
      </c>
      <c r="N814" s="1">
        <f>COUNTIF($M$786:$M$841,"&gt;"&amp;M814)+COUNTIF($M$786:M814,M814)</f>
        <v>54</v>
      </c>
      <c r="O814" s="1">
        <f>J814+L814+IF(N814&lt;=I814-SUM($J$786:$J$841)-SUM($L$786:$L$841),1,0)</f>
        <v>22</v>
      </c>
    </row>
    <row r="815" spans="1:15">
      <c r="A815" s="1" t="s">
        <v>60</v>
      </c>
      <c r="B815" s="1" t="s">
        <v>66</v>
      </c>
      <c r="C815" s="1" t="s">
        <v>50</v>
      </c>
      <c r="D815" s="1" t="s">
        <v>39</v>
      </c>
      <c r="E815" s="1" t="s">
        <v>40</v>
      </c>
      <c r="F815" s="1" t="s">
        <v>42</v>
      </c>
      <c r="G815" s="1">
        <v>10193</v>
      </c>
      <c r="H815" s="1">
        <f>'1_Departamento_n'!C16</f>
        <v>1076349</v>
      </c>
      <c r="I815" s="1">
        <f>'1_Departamento_n'!H16</f>
        <v>1312</v>
      </c>
      <c r="J815" s="1">
        <f>'0_Parametros'!B7</f>
        <v>10</v>
      </c>
      <c r="K815" s="3">
        <f>(I815-SUM($J$786:$J$841))*G815/H815</f>
        <v>7.121422512586531</v>
      </c>
      <c r="L815" s="1">
        <f>INT(K815)</f>
        <v>7</v>
      </c>
      <c r="M815" s="3">
        <f>K815-L815</f>
        <v>0.12142251258653136</v>
      </c>
      <c r="N815" s="1">
        <f>COUNTIF($M$786:$M$841,"&gt;"&amp;M815)+COUNTIF($M$786:M815,M815)</f>
        <v>48</v>
      </c>
      <c r="O815" s="1">
        <f>J815+L815+IF(N815&lt;=I815-SUM($J$786:$J$841)-SUM($L$786:$L$841),1,0)</f>
        <v>17</v>
      </c>
    </row>
    <row r="816" spans="1:15">
      <c r="A816" s="1" t="s">
        <v>60</v>
      </c>
      <c r="B816" s="1" t="s">
        <v>66</v>
      </c>
      <c r="C816" s="1" t="s">
        <v>50</v>
      </c>
      <c r="D816" s="1" t="s">
        <v>39</v>
      </c>
      <c r="E816" s="1" t="s">
        <v>43</v>
      </c>
      <c r="F816" s="1" t="s">
        <v>41</v>
      </c>
      <c r="G816" s="1">
        <v>25390</v>
      </c>
      <c r="H816" s="1">
        <f>'1_Departamento_n'!C16</f>
        <v>1076349</v>
      </c>
      <c r="I816" s="1">
        <f>'1_Departamento_n'!H16</f>
        <v>1312</v>
      </c>
      <c r="J816" s="1">
        <f>'0_Parametros'!B7</f>
        <v>10</v>
      </c>
      <c r="K816" s="3">
        <f>(I816-SUM($J$786:$J$841))*G816/H816</f>
        <v>17.738930402685373</v>
      </c>
      <c r="L816" s="1">
        <f>INT(K816)</f>
        <v>17</v>
      </c>
      <c r="M816" s="3">
        <f>K816-L816</f>
        <v>0.7389304026853729</v>
      </c>
      <c r="N816" s="1">
        <f>COUNTIF($M$786:$M$841,"&gt;"&amp;M816)+COUNTIF($M$786:M816,M816)</f>
        <v>18</v>
      </c>
      <c r="O816" s="1">
        <f>J816+L816+IF(N816&lt;=I816-SUM($J$786:$J$841)-SUM($L$786:$L$841),1,0)</f>
        <v>28</v>
      </c>
    </row>
    <row r="817" spans="1:15">
      <c r="A817" s="1" t="s">
        <v>60</v>
      </c>
      <c r="B817" s="1" t="s">
        <v>66</v>
      </c>
      <c r="C817" s="1" t="s">
        <v>50</v>
      </c>
      <c r="D817" s="1" t="s">
        <v>39</v>
      </c>
      <c r="E817" s="1" t="s">
        <v>43</v>
      </c>
      <c r="F817" s="1" t="s">
        <v>42</v>
      </c>
      <c r="G817" s="1">
        <v>10967</v>
      </c>
      <c r="H817" s="1">
        <f>'1_Departamento_n'!C16</f>
        <v>1076349</v>
      </c>
      <c r="I817" s="1">
        <f>'1_Departamento_n'!H16</f>
        <v>1312</v>
      </c>
      <c r="J817" s="1">
        <f>'0_Parametros'!B7</f>
        <v>10</v>
      </c>
      <c r="K817" s="3">
        <f>(I817-SUM($J$786:$J$841))*G817/H817</f>
        <v>7.6621839198995865</v>
      </c>
      <c r="L817" s="1">
        <f>INT(K817)</f>
        <v>7</v>
      </c>
      <c r="M817" s="3">
        <f>K817-L817</f>
        <v>0.6621839198995865</v>
      </c>
      <c r="N817" s="1">
        <f>COUNTIF($M$786:$M$841,"&gt;"&amp;M817)+COUNTIF($M$786:M817,M817)</f>
        <v>23</v>
      </c>
      <c r="O817" s="1">
        <f>J817+L817+IF(N817&lt;=I817-SUM($J$786:$J$841)-SUM($L$786:$L$841),1,0)</f>
        <v>18</v>
      </c>
    </row>
    <row r="818" spans="1:15">
      <c r="A818" s="1" t="s">
        <v>60</v>
      </c>
      <c r="B818" s="1" t="s">
        <v>66</v>
      </c>
      <c r="C818" s="1" t="s">
        <v>50</v>
      </c>
      <c r="D818" s="1" t="s">
        <v>39</v>
      </c>
      <c r="E818" s="1" t="s">
        <v>44</v>
      </c>
      <c r="F818" s="1" t="s">
        <v>41</v>
      </c>
      <c r="G818" s="1">
        <v>30391</v>
      </c>
      <c r="H818" s="1">
        <f>'1_Departamento_n'!C16</f>
        <v>1076349</v>
      </c>
      <c r="I818" s="1">
        <f>'1_Departamento_n'!H16</f>
        <v>1312</v>
      </c>
      <c r="J818" s="1">
        <f>'0_Parametros'!B7</f>
        <v>10</v>
      </c>
      <c r="K818" s="3">
        <f>(I818-SUM($J$786:$J$841))*G818/H818</f>
        <v>21.232919805750736</v>
      </c>
      <c r="L818" s="1">
        <f>INT(K818)</f>
        <v>21</v>
      </c>
      <c r="M818" s="3">
        <f>K818-L818</f>
        <v>0.23291980575073623</v>
      </c>
      <c r="N818" s="1">
        <f>COUNTIF($M$786:$M$841,"&gt;"&amp;M818)+COUNTIF($M$786:M818,M818)</f>
        <v>39</v>
      </c>
      <c r="O818" s="1">
        <f>J818+L818+IF(N818&lt;=I818-SUM($J$786:$J$841)-SUM($L$786:$L$841),1,0)</f>
        <v>31</v>
      </c>
    </row>
    <row r="819" spans="1:15">
      <c r="A819" s="1" t="s">
        <v>60</v>
      </c>
      <c r="B819" s="1" t="s">
        <v>66</v>
      </c>
      <c r="C819" s="1" t="s">
        <v>50</v>
      </c>
      <c r="D819" s="1" t="s">
        <v>39</v>
      </c>
      <c r="E819" s="1" t="s">
        <v>44</v>
      </c>
      <c r="F819" s="1" t="s">
        <v>42</v>
      </c>
      <c r="G819" s="1">
        <v>10181</v>
      </c>
      <c r="H819" s="1">
        <f>'1_Departamento_n'!C16</f>
        <v>1076349</v>
      </c>
      <c r="I819" s="1">
        <f>'1_Departamento_n'!H16</f>
        <v>1312</v>
      </c>
      <c r="J819" s="1">
        <f>'0_Parametros'!B7</f>
        <v>10</v>
      </c>
      <c r="K819" s="3">
        <f>(I819-SUM($J$786:$J$841))*G819/H819</f>
        <v>7.1130386147987315</v>
      </c>
      <c r="L819" s="1">
        <f>INT(K819)</f>
        <v>7</v>
      </c>
      <c r="M819" s="3">
        <f>K819-L819</f>
        <v>0.11303861479873145</v>
      </c>
      <c r="N819" s="1">
        <f>COUNTIF($M$786:$M$841,"&gt;"&amp;M819)+COUNTIF($M$786:M819,M819)</f>
        <v>49</v>
      </c>
      <c r="O819" s="1">
        <f>J819+L819+IF(N819&lt;=I819-SUM($J$786:$J$841)-SUM($L$786:$L$841),1,0)</f>
        <v>17</v>
      </c>
    </row>
    <row r="820" spans="1:15">
      <c r="A820" s="1" t="s">
        <v>60</v>
      </c>
      <c r="B820" s="1" t="s">
        <v>66</v>
      </c>
      <c r="C820" s="1" t="s">
        <v>50</v>
      </c>
      <c r="D820" s="1" t="s">
        <v>39</v>
      </c>
      <c r="E820" s="1" t="s">
        <v>45</v>
      </c>
      <c r="F820" s="1" t="s">
        <v>41</v>
      </c>
      <c r="G820" s="1">
        <v>30214</v>
      </c>
      <c r="H820" s="1">
        <f>'1_Departamento_n'!C16</f>
        <v>1076349</v>
      </c>
      <c r="I820" s="1">
        <f>'1_Departamento_n'!H16</f>
        <v>1312</v>
      </c>
      <c r="J820" s="1">
        <f>'0_Parametros'!B7</f>
        <v>10</v>
      </c>
      <c r="K820" s="3">
        <f>(I820-SUM($J$786:$J$841))*G820/H820</f>
        <v>21.1092573133807</v>
      </c>
      <c r="L820" s="1">
        <f>INT(K820)</f>
        <v>21</v>
      </c>
      <c r="M820" s="3">
        <f>K820-L820</f>
        <v>0.10925731338069866</v>
      </c>
      <c r="N820" s="1">
        <f>COUNTIF($M$786:$M$841,"&gt;"&amp;M820)+COUNTIF($M$786:M820,M820)</f>
        <v>50</v>
      </c>
      <c r="O820" s="1">
        <f>J820+L820+IF(N820&lt;=I820-SUM($J$786:$J$841)-SUM($L$786:$L$841),1,0)</f>
        <v>31</v>
      </c>
    </row>
    <row r="821" spans="1:15">
      <c r="A821" s="1" t="s">
        <v>60</v>
      </c>
      <c r="B821" s="1" t="s">
        <v>66</v>
      </c>
      <c r="C821" s="1" t="s">
        <v>50</v>
      </c>
      <c r="D821" s="1" t="s">
        <v>39</v>
      </c>
      <c r="E821" s="1" t="s">
        <v>45</v>
      </c>
      <c r="F821" s="1" t="s">
        <v>42</v>
      </c>
      <c r="G821" s="1">
        <v>8634</v>
      </c>
      <c r="H821" s="1">
        <f>'1_Departamento_n'!C16</f>
        <v>1076349</v>
      </c>
      <c r="I821" s="1">
        <f>'1_Departamento_n'!H16</f>
        <v>1312</v>
      </c>
      <c r="J821" s="1">
        <f>'0_Parametros'!B7</f>
        <v>10</v>
      </c>
      <c r="K821" s="3">
        <f>(I821-SUM($J$786:$J$841))*G821/H821</f>
        <v>6.0322144583216035</v>
      </c>
      <c r="L821" s="1">
        <f>INT(K821)</f>
        <v>6</v>
      </c>
      <c r="M821" s="3">
        <f>K821-L821</f>
        <v>0.03221445832160352</v>
      </c>
      <c r="N821" s="1">
        <f>COUNTIF($M$786:$M$841,"&gt;"&amp;M821)+COUNTIF($M$786:M821,M821)</f>
        <v>55</v>
      </c>
      <c r="O821" s="1">
        <f>J821+L821+IF(N821&lt;=I821-SUM($J$786:$J$841)-SUM($L$786:$L$841),1,0)</f>
        <v>16</v>
      </c>
    </row>
    <row r="822" spans="1:15">
      <c r="A822" s="1" t="s">
        <v>60</v>
      </c>
      <c r="B822" s="1" t="s">
        <v>66</v>
      </c>
      <c r="C822" s="1" t="s">
        <v>50</v>
      </c>
      <c r="D822" s="1" t="s">
        <v>39</v>
      </c>
      <c r="E822" s="1" t="s">
        <v>46</v>
      </c>
      <c r="F822" s="1" t="s">
        <v>41</v>
      </c>
      <c r="G822" s="1">
        <v>25347</v>
      </c>
      <c r="H822" s="1">
        <f>'1_Departamento_n'!C16</f>
        <v>1076349</v>
      </c>
      <c r="I822" s="1">
        <f>'1_Departamento_n'!H16</f>
        <v>1312</v>
      </c>
      <c r="J822" s="1">
        <f>'0_Parametros'!B7</f>
        <v>10</v>
      </c>
      <c r="K822" s="3">
        <f>(I822-SUM($J$786:$J$841))*G822/H822</f>
        <v>17.708888102279094</v>
      </c>
      <c r="L822" s="1">
        <f>INT(K822)</f>
        <v>17</v>
      </c>
      <c r="M822" s="3">
        <f>K822-L822</f>
        <v>0.7088881022790936</v>
      </c>
      <c r="N822" s="1">
        <f>COUNTIF($M$786:$M$841,"&gt;"&amp;M822)+COUNTIF($M$786:M822,M822)</f>
        <v>21</v>
      </c>
      <c r="O822" s="1">
        <f>J822+L822+IF(N822&lt;=I822-SUM($J$786:$J$841)-SUM($L$786:$L$841),1,0)</f>
        <v>28</v>
      </c>
    </row>
    <row r="823" spans="1:15">
      <c r="A823" s="1" t="s">
        <v>60</v>
      </c>
      <c r="B823" s="1" t="s">
        <v>66</v>
      </c>
      <c r="C823" s="1" t="s">
        <v>50</v>
      </c>
      <c r="D823" s="1" t="s">
        <v>39</v>
      </c>
      <c r="E823" s="1" t="s">
        <v>46</v>
      </c>
      <c r="F823" s="1" t="s">
        <v>42</v>
      </c>
      <c r="G823" s="1">
        <v>7567</v>
      </c>
      <c r="H823" s="1">
        <f>'1_Departamento_n'!C16</f>
        <v>1076349</v>
      </c>
      <c r="I823" s="1">
        <f>'1_Departamento_n'!H16</f>
        <v>1312</v>
      </c>
      <c r="J823" s="1">
        <f>'0_Parametros'!B7</f>
        <v>10</v>
      </c>
      <c r="K823" s="3">
        <f>(I823-SUM($J$786:$J$841))*G823/H823</f>
        <v>5.286746213356449</v>
      </c>
      <c r="L823" s="1">
        <f>INT(K823)</f>
        <v>5</v>
      </c>
      <c r="M823" s="3">
        <f>K823-L823</f>
        <v>0.2867462133564489</v>
      </c>
      <c r="N823" s="1">
        <f>COUNTIF($M$786:$M$841,"&gt;"&amp;M823)+COUNTIF($M$786:M823,M823)</f>
        <v>36</v>
      </c>
      <c r="O823" s="1">
        <f>J823+L823+IF(N823&lt;=I823-SUM($J$786:$J$841)-SUM($L$786:$L$841),1,0)</f>
        <v>15</v>
      </c>
    </row>
    <row r="824" spans="1:15">
      <c r="A824" s="1" t="s">
        <v>60</v>
      </c>
      <c r="B824" s="1" t="s">
        <v>66</v>
      </c>
      <c r="C824" s="1" t="s">
        <v>50</v>
      </c>
      <c r="D824" s="1" t="s">
        <v>39</v>
      </c>
      <c r="E824" s="1" t="s">
        <v>47</v>
      </c>
      <c r="F824" s="1" t="s">
        <v>41</v>
      </c>
      <c r="G824" s="1">
        <v>23089</v>
      </c>
      <c r="H824" s="1">
        <f>'1_Departamento_n'!C16</f>
        <v>1076349</v>
      </c>
      <c r="I824" s="1">
        <f>'1_Departamento_n'!H16</f>
        <v>1312</v>
      </c>
      <c r="J824" s="1">
        <f>'0_Parametros'!B7</f>
        <v>10</v>
      </c>
      <c r="K824" s="3">
        <f>(I824-SUM($J$786:$J$841))*G824/H824</f>
        <v>16.131318001874856</v>
      </c>
      <c r="L824" s="1">
        <f>INT(K824)</f>
        <v>16</v>
      </c>
      <c r="M824" s="3">
        <f>K824-L824</f>
        <v>0.1313180018748561</v>
      </c>
      <c r="N824" s="1">
        <f>COUNTIF($M$786:$M$841,"&gt;"&amp;M824)+COUNTIF($M$786:M824,M824)</f>
        <v>47</v>
      </c>
      <c r="O824" s="1">
        <f>J824+L824+IF(N824&lt;=I824-SUM($J$786:$J$841)-SUM($L$786:$L$841),1,0)</f>
        <v>26</v>
      </c>
    </row>
    <row r="825" spans="1:15">
      <c r="A825" s="1" t="s">
        <v>60</v>
      </c>
      <c r="B825" s="1" t="s">
        <v>66</v>
      </c>
      <c r="C825" s="1" t="s">
        <v>50</v>
      </c>
      <c r="D825" s="1" t="s">
        <v>39</v>
      </c>
      <c r="E825" s="1" t="s">
        <v>47</v>
      </c>
      <c r="F825" s="1" t="s">
        <v>42</v>
      </c>
      <c r="G825" s="1">
        <v>7013</v>
      </c>
      <c r="H825" s="1">
        <f>'1_Departamento_n'!C16</f>
        <v>1076349</v>
      </c>
      <c r="I825" s="1">
        <f>'1_Departamento_n'!H16</f>
        <v>1312</v>
      </c>
      <c r="J825" s="1">
        <f>'0_Parametros'!B7</f>
        <v>10</v>
      </c>
      <c r="K825" s="3">
        <f>(I825-SUM($J$786:$J$841))*G825/H825</f>
        <v>4.899689598819713</v>
      </c>
      <c r="L825" s="1">
        <f>INT(K825)</f>
        <v>4</v>
      </c>
      <c r="M825" s="3">
        <f>K825-L825</f>
        <v>0.8996895988197133</v>
      </c>
      <c r="N825" s="1">
        <f>COUNTIF($M$786:$M$841,"&gt;"&amp;M825)+COUNTIF($M$786:M825,M825)</f>
        <v>5</v>
      </c>
      <c r="O825" s="1">
        <f>J825+L825+IF(N825&lt;=I825-SUM($J$786:$J$841)-SUM($L$786:$L$841),1,0)</f>
        <v>15</v>
      </c>
    </row>
    <row r="826" spans="1:15">
      <c r="A826" s="1" t="s">
        <v>60</v>
      </c>
      <c r="B826" s="1" t="s">
        <v>66</v>
      </c>
      <c r="C826" s="1" t="s">
        <v>50</v>
      </c>
      <c r="D826" s="1" t="s">
        <v>39</v>
      </c>
      <c r="E826" s="1" t="s">
        <v>48</v>
      </c>
      <c r="F826" s="1" t="s">
        <v>41</v>
      </c>
      <c r="G826" s="1">
        <v>38779</v>
      </c>
      <c r="H826" s="1">
        <f>'1_Departamento_n'!C16</f>
        <v>1076349</v>
      </c>
      <c r="I826" s="1">
        <f>'1_Departamento_n'!H16</f>
        <v>1312</v>
      </c>
      <c r="J826" s="1">
        <f>'0_Parametros'!B7</f>
        <v>10</v>
      </c>
      <c r="K826" s="3">
        <f>(I826-SUM($J$786:$J$841))*G826/H826</f>
        <v>27.093264359422456</v>
      </c>
      <c r="L826" s="1">
        <f>INT(K826)</f>
        <v>27</v>
      </c>
      <c r="M826" s="3">
        <f>K826-L826</f>
        <v>0.09326435942245581</v>
      </c>
      <c r="N826" s="1">
        <f>COUNTIF($M$786:$M$841,"&gt;"&amp;M826)+COUNTIF($M$786:M826,M826)</f>
        <v>51</v>
      </c>
      <c r="O826" s="1">
        <f>J826+L826+IF(N826&lt;=I826-SUM($J$786:$J$841)-SUM($L$786:$L$841),1,0)</f>
        <v>37</v>
      </c>
    </row>
    <row r="827" spans="1:15">
      <c r="A827" s="1" t="s">
        <v>60</v>
      </c>
      <c r="B827" s="1" t="s">
        <v>66</v>
      </c>
      <c r="C827" s="1" t="s">
        <v>50</v>
      </c>
      <c r="D827" s="1" t="s">
        <v>39</v>
      </c>
      <c r="E827" s="1" t="s">
        <v>48</v>
      </c>
      <c r="F827" s="1" t="s">
        <v>42</v>
      </c>
      <c r="G827" s="1">
        <v>11838</v>
      </c>
      <c r="H827" s="1">
        <f>'1_Departamento_n'!C16</f>
        <v>1076349</v>
      </c>
      <c r="I827" s="1">
        <f>'1_Departamento_n'!H16</f>
        <v>1312</v>
      </c>
      <c r="J827" s="1">
        <f>'0_Parametros'!B7</f>
        <v>10</v>
      </c>
      <c r="K827" s="3">
        <f>(I827-SUM($J$786:$J$841))*G827/H827</f>
        <v>8.27071516766402</v>
      </c>
      <c r="L827" s="1">
        <f>INT(K827)</f>
        <v>8</v>
      </c>
      <c r="M827" s="3">
        <f>K827-L827</f>
        <v>0.2707151676640205</v>
      </c>
      <c r="N827" s="1">
        <f>COUNTIF($M$786:$M$841,"&gt;"&amp;M827)+COUNTIF($M$786:M827,M827)</f>
        <v>38</v>
      </c>
      <c r="O827" s="1">
        <f>J827+L827+IF(N827&lt;=I827-SUM($J$786:$J$841)-SUM($L$786:$L$841),1,0)</f>
        <v>18</v>
      </c>
    </row>
    <row r="828" spans="1:15">
      <c r="A828" s="1" t="s">
        <v>60</v>
      </c>
      <c r="B828" s="1" t="s">
        <v>66</v>
      </c>
      <c r="C828" s="1" t="s">
        <v>50</v>
      </c>
      <c r="D828" s="1" t="s">
        <v>49</v>
      </c>
      <c r="E828" s="1" t="s">
        <v>40</v>
      </c>
      <c r="F828" s="1" t="s">
        <v>41</v>
      </c>
      <c r="G828" s="1">
        <v>18210</v>
      </c>
      <c r="H828" s="1">
        <f>'1_Departamento_n'!C16</f>
        <v>1076349</v>
      </c>
      <c r="I828" s="1">
        <f>'1_Departamento_n'!H16</f>
        <v>1312</v>
      </c>
      <c r="J828" s="1">
        <f>'0_Parametros'!B7</f>
        <v>10</v>
      </c>
      <c r="K828" s="3">
        <f>(I828-SUM($J$786:$J$841))*G828/H828</f>
        <v>12.722564892985453</v>
      </c>
      <c r="L828" s="1">
        <f>INT(K828)</f>
        <v>12</v>
      </c>
      <c r="M828" s="3">
        <f>K828-L828</f>
        <v>0.7225648929854529</v>
      </c>
      <c r="N828" s="1">
        <f>COUNTIF($M$786:$M$841,"&gt;"&amp;M828)+COUNTIF($M$786:M828,M828)</f>
        <v>20</v>
      </c>
      <c r="O828" s="1">
        <f>J828+L828+IF(N828&lt;=I828-SUM($J$786:$J$841)-SUM($L$786:$L$841),1,0)</f>
        <v>23</v>
      </c>
    </row>
    <row r="829" spans="1:15">
      <c r="A829" s="1" t="s">
        <v>60</v>
      </c>
      <c r="B829" s="1" t="s">
        <v>66</v>
      </c>
      <c r="C829" s="1" t="s">
        <v>50</v>
      </c>
      <c r="D829" s="1" t="s">
        <v>49</v>
      </c>
      <c r="E829" s="1" t="s">
        <v>40</v>
      </c>
      <c r="F829" s="1" t="s">
        <v>42</v>
      </c>
      <c r="G829" s="1">
        <v>10562</v>
      </c>
      <c r="H829" s="1">
        <f>'1_Departamento_n'!C16</f>
        <v>1076349</v>
      </c>
      <c r="I829" s="1">
        <f>'1_Departamento_n'!H16</f>
        <v>1312</v>
      </c>
      <c r="J829" s="1">
        <f>'0_Parametros'!B7</f>
        <v>10</v>
      </c>
      <c r="K829" s="3">
        <f>(I829-SUM($J$786:$J$841))*G829/H829</f>
        <v>7.3792273695613595</v>
      </c>
      <c r="L829" s="1">
        <f>INT(K829)</f>
        <v>7</v>
      </c>
      <c r="M829" s="3">
        <f>K829-L829</f>
        <v>0.3792273695613595</v>
      </c>
      <c r="N829" s="1">
        <f>COUNTIF($M$786:$M$841,"&gt;"&amp;M829)+COUNTIF($M$786:M829,M829)</f>
        <v>31</v>
      </c>
      <c r="O829" s="1">
        <f>J829+L829+IF(N829&lt;=I829-SUM($J$786:$J$841)-SUM($L$786:$L$841),1,0)</f>
        <v>17</v>
      </c>
    </row>
    <row r="830" spans="1:15">
      <c r="A830" s="1" t="s">
        <v>60</v>
      </c>
      <c r="B830" s="1" t="s">
        <v>66</v>
      </c>
      <c r="C830" s="1" t="s">
        <v>50</v>
      </c>
      <c r="D830" s="1" t="s">
        <v>49</v>
      </c>
      <c r="E830" s="1" t="s">
        <v>43</v>
      </c>
      <c r="F830" s="1" t="s">
        <v>41</v>
      </c>
      <c r="G830" s="1">
        <v>26198</v>
      </c>
      <c r="H830" s="1">
        <f>'1_Departamento_n'!C16</f>
        <v>1076349</v>
      </c>
      <c r="I830" s="1">
        <f>'1_Departamento_n'!H16</f>
        <v>1312</v>
      </c>
      <c r="J830" s="1">
        <f>'0_Parametros'!B7</f>
        <v>10</v>
      </c>
      <c r="K830" s="3">
        <f>(I830-SUM($J$786:$J$841))*G830/H830</f>
        <v>18.303446187063862</v>
      </c>
      <c r="L830" s="1">
        <f>INT(K830)</f>
        <v>18</v>
      </c>
      <c r="M830" s="3">
        <f>K830-L830</f>
        <v>0.3034461870638623</v>
      </c>
      <c r="N830" s="1">
        <f>COUNTIF($M$786:$M$841,"&gt;"&amp;M830)+COUNTIF($M$786:M830,M830)</f>
        <v>34</v>
      </c>
      <c r="O830" s="1">
        <f>J830+L830+IF(N830&lt;=I830-SUM($J$786:$J$841)-SUM($L$786:$L$841),1,0)</f>
        <v>28</v>
      </c>
    </row>
    <row r="831" spans="1:15">
      <c r="A831" s="1" t="s">
        <v>60</v>
      </c>
      <c r="B831" s="1" t="s">
        <v>66</v>
      </c>
      <c r="C831" s="1" t="s">
        <v>50</v>
      </c>
      <c r="D831" s="1" t="s">
        <v>49</v>
      </c>
      <c r="E831" s="1" t="s">
        <v>43</v>
      </c>
      <c r="F831" s="1" t="s">
        <v>42</v>
      </c>
      <c r="G831" s="1">
        <v>11144</v>
      </c>
      <c r="H831" s="1">
        <f>'1_Departamento_n'!C16</f>
        <v>1076349</v>
      </c>
      <c r="I831" s="1">
        <f>'1_Departamento_n'!H16</f>
        <v>1312</v>
      </c>
      <c r="J831" s="1">
        <f>'0_Parametros'!B7</f>
        <v>10</v>
      </c>
      <c r="K831" s="3">
        <f>(I831-SUM($J$786:$J$841))*G831/H831</f>
        <v>7.785846412269627</v>
      </c>
      <c r="L831" s="1">
        <f>INT(K831)</f>
        <v>7</v>
      </c>
      <c r="M831" s="3">
        <f>K831-L831</f>
        <v>0.7858464122696267</v>
      </c>
      <c r="N831" s="1">
        <f>COUNTIF($M$786:$M$841,"&gt;"&amp;M831)+COUNTIF($M$786:M831,M831)</f>
        <v>14</v>
      </c>
      <c r="O831" s="1">
        <f>J831+L831+IF(N831&lt;=I831-SUM($J$786:$J$841)-SUM($L$786:$L$841),1,0)</f>
        <v>18</v>
      </c>
    </row>
    <row r="832" spans="1:15">
      <c r="A832" s="1" t="s">
        <v>60</v>
      </c>
      <c r="B832" s="1" t="s">
        <v>66</v>
      </c>
      <c r="C832" s="1" t="s">
        <v>50</v>
      </c>
      <c r="D832" s="1" t="s">
        <v>49</v>
      </c>
      <c r="E832" s="1" t="s">
        <v>44</v>
      </c>
      <c r="F832" s="1" t="s">
        <v>41</v>
      </c>
      <c r="G832" s="1">
        <v>27973</v>
      </c>
      <c r="H832" s="1">
        <f>'1_Departamento_n'!C16</f>
        <v>1076349</v>
      </c>
      <c r="I832" s="1">
        <f>'1_Departamento_n'!H16</f>
        <v>1312</v>
      </c>
      <c r="J832" s="1">
        <f>'0_Parametros'!B7</f>
        <v>10</v>
      </c>
      <c r="K832" s="3">
        <f>(I832-SUM($J$786:$J$841))*G832/H832</f>
        <v>19.543564401509176</v>
      </c>
      <c r="L832" s="1">
        <f>INT(K832)</f>
        <v>19</v>
      </c>
      <c r="M832" s="3">
        <f>K832-L832</f>
        <v>0.5435644015091761</v>
      </c>
      <c r="N832" s="1">
        <f>COUNTIF($M$786:$M$841,"&gt;"&amp;M832)+COUNTIF($M$786:M832,M832)</f>
        <v>26</v>
      </c>
      <c r="O832" s="1">
        <f>J832+L832+IF(N832&lt;=I832-SUM($J$786:$J$841)-SUM($L$786:$L$841),1,0)</f>
        <v>30</v>
      </c>
    </row>
    <row r="833" spans="1:15">
      <c r="A833" s="1" t="s">
        <v>60</v>
      </c>
      <c r="B833" s="1" t="s">
        <v>66</v>
      </c>
      <c r="C833" s="1" t="s">
        <v>50</v>
      </c>
      <c r="D833" s="1" t="s">
        <v>49</v>
      </c>
      <c r="E833" s="1" t="s">
        <v>44</v>
      </c>
      <c r="F833" s="1" t="s">
        <v>42</v>
      </c>
      <c r="G833" s="1">
        <v>9147</v>
      </c>
      <c r="H833" s="1">
        <f>'1_Departamento_n'!C16</f>
        <v>1076349</v>
      </c>
      <c r="I833" s="1">
        <f>'1_Departamento_n'!H16</f>
        <v>1312</v>
      </c>
      <c r="J833" s="1">
        <f>'0_Parametros'!B7</f>
        <v>10</v>
      </c>
      <c r="K833" s="3">
        <f>(I833-SUM($J$786:$J$841))*G833/H833</f>
        <v>6.390626088750024</v>
      </c>
      <c r="L833" s="1">
        <f>INT(K833)</f>
        <v>6</v>
      </c>
      <c r="M833" s="3">
        <f>K833-L833</f>
        <v>0.39062608875002436</v>
      </c>
      <c r="N833" s="1">
        <f>COUNTIF($M$786:$M$841,"&gt;"&amp;M833)+COUNTIF($M$786:M833,M833)</f>
        <v>30</v>
      </c>
      <c r="O833" s="1">
        <f>J833+L833+IF(N833&lt;=I833-SUM($J$786:$J$841)-SUM($L$786:$L$841),1,0)</f>
        <v>16</v>
      </c>
    </row>
    <row r="834" spans="1:15">
      <c r="A834" s="1" t="s">
        <v>60</v>
      </c>
      <c r="B834" s="1" t="s">
        <v>66</v>
      </c>
      <c r="C834" s="1" t="s">
        <v>50</v>
      </c>
      <c r="D834" s="1" t="s">
        <v>49</v>
      </c>
      <c r="E834" s="1" t="s">
        <v>45</v>
      </c>
      <c r="F834" s="1" t="s">
        <v>41</v>
      </c>
      <c r="G834" s="1">
        <v>27412</v>
      </c>
      <c r="H834" s="1">
        <f>'1_Departamento_n'!C16</f>
        <v>1076349</v>
      </c>
      <c r="I834" s="1">
        <f>'1_Departamento_n'!H16</f>
        <v>1312</v>
      </c>
      <c r="J834" s="1">
        <f>'0_Parametros'!B7</f>
        <v>10</v>
      </c>
      <c r="K834" s="3">
        <f>(I834-SUM($J$786:$J$841))*G834/H834</f>
        <v>19.15161717992956</v>
      </c>
      <c r="L834" s="1">
        <f>INT(K834)</f>
        <v>19</v>
      </c>
      <c r="M834" s="3">
        <f>K834-L834</f>
        <v>0.15161717992955914</v>
      </c>
      <c r="N834" s="1">
        <f>COUNTIF($M$786:$M$841,"&gt;"&amp;M834)+COUNTIF($M$786:M834,M834)</f>
        <v>45</v>
      </c>
      <c r="O834" s="1">
        <f>J834+L834+IF(N834&lt;=I834-SUM($J$786:$J$841)-SUM($L$786:$L$841),1,0)</f>
        <v>29</v>
      </c>
    </row>
    <row r="835" spans="1:15">
      <c r="A835" s="1" t="s">
        <v>60</v>
      </c>
      <c r="B835" s="1" t="s">
        <v>66</v>
      </c>
      <c r="C835" s="1" t="s">
        <v>50</v>
      </c>
      <c r="D835" s="1" t="s">
        <v>49</v>
      </c>
      <c r="E835" s="1" t="s">
        <v>45</v>
      </c>
      <c r="F835" s="1" t="s">
        <v>42</v>
      </c>
      <c r="G835" s="1">
        <v>7948</v>
      </c>
      <c r="H835" s="1">
        <f>'1_Departamento_n'!C16</f>
        <v>1076349</v>
      </c>
      <c r="I835" s="1">
        <f>'1_Departamento_n'!H16</f>
        <v>1312</v>
      </c>
      <c r="J835" s="1">
        <f>'0_Parametros'!B7</f>
        <v>10</v>
      </c>
      <c r="K835" s="3">
        <f>(I835-SUM($J$786:$J$841))*G835/H835</f>
        <v>5.552934968119077</v>
      </c>
      <c r="L835" s="1">
        <f>INT(K835)</f>
        <v>5</v>
      </c>
      <c r="M835" s="3">
        <f>K835-L835</f>
        <v>0.5529349681190769</v>
      </c>
      <c r="N835" s="1">
        <f>COUNTIF($M$786:$M$841,"&gt;"&amp;M835)+COUNTIF($M$786:M835,M835)</f>
        <v>25</v>
      </c>
      <c r="O835" s="1">
        <f>J835+L835+IF(N835&lt;=I835-SUM($J$786:$J$841)-SUM($L$786:$L$841),1,0)</f>
        <v>16</v>
      </c>
    </row>
    <row r="836" spans="1:15">
      <c r="A836" s="1" t="s">
        <v>60</v>
      </c>
      <c r="B836" s="1" t="s">
        <v>66</v>
      </c>
      <c r="C836" s="1" t="s">
        <v>50</v>
      </c>
      <c r="D836" s="1" t="s">
        <v>49</v>
      </c>
      <c r="E836" s="1" t="s">
        <v>46</v>
      </c>
      <c r="F836" s="1" t="s">
        <v>41</v>
      </c>
      <c r="G836" s="1">
        <v>20431</v>
      </c>
      <c r="H836" s="1">
        <f>'1_Departamento_n'!C16</f>
        <v>1076349</v>
      </c>
      <c r="I836" s="1">
        <f>'1_Departamento_n'!H16</f>
        <v>1312</v>
      </c>
      <c r="J836" s="1">
        <f>'0_Parametros'!B7</f>
        <v>10</v>
      </c>
      <c r="K836" s="3">
        <f>(I836-SUM($J$786:$J$841))*G836/H836</f>
        <v>14.27428464187731</v>
      </c>
      <c r="L836" s="1">
        <f>INT(K836)</f>
        <v>14</v>
      </c>
      <c r="M836" s="3">
        <f>K836-L836</f>
        <v>0.27428464187731016</v>
      </c>
      <c r="N836" s="1">
        <f>COUNTIF($M$786:$M$841,"&gt;"&amp;M836)+COUNTIF($M$786:M836,M836)</f>
        <v>37</v>
      </c>
      <c r="O836" s="1">
        <f>J836+L836+IF(N836&lt;=I836-SUM($J$786:$J$841)-SUM($L$786:$L$841),1,0)</f>
        <v>24</v>
      </c>
    </row>
    <row r="837" spans="1:15">
      <c r="A837" s="1" t="s">
        <v>60</v>
      </c>
      <c r="B837" s="1" t="s">
        <v>66</v>
      </c>
      <c r="C837" s="1" t="s">
        <v>50</v>
      </c>
      <c r="D837" s="1" t="s">
        <v>49</v>
      </c>
      <c r="E837" s="1" t="s">
        <v>46</v>
      </c>
      <c r="F837" s="1" t="s">
        <v>42</v>
      </c>
      <c r="G837" s="1">
        <v>6998</v>
      </c>
      <c r="H837" s="1">
        <f>'1_Departamento_n'!C16</f>
        <v>1076349</v>
      </c>
      <c r="I837" s="1">
        <f>'1_Departamento_n'!H16</f>
        <v>1312</v>
      </c>
      <c r="J837" s="1">
        <f>'0_Parametros'!B7</f>
        <v>10</v>
      </c>
      <c r="K837" s="3">
        <f>(I837-SUM($J$786:$J$841))*G837/H837</f>
        <v>4.889209726584965</v>
      </c>
      <c r="L837" s="1">
        <f>INT(K837)</f>
        <v>4</v>
      </c>
      <c r="M837" s="3">
        <f>K837-L837</f>
        <v>0.8892097265849648</v>
      </c>
      <c r="N837" s="1">
        <f>COUNTIF($M$786:$M$841,"&gt;"&amp;M837)+COUNTIF($M$786:M837,M837)</f>
        <v>6</v>
      </c>
      <c r="O837" s="1">
        <f>J837+L837+IF(N837&lt;=I837-SUM($J$786:$J$841)-SUM($L$786:$L$841),1,0)</f>
        <v>15</v>
      </c>
    </row>
    <row r="838" spans="1:15">
      <c r="A838" s="1" t="s">
        <v>60</v>
      </c>
      <c r="B838" s="1" t="s">
        <v>66</v>
      </c>
      <c r="C838" s="1" t="s">
        <v>50</v>
      </c>
      <c r="D838" s="1" t="s">
        <v>49</v>
      </c>
      <c r="E838" s="1" t="s">
        <v>47</v>
      </c>
      <c r="F838" s="1" t="s">
        <v>41</v>
      </c>
      <c r="G838" s="1">
        <v>18324</v>
      </c>
      <c r="H838" s="1">
        <f>'1_Departamento_n'!C16</f>
        <v>1076349</v>
      </c>
      <c r="I838" s="1">
        <f>'1_Departamento_n'!H16</f>
        <v>1312</v>
      </c>
      <c r="J838" s="1">
        <f>'0_Parametros'!B7</f>
        <v>10</v>
      </c>
      <c r="K838" s="3">
        <f>(I838-SUM($J$786:$J$841))*G838/H838</f>
        <v>12.802211921969548</v>
      </c>
      <c r="L838" s="1">
        <f>INT(K838)</f>
        <v>12</v>
      </c>
      <c r="M838" s="3">
        <f>K838-L838</f>
        <v>0.8022119219695476</v>
      </c>
      <c r="N838" s="1">
        <f>COUNTIF($M$786:$M$841,"&gt;"&amp;M838)+COUNTIF($M$786:M838,M838)</f>
        <v>12</v>
      </c>
      <c r="O838" s="1">
        <f>J838+L838+IF(N838&lt;=I838-SUM($J$786:$J$841)-SUM($L$786:$L$841),1,0)</f>
        <v>23</v>
      </c>
    </row>
    <row r="839" spans="1:15">
      <c r="A839" s="1" t="s">
        <v>60</v>
      </c>
      <c r="B839" s="1" t="s">
        <v>66</v>
      </c>
      <c r="C839" s="1" t="s">
        <v>50</v>
      </c>
      <c r="D839" s="1" t="s">
        <v>49</v>
      </c>
      <c r="E839" s="1" t="s">
        <v>47</v>
      </c>
      <c r="F839" s="1" t="s">
        <v>42</v>
      </c>
      <c r="G839" s="1">
        <v>7139</v>
      </c>
      <c r="H839" s="1">
        <f>'1_Departamento_n'!C16</f>
        <v>1076349</v>
      </c>
      <c r="I839" s="1">
        <f>'1_Departamento_n'!H16</f>
        <v>1312</v>
      </c>
      <c r="J839" s="1">
        <f>'0_Parametros'!B7</f>
        <v>10</v>
      </c>
      <c r="K839" s="3">
        <f>(I839-SUM($J$786:$J$841))*G839/H839</f>
        <v>4.987720525591606</v>
      </c>
      <c r="L839" s="1">
        <f>INT(K839)</f>
        <v>4</v>
      </c>
      <c r="M839" s="3">
        <f>K839-L839</f>
        <v>0.9877205255916062</v>
      </c>
      <c r="N839" s="1">
        <f>COUNTIF($M$786:$M$841,"&gt;"&amp;M839)+COUNTIF($M$786:M839,M839)</f>
        <v>1</v>
      </c>
      <c r="O839" s="1">
        <f>J839+L839+IF(N839&lt;=I839-SUM($J$786:$J$841)-SUM($L$786:$L$841),1,0)</f>
        <v>15</v>
      </c>
    </row>
    <row r="840" spans="1:15">
      <c r="A840" s="1" t="s">
        <v>60</v>
      </c>
      <c r="B840" s="1" t="s">
        <v>66</v>
      </c>
      <c r="C840" s="1" t="s">
        <v>50</v>
      </c>
      <c r="D840" s="1" t="s">
        <v>49</v>
      </c>
      <c r="E840" s="1" t="s">
        <v>48</v>
      </c>
      <c r="F840" s="1" t="s">
        <v>41</v>
      </c>
      <c r="G840" s="1">
        <v>32455</v>
      </c>
      <c r="H840" s="1">
        <f>'1_Departamento_n'!C16</f>
        <v>1076349</v>
      </c>
      <c r="I840" s="1">
        <f>'1_Departamento_n'!H16</f>
        <v>1312</v>
      </c>
      <c r="J840" s="1">
        <f>'0_Parametros'!B7</f>
        <v>10</v>
      </c>
      <c r="K840" s="3">
        <f>(I840-SUM($J$786:$J$841))*G840/H840</f>
        <v>22.674950225252218</v>
      </c>
      <c r="L840" s="1">
        <f>INT(K840)</f>
        <v>22</v>
      </c>
      <c r="M840" s="3">
        <f>K840-L840</f>
        <v>0.6749502252522177</v>
      </c>
      <c r="N840" s="1">
        <f>COUNTIF($M$786:$M$841,"&gt;"&amp;M840)+COUNTIF($M$786:M840,M840)</f>
        <v>22</v>
      </c>
      <c r="O840" s="1">
        <f>J840+L840+IF(N840&lt;=I840-SUM($J$786:$J$841)-SUM($L$786:$L$841),1,0)</f>
        <v>33</v>
      </c>
    </row>
    <row r="841" spans="1:15">
      <c r="A841" s="1" t="s">
        <v>60</v>
      </c>
      <c r="B841" s="1" t="s">
        <v>66</v>
      </c>
      <c r="C841" s="1" t="s">
        <v>50</v>
      </c>
      <c r="D841" s="1" t="s">
        <v>49</v>
      </c>
      <c r="E841" s="1" t="s">
        <v>48</v>
      </c>
      <c r="F841" s="1" t="s">
        <v>42</v>
      </c>
      <c r="G841" s="1">
        <v>13731</v>
      </c>
      <c r="H841" s="1">
        <f>'1_Departamento_n'!C16</f>
        <v>1076349</v>
      </c>
      <c r="I841" s="1">
        <f>'1_Departamento_n'!H16</f>
        <v>1312</v>
      </c>
      <c r="J841" s="1">
        <f>'0_Parametros'!B7</f>
        <v>10</v>
      </c>
      <c r="K841" s="3">
        <f>(I841-SUM($J$786:$J$841))*G841/H841</f>
        <v>9.593275043689362</v>
      </c>
      <c r="L841" s="1">
        <f>INT(K841)</f>
        <v>9</v>
      </c>
      <c r="M841" s="3">
        <f>K841-L841</f>
        <v>0.5932750436893617</v>
      </c>
      <c r="N841" s="1">
        <f>COUNTIF($M$786:$M$841,"&gt;"&amp;M841)+COUNTIF($M$786:M841,M841)</f>
        <v>24</v>
      </c>
      <c r="O841" s="1">
        <f>J841+L841+IF(N841&lt;=I841-SUM($J$786:$J$841)-SUM($L$786:$L$841),1,0)</f>
        <v>20</v>
      </c>
    </row>
    <row r="842" spans="1:15">
      <c r="A842" s="1" t="s">
        <v>60</v>
      </c>
      <c r="B842" s="1" t="s">
        <v>67</v>
      </c>
      <c r="C842" s="1" t="s">
        <v>38</v>
      </c>
      <c r="D842" s="1" t="s">
        <v>39</v>
      </c>
      <c r="E842" s="1" t="s">
        <v>40</v>
      </c>
      <c r="F842" s="1" t="s">
        <v>41</v>
      </c>
      <c r="G842" s="1">
        <v>20007</v>
      </c>
      <c r="H842" s="1">
        <f>'1_Departamento_n'!C17</f>
        <v>1300917</v>
      </c>
      <c r="I842" s="1">
        <f>'1_Departamento_n'!H17</f>
        <v>1312</v>
      </c>
      <c r="J842" s="1">
        <f>'0_Parametros'!B7</f>
        <v>10</v>
      </c>
      <c r="K842" s="3">
        <f>(I842-SUM($J$842:$J$897))*G842/H842</f>
        <v>11.565122140766858</v>
      </c>
      <c r="L842" s="1">
        <f>INT(K842)</f>
        <v>11</v>
      </c>
      <c r="M842" s="3">
        <f>K842-L842</f>
        <v>0.5651221407668583</v>
      </c>
      <c r="N842" s="1">
        <f>COUNTIF($M$842:$M$897,"&gt;"&amp;M842)+COUNTIF($M$842:M842,M842)</f>
        <v>23</v>
      </c>
      <c r="O842" s="1">
        <f>J842+L842+IF(N842&lt;=I842-SUM($J$842:$J$897)-SUM($L$842:$L$897),1,0)</f>
        <v>22</v>
      </c>
    </row>
    <row r="843" spans="1:15">
      <c r="A843" s="1" t="s">
        <v>60</v>
      </c>
      <c r="B843" s="1" t="s">
        <v>67</v>
      </c>
      <c r="C843" s="1" t="s">
        <v>38</v>
      </c>
      <c r="D843" s="1" t="s">
        <v>39</v>
      </c>
      <c r="E843" s="1" t="s">
        <v>40</v>
      </c>
      <c r="F843" s="1" t="s">
        <v>42</v>
      </c>
      <c r="G843" s="1">
        <v>1746</v>
      </c>
      <c r="H843" s="1">
        <f>'1_Departamento_n'!C17</f>
        <v>1300917</v>
      </c>
      <c r="I843" s="1">
        <f>'1_Departamento_n'!H17</f>
        <v>1312</v>
      </c>
      <c r="J843" s="1">
        <f>'0_Parametros'!B7</f>
        <v>10</v>
      </c>
      <c r="K843" s="3">
        <f>(I843-SUM($J$842:$J$897))*G843/H843</f>
        <v>1.0092819142189702</v>
      </c>
      <c r="L843" s="1">
        <f>INT(K843)</f>
        <v>1</v>
      </c>
      <c r="M843" s="3">
        <f>K843-L843</f>
        <v>0.009281914218970178</v>
      </c>
      <c r="N843" s="1">
        <f>COUNTIF($M$842:$M$897,"&gt;"&amp;M843)+COUNTIF($M$842:M843,M843)</f>
        <v>56</v>
      </c>
      <c r="O843" s="1">
        <f>J843+L843+IF(N843&lt;=I843-SUM($J$842:$J$897)-SUM($L$842:$L$897),1,0)</f>
        <v>11</v>
      </c>
    </row>
    <row r="844" spans="1:15">
      <c r="A844" s="1" t="s">
        <v>60</v>
      </c>
      <c r="B844" s="1" t="s">
        <v>67</v>
      </c>
      <c r="C844" s="1" t="s">
        <v>38</v>
      </c>
      <c r="D844" s="1" t="s">
        <v>39</v>
      </c>
      <c r="E844" s="1" t="s">
        <v>43</v>
      </c>
      <c r="F844" s="1" t="s">
        <v>41</v>
      </c>
      <c r="G844" s="1">
        <v>29898</v>
      </c>
      <c r="H844" s="1">
        <f>'1_Departamento_n'!C17</f>
        <v>1300917</v>
      </c>
      <c r="I844" s="1">
        <f>'1_Departamento_n'!H17</f>
        <v>1312</v>
      </c>
      <c r="J844" s="1">
        <f>'0_Parametros'!B7</f>
        <v>10</v>
      </c>
      <c r="K844" s="3">
        <f>(I844-SUM($J$842:$J$897))*G844/H844</f>
        <v>17.282652159976386</v>
      </c>
      <c r="L844" s="1">
        <f>INT(K844)</f>
        <v>17</v>
      </c>
      <c r="M844" s="3">
        <f>K844-L844</f>
        <v>0.2826521599763865</v>
      </c>
      <c r="N844" s="1">
        <f>COUNTIF($M$842:$M$897,"&gt;"&amp;M844)+COUNTIF($M$842:M844,M844)</f>
        <v>39</v>
      </c>
      <c r="O844" s="1">
        <f>J844+L844+IF(N844&lt;=I844-SUM($J$842:$J$897)-SUM($L$842:$L$897),1,0)</f>
        <v>27</v>
      </c>
    </row>
    <row r="845" spans="1:15">
      <c r="A845" s="1" t="s">
        <v>60</v>
      </c>
      <c r="B845" s="1" t="s">
        <v>67</v>
      </c>
      <c r="C845" s="1" t="s">
        <v>38</v>
      </c>
      <c r="D845" s="1" t="s">
        <v>39</v>
      </c>
      <c r="E845" s="1" t="s">
        <v>43</v>
      </c>
      <c r="F845" s="1" t="s">
        <v>42</v>
      </c>
      <c r="G845" s="1">
        <v>1989</v>
      </c>
      <c r="H845" s="1">
        <f>'1_Departamento_n'!C17</f>
        <v>1300917</v>
      </c>
      <c r="I845" s="1">
        <f>'1_Departamento_n'!H17</f>
        <v>1312</v>
      </c>
      <c r="J845" s="1">
        <f>'0_Parametros'!B7</f>
        <v>10</v>
      </c>
      <c r="K845" s="3">
        <f>(I845-SUM($J$842:$J$897))*G845/H845</f>
        <v>1.1497489847546</v>
      </c>
      <c r="L845" s="1">
        <f>INT(K845)</f>
        <v>1</v>
      </c>
      <c r="M845" s="3">
        <f>K845-L845</f>
        <v>0.14974898475460008</v>
      </c>
      <c r="N845" s="1">
        <f>COUNTIF($M$842:$M$897,"&gt;"&amp;M845)+COUNTIF($M$842:M845,M845)</f>
        <v>45</v>
      </c>
      <c r="O845" s="1">
        <f>J845+L845+IF(N845&lt;=I845-SUM($J$842:$J$897)-SUM($L$842:$L$897),1,0)</f>
        <v>11</v>
      </c>
    </row>
    <row r="846" spans="1:15">
      <c r="A846" s="1" t="s">
        <v>60</v>
      </c>
      <c r="B846" s="1" t="s">
        <v>67</v>
      </c>
      <c r="C846" s="1" t="s">
        <v>38</v>
      </c>
      <c r="D846" s="1" t="s">
        <v>39</v>
      </c>
      <c r="E846" s="1" t="s">
        <v>44</v>
      </c>
      <c r="F846" s="1" t="s">
        <v>41</v>
      </c>
      <c r="G846" s="1">
        <v>33348</v>
      </c>
      <c r="H846" s="1">
        <f>'1_Departamento_n'!C17</f>
        <v>1300917</v>
      </c>
      <c r="I846" s="1">
        <f>'1_Departamento_n'!H17</f>
        <v>1312</v>
      </c>
      <c r="J846" s="1">
        <f>'0_Parametros'!B7</f>
        <v>10</v>
      </c>
      <c r="K846" s="3">
        <f>(I846-SUM($J$842:$J$897))*G846/H846</f>
        <v>19.276937729309402</v>
      </c>
      <c r="L846" s="1">
        <f>INT(K846)</f>
        <v>19</v>
      </c>
      <c r="M846" s="3">
        <f>K846-L846</f>
        <v>0.2769377293094024</v>
      </c>
      <c r="N846" s="1">
        <f>COUNTIF($M$842:$M$897,"&gt;"&amp;M846)+COUNTIF($M$842:M846,M846)</f>
        <v>40</v>
      </c>
      <c r="O846" s="1">
        <f>J846+L846+IF(N846&lt;=I846-SUM($J$842:$J$897)-SUM($L$842:$L$897),1,0)</f>
        <v>29</v>
      </c>
    </row>
    <row r="847" spans="1:15">
      <c r="A847" s="1" t="s">
        <v>60</v>
      </c>
      <c r="B847" s="1" t="s">
        <v>67</v>
      </c>
      <c r="C847" s="1" t="s">
        <v>38</v>
      </c>
      <c r="D847" s="1" t="s">
        <v>39</v>
      </c>
      <c r="E847" s="1" t="s">
        <v>44</v>
      </c>
      <c r="F847" s="1" t="s">
        <v>42</v>
      </c>
      <c r="G847" s="1">
        <v>2924</v>
      </c>
      <c r="H847" s="1">
        <f>'1_Departamento_n'!C17</f>
        <v>1300917</v>
      </c>
      <c r="I847" s="1">
        <f>'1_Departamento_n'!H17</f>
        <v>1312</v>
      </c>
      <c r="J847" s="1">
        <f>'0_Parametros'!B7</f>
        <v>10</v>
      </c>
      <c r="K847" s="3">
        <f>(I847-SUM($J$842:$J$897))*G847/H847</f>
        <v>1.690229276733258</v>
      </c>
      <c r="L847" s="1">
        <f>INT(K847)</f>
        <v>1</v>
      </c>
      <c r="M847" s="3">
        <f>K847-L847</f>
        <v>0.6902292767332581</v>
      </c>
      <c r="N847" s="1">
        <f>COUNTIF($M$842:$M$897,"&gt;"&amp;M847)+COUNTIF($M$842:M847,M847)</f>
        <v>16</v>
      </c>
      <c r="O847" s="1">
        <f>J847+L847+IF(N847&lt;=I847-SUM($J$842:$J$897)-SUM($L$842:$L$897),1,0)</f>
        <v>12</v>
      </c>
    </row>
    <row r="848" spans="1:15">
      <c r="A848" s="1" t="s">
        <v>60</v>
      </c>
      <c r="B848" s="1" t="s">
        <v>67</v>
      </c>
      <c r="C848" s="1" t="s">
        <v>38</v>
      </c>
      <c r="D848" s="1" t="s">
        <v>39</v>
      </c>
      <c r="E848" s="1" t="s">
        <v>45</v>
      </c>
      <c r="F848" s="1" t="s">
        <v>41</v>
      </c>
      <c r="G848" s="1">
        <v>38759</v>
      </c>
      <c r="H848" s="1">
        <f>'1_Departamento_n'!C17</f>
        <v>1300917</v>
      </c>
      <c r="I848" s="1">
        <f>'1_Departamento_n'!H17</f>
        <v>1312</v>
      </c>
      <c r="J848" s="1">
        <f>'0_Parametros'!B7</f>
        <v>10</v>
      </c>
      <c r="K848" s="3">
        <f>(I848-SUM($J$842:$J$897))*G848/H848</f>
        <v>22.40478677732707</v>
      </c>
      <c r="L848" s="1">
        <f>INT(K848)</f>
        <v>22</v>
      </c>
      <c r="M848" s="3">
        <f>K848-L848</f>
        <v>0.4047867773270717</v>
      </c>
      <c r="N848" s="1">
        <f>COUNTIF($M$842:$M$897,"&gt;"&amp;M848)+COUNTIF($M$842:M848,M848)</f>
        <v>32</v>
      </c>
      <c r="O848" s="1">
        <f>J848+L848+IF(N848&lt;=I848-SUM($J$842:$J$897)-SUM($L$842:$L$897),1,0)</f>
        <v>32</v>
      </c>
    </row>
    <row r="849" spans="1:15">
      <c r="A849" s="1" t="s">
        <v>60</v>
      </c>
      <c r="B849" s="1" t="s">
        <v>67</v>
      </c>
      <c r="C849" s="1" t="s">
        <v>38</v>
      </c>
      <c r="D849" s="1" t="s">
        <v>39</v>
      </c>
      <c r="E849" s="1" t="s">
        <v>45</v>
      </c>
      <c r="F849" s="1" t="s">
        <v>42</v>
      </c>
      <c r="G849" s="1">
        <v>2281</v>
      </c>
      <c r="H849" s="1">
        <f>'1_Departamento_n'!C17</f>
        <v>1300917</v>
      </c>
      <c r="I849" s="1">
        <f>'1_Departamento_n'!H17</f>
        <v>1312</v>
      </c>
      <c r="J849" s="1">
        <f>'0_Parametros'!B7</f>
        <v>10</v>
      </c>
      <c r="K849" s="3">
        <f>(I849-SUM($J$842:$J$897))*G849/H849</f>
        <v>1.318540690912641</v>
      </c>
      <c r="L849" s="1">
        <f>INT(K849)</f>
        <v>1</v>
      </c>
      <c r="M849" s="3">
        <f>K849-L849</f>
        <v>0.3185406909126409</v>
      </c>
      <c r="N849" s="1">
        <f>COUNTIF($M$842:$M$897,"&gt;"&amp;M849)+COUNTIF($M$842:M849,M849)</f>
        <v>37</v>
      </c>
      <c r="O849" s="1">
        <f>J849+L849+IF(N849&lt;=I849-SUM($J$842:$J$897)-SUM($L$842:$L$897),1,0)</f>
        <v>11</v>
      </c>
    </row>
    <row r="850" spans="1:15">
      <c r="A850" s="1" t="s">
        <v>60</v>
      </c>
      <c r="B850" s="1" t="s">
        <v>67</v>
      </c>
      <c r="C850" s="1" t="s">
        <v>38</v>
      </c>
      <c r="D850" s="1" t="s">
        <v>39</v>
      </c>
      <c r="E850" s="1" t="s">
        <v>46</v>
      </c>
      <c r="F850" s="1" t="s">
        <v>41</v>
      </c>
      <c r="G850" s="1">
        <v>34108</v>
      </c>
      <c r="H850" s="1">
        <f>'1_Departamento_n'!C17</f>
        <v>1300917</v>
      </c>
      <c r="I850" s="1">
        <f>'1_Departamento_n'!H17</f>
        <v>1312</v>
      </c>
      <c r="J850" s="1">
        <f>'0_Parametros'!B7</f>
        <v>10</v>
      </c>
      <c r="K850" s="3">
        <f>(I850-SUM($J$842:$J$897))*G850/H850</f>
        <v>19.716258608350877</v>
      </c>
      <c r="L850" s="1">
        <f>INT(K850)</f>
        <v>19</v>
      </c>
      <c r="M850" s="3">
        <f>K850-L850</f>
        <v>0.7162586083508771</v>
      </c>
      <c r="N850" s="1">
        <f>COUNTIF($M$842:$M$897,"&gt;"&amp;M850)+COUNTIF($M$842:M850,M850)</f>
        <v>13</v>
      </c>
      <c r="O850" s="1">
        <f>J850+L850+IF(N850&lt;=I850-SUM($J$842:$J$897)-SUM($L$842:$L$897),1,0)</f>
        <v>30</v>
      </c>
    </row>
    <row r="851" spans="1:15">
      <c r="A851" s="1" t="s">
        <v>60</v>
      </c>
      <c r="B851" s="1" t="s">
        <v>67</v>
      </c>
      <c r="C851" s="1" t="s">
        <v>38</v>
      </c>
      <c r="D851" s="1" t="s">
        <v>39</v>
      </c>
      <c r="E851" s="1" t="s">
        <v>46</v>
      </c>
      <c r="F851" s="1" t="s">
        <v>42</v>
      </c>
      <c r="G851" s="1">
        <v>1628</v>
      </c>
      <c r="H851" s="1">
        <f>'1_Departamento_n'!C17</f>
        <v>1300917</v>
      </c>
      <c r="I851" s="1">
        <f>'1_Departamento_n'!H17</f>
        <v>1312</v>
      </c>
      <c r="J851" s="1">
        <f>'0_Parametros'!B7</f>
        <v>10</v>
      </c>
      <c r="K851" s="3">
        <f>(I851-SUM($J$842:$J$897))*G851/H851</f>
        <v>0.9410715672098988</v>
      </c>
      <c r="L851" s="1">
        <f>INT(K851)</f>
        <v>0</v>
      </c>
      <c r="M851" s="3">
        <f>K851-L851</f>
        <v>0.9410715672098988</v>
      </c>
      <c r="N851" s="1">
        <f>COUNTIF($M$842:$M$897,"&gt;"&amp;M851)+COUNTIF($M$842:M851,M851)</f>
        <v>4</v>
      </c>
      <c r="O851" s="1">
        <f>J851+L851+IF(N851&lt;=I851-SUM($J$842:$J$897)-SUM($L$842:$L$897),1,0)</f>
        <v>11</v>
      </c>
    </row>
    <row r="852" spans="1:15">
      <c r="A852" s="1" t="s">
        <v>60</v>
      </c>
      <c r="B852" s="1" t="s">
        <v>67</v>
      </c>
      <c r="C852" s="1" t="s">
        <v>38</v>
      </c>
      <c r="D852" s="1" t="s">
        <v>39</v>
      </c>
      <c r="E852" s="1" t="s">
        <v>47</v>
      </c>
      <c r="F852" s="1" t="s">
        <v>41</v>
      </c>
      <c r="G852" s="1">
        <v>28749</v>
      </c>
      <c r="H852" s="1">
        <f>'1_Departamento_n'!C17</f>
        <v>1300917</v>
      </c>
      <c r="I852" s="1">
        <f>'1_Departamento_n'!H17</f>
        <v>1312</v>
      </c>
      <c r="J852" s="1">
        <f>'0_Parametros'!B7</f>
        <v>10</v>
      </c>
      <c r="K852" s="3">
        <f>(I852-SUM($J$842:$J$897))*G852/H852</f>
        <v>16.61846835732026</v>
      </c>
      <c r="L852" s="1">
        <f>INT(K852)</f>
        <v>16</v>
      </c>
      <c r="M852" s="3">
        <f>K852-L852</f>
        <v>0.6184683573202605</v>
      </c>
      <c r="N852" s="1">
        <f>COUNTIF($M$842:$M$897,"&gt;"&amp;M852)+COUNTIF($M$842:M852,M852)</f>
        <v>21</v>
      </c>
      <c r="O852" s="1">
        <f>J852+L852+IF(N852&lt;=I852-SUM($J$842:$J$897)-SUM($L$842:$L$897),1,0)</f>
        <v>27</v>
      </c>
    </row>
    <row r="853" spans="1:15">
      <c r="A853" s="1" t="s">
        <v>60</v>
      </c>
      <c r="B853" s="1" t="s">
        <v>67</v>
      </c>
      <c r="C853" s="1" t="s">
        <v>38</v>
      </c>
      <c r="D853" s="1" t="s">
        <v>39</v>
      </c>
      <c r="E853" s="1" t="s">
        <v>47</v>
      </c>
      <c r="F853" s="1" t="s">
        <v>42</v>
      </c>
      <c r="G853" s="1">
        <v>1162</v>
      </c>
      <c r="H853" s="1">
        <f>'1_Departamento_n'!C17</f>
        <v>1300917</v>
      </c>
      <c r="I853" s="1">
        <f>'1_Departamento_n'!H17</f>
        <v>1312</v>
      </c>
      <c r="J853" s="1">
        <f>'0_Parametros'!B7</f>
        <v>10</v>
      </c>
      <c r="K853" s="3">
        <f>(I853-SUM($J$842:$J$897))*G853/H853</f>
        <v>0.6716985019028885</v>
      </c>
      <c r="L853" s="1">
        <f>INT(K853)</f>
        <v>0</v>
      </c>
      <c r="M853" s="3">
        <f>K853-L853</f>
        <v>0.6716985019028885</v>
      </c>
      <c r="N853" s="1">
        <f>COUNTIF($M$842:$M$897,"&gt;"&amp;M853)+COUNTIF($M$842:M853,M853)</f>
        <v>18</v>
      </c>
      <c r="O853" s="1">
        <f>J853+L853+IF(N853&lt;=I853-SUM($J$842:$J$897)-SUM($L$842:$L$897),1,0)</f>
        <v>11</v>
      </c>
    </row>
    <row r="854" spans="1:15">
      <c r="A854" s="1" t="s">
        <v>60</v>
      </c>
      <c r="B854" s="1" t="s">
        <v>67</v>
      </c>
      <c r="C854" s="1" t="s">
        <v>38</v>
      </c>
      <c r="D854" s="1" t="s">
        <v>39</v>
      </c>
      <c r="E854" s="1" t="s">
        <v>48</v>
      </c>
      <c r="F854" s="1" t="s">
        <v>41</v>
      </c>
      <c r="G854" s="1">
        <v>55732</v>
      </c>
      <c r="H854" s="1">
        <f>'1_Departamento_n'!C17</f>
        <v>1300917</v>
      </c>
      <c r="I854" s="1">
        <f>'1_Departamento_n'!H17</f>
        <v>1312</v>
      </c>
      <c r="J854" s="1">
        <f>'0_Parametros'!B7</f>
        <v>10</v>
      </c>
      <c r="K854" s="3">
        <f>(I854-SUM($J$842:$J$897))*G854/H854</f>
        <v>32.2160937246573</v>
      </c>
      <c r="L854" s="1">
        <f>INT(K854)</f>
        <v>32</v>
      </c>
      <c r="M854" s="3">
        <f>K854-L854</f>
        <v>0.21609372465729848</v>
      </c>
      <c r="N854" s="1">
        <f>COUNTIF($M$842:$M$897,"&gt;"&amp;M854)+COUNTIF($M$842:M854,M854)</f>
        <v>41</v>
      </c>
      <c r="O854" s="1">
        <f>J854+L854+IF(N854&lt;=I854-SUM($J$842:$J$897)-SUM($L$842:$L$897),1,0)</f>
        <v>42</v>
      </c>
    </row>
    <row r="855" spans="1:15">
      <c r="A855" s="1" t="s">
        <v>60</v>
      </c>
      <c r="B855" s="1" t="s">
        <v>67</v>
      </c>
      <c r="C855" s="1" t="s">
        <v>38</v>
      </c>
      <c r="D855" s="1" t="s">
        <v>39</v>
      </c>
      <c r="E855" s="1" t="s">
        <v>48</v>
      </c>
      <c r="F855" s="1" t="s">
        <v>42</v>
      </c>
      <c r="G855" s="1">
        <v>1748</v>
      </c>
      <c r="H855" s="1">
        <f>'1_Departamento_n'!C17</f>
        <v>1300917</v>
      </c>
      <c r="I855" s="1">
        <f>'1_Departamento_n'!H17</f>
        <v>1312</v>
      </c>
      <c r="J855" s="1">
        <f>'0_Parametros'!B7</f>
        <v>10</v>
      </c>
      <c r="K855" s="3">
        <f>(I855-SUM($J$842:$J$897))*G855/H855</f>
        <v>1.010438021795395</v>
      </c>
      <c r="L855" s="1">
        <f>INT(K855)</f>
        <v>1</v>
      </c>
      <c r="M855" s="3">
        <f>K855-L855</f>
        <v>0.010438021795394992</v>
      </c>
      <c r="N855" s="1">
        <f>COUNTIF($M$842:$M$897,"&gt;"&amp;M855)+COUNTIF($M$842:M855,M855)</f>
        <v>55</v>
      </c>
      <c r="O855" s="1">
        <f>J855+L855+IF(N855&lt;=I855-SUM($J$842:$J$897)-SUM($L$842:$L$897),1,0)</f>
        <v>11</v>
      </c>
    </row>
    <row r="856" spans="1:15">
      <c r="A856" s="1" t="s">
        <v>60</v>
      </c>
      <c r="B856" s="1" t="s">
        <v>67</v>
      </c>
      <c r="C856" s="1" t="s">
        <v>38</v>
      </c>
      <c r="D856" s="1" t="s">
        <v>49</v>
      </c>
      <c r="E856" s="1" t="s">
        <v>40</v>
      </c>
      <c r="F856" s="1" t="s">
        <v>41</v>
      </c>
      <c r="G856" s="1">
        <v>20892</v>
      </c>
      <c r="H856" s="1">
        <f>'1_Departamento_n'!C17</f>
        <v>1300917</v>
      </c>
      <c r="I856" s="1">
        <f>'1_Departamento_n'!H17</f>
        <v>1312</v>
      </c>
      <c r="J856" s="1">
        <f>'0_Parametros'!B7</f>
        <v>10</v>
      </c>
      <c r="K856" s="3">
        <f>(I856-SUM($J$842:$J$897))*G856/H856</f>
        <v>12.076699743334894</v>
      </c>
      <c r="L856" s="1">
        <f>INT(K856)</f>
        <v>12</v>
      </c>
      <c r="M856" s="3">
        <f>K856-L856</f>
        <v>0.07669974333489371</v>
      </c>
      <c r="N856" s="1">
        <f>COUNTIF($M$842:$M$897,"&gt;"&amp;M856)+COUNTIF($M$842:M856,M856)</f>
        <v>51</v>
      </c>
      <c r="O856" s="1">
        <f>J856+L856+IF(N856&lt;=I856-SUM($J$842:$J$897)-SUM($L$842:$L$897),1,0)</f>
        <v>22</v>
      </c>
    </row>
    <row r="857" spans="1:15">
      <c r="A857" s="1" t="s">
        <v>60</v>
      </c>
      <c r="B857" s="1" t="s">
        <v>67</v>
      </c>
      <c r="C857" s="1" t="s">
        <v>38</v>
      </c>
      <c r="D857" s="1" t="s">
        <v>49</v>
      </c>
      <c r="E857" s="1" t="s">
        <v>40</v>
      </c>
      <c r="F857" s="1" t="s">
        <v>42</v>
      </c>
      <c r="G857" s="1">
        <v>1842</v>
      </c>
      <c r="H857" s="1">
        <f>'1_Departamento_n'!C17</f>
        <v>1300917</v>
      </c>
      <c r="I857" s="1">
        <f>'1_Departamento_n'!H17</f>
        <v>1312</v>
      </c>
      <c r="J857" s="1">
        <f>'0_Parametros'!B7</f>
        <v>10</v>
      </c>
      <c r="K857" s="3">
        <f>(I857-SUM($J$842:$J$897))*G857/H857</f>
        <v>1.0647750778873672</v>
      </c>
      <c r="L857" s="1">
        <f>INT(K857)</f>
        <v>1</v>
      </c>
      <c r="M857" s="3">
        <f>K857-L857</f>
        <v>0.06477507788736725</v>
      </c>
      <c r="N857" s="1">
        <f>COUNTIF($M$842:$M$897,"&gt;"&amp;M857)+COUNTIF($M$842:M857,M857)</f>
        <v>53</v>
      </c>
      <c r="O857" s="1">
        <f>J857+L857+IF(N857&lt;=I857-SUM($J$842:$J$897)-SUM($L$842:$L$897),1,0)</f>
        <v>11</v>
      </c>
    </row>
    <row r="858" spans="1:15">
      <c r="A858" s="1" t="s">
        <v>60</v>
      </c>
      <c r="B858" s="1" t="s">
        <v>67</v>
      </c>
      <c r="C858" s="1" t="s">
        <v>38</v>
      </c>
      <c r="D858" s="1" t="s">
        <v>49</v>
      </c>
      <c r="E858" s="1" t="s">
        <v>43</v>
      </c>
      <c r="F858" s="1" t="s">
        <v>41</v>
      </c>
      <c r="G858" s="1">
        <v>30439</v>
      </c>
      <c r="H858" s="1">
        <f>'1_Departamento_n'!C17</f>
        <v>1300917</v>
      </c>
      <c r="I858" s="1">
        <f>'1_Departamento_n'!H17</f>
        <v>1312</v>
      </c>
      <c r="J858" s="1">
        <f>'0_Parametros'!B7</f>
        <v>10</v>
      </c>
      <c r="K858" s="3">
        <f>(I858-SUM($J$842:$J$897))*G858/H858</f>
        <v>17.59537925939933</v>
      </c>
      <c r="L858" s="1">
        <f>INT(K858)</f>
        <v>17</v>
      </c>
      <c r="M858" s="3">
        <f>K858-L858</f>
        <v>0.5953792593993299</v>
      </c>
      <c r="N858" s="1">
        <f>COUNTIF($M$842:$M$897,"&gt;"&amp;M858)+COUNTIF($M$842:M858,M858)</f>
        <v>22</v>
      </c>
      <c r="O858" s="1">
        <f>J858+L858+IF(N858&lt;=I858-SUM($J$842:$J$897)-SUM($L$842:$L$897),1,0)</f>
        <v>28</v>
      </c>
    </row>
    <row r="859" spans="1:15">
      <c r="A859" s="1" t="s">
        <v>60</v>
      </c>
      <c r="B859" s="1" t="s">
        <v>67</v>
      </c>
      <c r="C859" s="1" t="s">
        <v>38</v>
      </c>
      <c r="D859" s="1" t="s">
        <v>49</v>
      </c>
      <c r="E859" s="1" t="s">
        <v>43</v>
      </c>
      <c r="F859" s="1" t="s">
        <v>42</v>
      </c>
      <c r="G859" s="1">
        <v>2103</v>
      </c>
      <c r="H859" s="1">
        <f>'1_Departamento_n'!C17</f>
        <v>1300917</v>
      </c>
      <c r="I859" s="1">
        <f>'1_Departamento_n'!H17</f>
        <v>1312</v>
      </c>
      <c r="J859" s="1">
        <f>'0_Parametros'!B7</f>
        <v>10</v>
      </c>
      <c r="K859" s="3">
        <f>(I859-SUM($J$842:$J$897))*G859/H859</f>
        <v>1.2156471166108214</v>
      </c>
      <c r="L859" s="1">
        <f>INT(K859)</f>
        <v>1</v>
      </c>
      <c r="M859" s="3">
        <f>K859-L859</f>
        <v>0.21564711661082137</v>
      </c>
      <c r="N859" s="1">
        <f>COUNTIF($M$842:$M$897,"&gt;"&amp;M859)+COUNTIF($M$842:M859,M859)</f>
        <v>42</v>
      </c>
      <c r="O859" s="1">
        <f>J859+L859+IF(N859&lt;=I859-SUM($J$842:$J$897)-SUM($L$842:$L$897),1,0)</f>
        <v>11</v>
      </c>
    </row>
    <row r="860" spans="1:15">
      <c r="A860" s="1" t="s">
        <v>60</v>
      </c>
      <c r="B860" s="1" t="s">
        <v>67</v>
      </c>
      <c r="C860" s="1" t="s">
        <v>38</v>
      </c>
      <c r="D860" s="1" t="s">
        <v>49</v>
      </c>
      <c r="E860" s="1" t="s">
        <v>44</v>
      </c>
      <c r="F860" s="1" t="s">
        <v>41</v>
      </c>
      <c r="G860" s="1">
        <v>33232</v>
      </c>
      <c r="H860" s="1">
        <f>'1_Departamento_n'!C17</f>
        <v>1300917</v>
      </c>
      <c r="I860" s="1">
        <f>'1_Departamento_n'!H17</f>
        <v>1312</v>
      </c>
      <c r="J860" s="1">
        <f>'0_Parametros'!B7</f>
        <v>10</v>
      </c>
      <c r="K860" s="3">
        <f>(I860-SUM($J$842:$J$897))*G860/H860</f>
        <v>19.209883489876756</v>
      </c>
      <c r="L860" s="1">
        <f>INT(K860)</f>
        <v>19</v>
      </c>
      <c r="M860" s="3">
        <f>K860-L860</f>
        <v>0.20988348987675565</v>
      </c>
      <c r="N860" s="1">
        <f>COUNTIF($M$842:$M$897,"&gt;"&amp;M860)+COUNTIF($M$842:M860,M860)</f>
        <v>43</v>
      </c>
      <c r="O860" s="1">
        <f>J860+L860+IF(N860&lt;=I860-SUM($J$842:$J$897)-SUM($L$842:$L$897),1,0)</f>
        <v>29</v>
      </c>
    </row>
    <row r="861" spans="1:15">
      <c r="A861" s="1" t="s">
        <v>60</v>
      </c>
      <c r="B861" s="1" t="s">
        <v>67</v>
      </c>
      <c r="C861" s="1" t="s">
        <v>38</v>
      </c>
      <c r="D861" s="1" t="s">
        <v>49</v>
      </c>
      <c r="E861" s="1" t="s">
        <v>44</v>
      </c>
      <c r="F861" s="1" t="s">
        <v>42</v>
      </c>
      <c r="G861" s="1">
        <v>3574</v>
      </c>
      <c r="H861" s="1">
        <f>'1_Departamento_n'!C17</f>
        <v>1300917</v>
      </c>
      <c r="I861" s="1">
        <f>'1_Departamento_n'!H17</f>
        <v>1312</v>
      </c>
      <c r="J861" s="1">
        <f>'0_Parametros'!B7</f>
        <v>10</v>
      </c>
      <c r="K861" s="3">
        <f>(I861-SUM($J$842:$J$897))*G861/H861</f>
        <v>2.065964239071363</v>
      </c>
      <c r="L861" s="1">
        <f>INT(K861)</f>
        <v>2</v>
      </c>
      <c r="M861" s="3">
        <f>K861-L861</f>
        <v>0.06596423907136284</v>
      </c>
      <c r="N861" s="1">
        <f>COUNTIF($M$842:$M$897,"&gt;"&amp;M861)+COUNTIF($M$842:M861,M861)</f>
        <v>52</v>
      </c>
      <c r="O861" s="1">
        <f>J861+L861+IF(N861&lt;=I861-SUM($J$842:$J$897)-SUM($L$842:$L$897),1,0)</f>
        <v>12</v>
      </c>
    </row>
    <row r="862" spans="1:15">
      <c r="A862" s="1" t="s">
        <v>60</v>
      </c>
      <c r="B862" s="1" t="s">
        <v>67</v>
      </c>
      <c r="C862" s="1" t="s">
        <v>38</v>
      </c>
      <c r="D862" s="1" t="s">
        <v>49</v>
      </c>
      <c r="E862" s="1" t="s">
        <v>45</v>
      </c>
      <c r="F862" s="1" t="s">
        <v>41</v>
      </c>
      <c r="G862" s="1">
        <v>36497</v>
      </c>
      <c r="H862" s="1">
        <f>'1_Departamento_n'!C17</f>
        <v>1300917</v>
      </c>
      <c r="I862" s="1">
        <f>'1_Departamento_n'!H17</f>
        <v>1312</v>
      </c>
      <c r="J862" s="1">
        <f>'0_Parametros'!B7</f>
        <v>10</v>
      </c>
      <c r="K862" s="3">
        <f>(I862-SUM($J$842:$J$897))*G862/H862</f>
        <v>21.097229108390465</v>
      </c>
      <c r="L862" s="1">
        <f>INT(K862)</f>
        <v>21</v>
      </c>
      <c r="M862" s="3">
        <f>K862-L862</f>
        <v>0.09722910839046506</v>
      </c>
      <c r="N862" s="1">
        <f>COUNTIF($M$842:$M$897,"&gt;"&amp;M862)+COUNTIF($M$842:M862,M862)</f>
        <v>49</v>
      </c>
      <c r="O862" s="1">
        <f>J862+L862+IF(N862&lt;=I862-SUM($J$842:$J$897)-SUM($L$842:$L$897),1,0)</f>
        <v>31</v>
      </c>
    </row>
    <row r="863" spans="1:15">
      <c r="A863" s="1" t="s">
        <v>60</v>
      </c>
      <c r="B863" s="1" t="s">
        <v>67</v>
      </c>
      <c r="C863" s="1" t="s">
        <v>38</v>
      </c>
      <c r="D863" s="1" t="s">
        <v>49</v>
      </c>
      <c r="E863" s="1" t="s">
        <v>45</v>
      </c>
      <c r="F863" s="1" t="s">
        <v>42</v>
      </c>
      <c r="G863" s="1">
        <v>2856</v>
      </c>
      <c r="H863" s="1">
        <f>'1_Departamento_n'!C17</f>
        <v>1300917</v>
      </c>
      <c r="I863" s="1">
        <f>'1_Departamento_n'!H17</f>
        <v>1312</v>
      </c>
      <c r="J863" s="1">
        <f>'0_Parametros'!B7</f>
        <v>10</v>
      </c>
      <c r="K863" s="3">
        <f>(I863-SUM($J$842:$J$897))*G863/H863</f>
        <v>1.6509216191348104</v>
      </c>
      <c r="L863" s="1">
        <f>INT(K863)</f>
        <v>1</v>
      </c>
      <c r="M863" s="3">
        <f>K863-L863</f>
        <v>0.6509216191348104</v>
      </c>
      <c r="N863" s="1">
        <f>COUNTIF($M$842:$M$897,"&gt;"&amp;M863)+COUNTIF($M$842:M863,M863)</f>
        <v>19</v>
      </c>
      <c r="O863" s="1">
        <f>J863+L863+IF(N863&lt;=I863-SUM($J$842:$J$897)-SUM($L$842:$L$897),1,0)</f>
        <v>12</v>
      </c>
    </row>
    <row r="864" spans="1:15">
      <c r="A864" s="1" t="s">
        <v>60</v>
      </c>
      <c r="B864" s="1" t="s">
        <v>67</v>
      </c>
      <c r="C864" s="1" t="s">
        <v>38</v>
      </c>
      <c r="D864" s="1" t="s">
        <v>49</v>
      </c>
      <c r="E864" s="1" t="s">
        <v>46</v>
      </c>
      <c r="F864" s="1" t="s">
        <v>41</v>
      </c>
      <c r="G864" s="1">
        <v>31897</v>
      </c>
      <c r="H864" s="1">
        <f>'1_Departamento_n'!C17</f>
        <v>1300917</v>
      </c>
      <c r="I864" s="1">
        <f>'1_Departamento_n'!H17</f>
        <v>1312</v>
      </c>
      <c r="J864" s="1">
        <f>'0_Parametros'!B7</f>
        <v>10</v>
      </c>
      <c r="K864" s="3">
        <f>(I864-SUM($J$842:$J$897))*G864/H864</f>
        <v>18.43818168261311</v>
      </c>
      <c r="L864" s="1">
        <f>INT(K864)</f>
        <v>18</v>
      </c>
      <c r="M864" s="3">
        <f>K864-L864</f>
        <v>0.4381816826131093</v>
      </c>
      <c r="N864" s="1">
        <f>COUNTIF($M$842:$M$897,"&gt;"&amp;M864)+COUNTIF($M$842:M864,M864)</f>
        <v>28</v>
      </c>
      <c r="O864" s="1">
        <f>J864+L864+IF(N864&lt;=I864-SUM($J$842:$J$897)-SUM($L$842:$L$897),1,0)</f>
        <v>28</v>
      </c>
    </row>
    <row r="865" spans="1:15">
      <c r="A865" s="1" t="s">
        <v>60</v>
      </c>
      <c r="B865" s="1" t="s">
        <v>67</v>
      </c>
      <c r="C865" s="1" t="s">
        <v>38</v>
      </c>
      <c r="D865" s="1" t="s">
        <v>49</v>
      </c>
      <c r="E865" s="1" t="s">
        <v>46</v>
      </c>
      <c r="F865" s="1" t="s">
        <v>42</v>
      </c>
      <c r="G865" s="1">
        <v>2078</v>
      </c>
      <c r="H865" s="1">
        <f>'1_Departamento_n'!C17</f>
        <v>1300917</v>
      </c>
      <c r="I865" s="1">
        <f>'1_Departamento_n'!H17</f>
        <v>1312</v>
      </c>
      <c r="J865" s="1">
        <f>'0_Parametros'!B7</f>
        <v>10</v>
      </c>
      <c r="K865" s="3">
        <f>(I865-SUM($J$842:$J$897))*G865/H865</f>
        <v>1.2011957719055097</v>
      </c>
      <c r="L865" s="1">
        <f>INT(K865)</f>
        <v>1</v>
      </c>
      <c r="M865" s="3">
        <f>K865-L865</f>
        <v>0.20119577190550975</v>
      </c>
      <c r="N865" s="1">
        <f>COUNTIF($M$842:$M$897,"&gt;"&amp;M865)+COUNTIF($M$842:M865,M865)</f>
        <v>44</v>
      </c>
      <c r="O865" s="1">
        <f>J865+L865+IF(N865&lt;=I865-SUM($J$842:$J$897)-SUM($L$842:$L$897),1,0)</f>
        <v>11</v>
      </c>
    </row>
    <row r="866" spans="1:15">
      <c r="A866" s="1" t="s">
        <v>60</v>
      </c>
      <c r="B866" s="1" t="s">
        <v>67</v>
      </c>
      <c r="C866" s="1" t="s">
        <v>38</v>
      </c>
      <c r="D866" s="1" t="s">
        <v>49</v>
      </c>
      <c r="E866" s="1" t="s">
        <v>47</v>
      </c>
      <c r="F866" s="1" t="s">
        <v>41</v>
      </c>
      <c r="G866" s="1">
        <v>26542</v>
      </c>
      <c r="H866" s="1">
        <f>'1_Departamento_n'!C17</f>
        <v>1300917</v>
      </c>
      <c r="I866" s="1">
        <f>'1_Departamento_n'!H17</f>
        <v>1312</v>
      </c>
      <c r="J866" s="1">
        <f>'0_Parametros'!B7</f>
        <v>10</v>
      </c>
      <c r="K866" s="3">
        <f>(I866-SUM($J$842:$J$897))*G866/H866</f>
        <v>15.342703646735341</v>
      </c>
      <c r="L866" s="1">
        <f>INT(K866)</f>
        <v>15</v>
      </c>
      <c r="M866" s="3">
        <f>K866-L866</f>
        <v>0.34270364673534104</v>
      </c>
      <c r="N866" s="1">
        <f>COUNTIF($M$842:$M$897,"&gt;"&amp;M866)+COUNTIF($M$842:M866,M866)</f>
        <v>35</v>
      </c>
      <c r="O866" s="1">
        <f>J866+L866+IF(N866&lt;=I866-SUM($J$842:$J$897)-SUM($L$842:$L$897),1,0)</f>
        <v>25</v>
      </c>
    </row>
    <row r="867" spans="1:15">
      <c r="A867" s="1" t="s">
        <v>60</v>
      </c>
      <c r="B867" s="1" t="s">
        <v>67</v>
      </c>
      <c r="C867" s="1" t="s">
        <v>38</v>
      </c>
      <c r="D867" s="1" t="s">
        <v>49</v>
      </c>
      <c r="E867" s="1" t="s">
        <v>47</v>
      </c>
      <c r="F867" s="1" t="s">
        <v>42</v>
      </c>
      <c r="G867" s="1">
        <v>1645</v>
      </c>
      <c r="H867" s="1">
        <f>'1_Departamento_n'!C17</f>
        <v>1300917</v>
      </c>
      <c r="I867" s="1">
        <f>'1_Departamento_n'!H17</f>
        <v>1312</v>
      </c>
      <c r="J867" s="1">
        <f>'0_Parametros'!B7</f>
        <v>10</v>
      </c>
      <c r="K867" s="3">
        <f>(I867-SUM($J$842:$J$897))*G867/H867</f>
        <v>0.9508984816095108</v>
      </c>
      <c r="L867" s="1">
        <f>INT(K867)</f>
        <v>0</v>
      </c>
      <c r="M867" s="3">
        <f>K867-L867</f>
        <v>0.9508984816095108</v>
      </c>
      <c r="N867" s="1">
        <f>COUNTIF($M$842:$M$897,"&gt;"&amp;M867)+COUNTIF($M$842:M867,M867)</f>
        <v>3</v>
      </c>
      <c r="O867" s="1">
        <f>J867+L867+IF(N867&lt;=I867-SUM($J$842:$J$897)-SUM($L$842:$L$897),1,0)</f>
        <v>11</v>
      </c>
    </row>
    <row r="868" spans="1:15">
      <c r="A868" s="1" t="s">
        <v>60</v>
      </c>
      <c r="B868" s="1" t="s">
        <v>67</v>
      </c>
      <c r="C868" s="1" t="s">
        <v>38</v>
      </c>
      <c r="D868" s="1" t="s">
        <v>49</v>
      </c>
      <c r="E868" s="1" t="s">
        <v>48</v>
      </c>
      <c r="F868" s="1" t="s">
        <v>41</v>
      </c>
      <c r="G868" s="1">
        <v>44449</v>
      </c>
      <c r="H868" s="1">
        <f>'1_Departamento_n'!C17</f>
        <v>1300917</v>
      </c>
      <c r="I868" s="1">
        <f>'1_Departamento_n'!H17</f>
        <v>1312</v>
      </c>
      <c r="J868" s="1">
        <f>'0_Parametros'!B7</f>
        <v>10</v>
      </c>
      <c r="K868" s="3">
        <f>(I868-SUM($J$842:$J$897))*G868/H868</f>
        <v>25.693912832256018</v>
      </c>
      <c r="L868" s="1">
        <f>INT(K868)</f>
        <v>25</v>
      </c>
      <c r="M868" s="3">
        <f>K868-L868</f>
        <v>0.693912832256018</v>
      </c>
      <c r="N868" s="1">
        <f>COUNTIF($M$842:$M$897,"&gt;"&amp;M868)+COUNTIF($M$842:M868,M868)</f>
        <v>15</v>
      </c>
      <c r="O868" s="1">
        <f>J868+L868+IF(N868&lt;=I868-SUM($J$842:$J$897)-SUM($L$842:$L$897),1,0)</f>
        <v>36</v>
      </c>
    </row>
    <row r="869" spans="1:15">
      <c r="A869" s="1" t="s">
        <v>60</v>
      </c>
      <c r="B869" s="1" t="s">
        <v>67</v>
      </c>
      <c r="C869" s="1" t="s">
        <v>38</v>
      </c>
      <c r="D869" s="1" t="s">
        <v>49</v>
      </c>
      <c r="E869" s="1" t="s">
        <v>48</v>
      </c>
      <c r="F869" s="1" t="s">
        <v>42</v>
      </c>
      <c r="G869" s="1">
        <v>2220</v>
      </c>
      <c r="H869" s="1">
        <f>'1_Departamento_n'!C17</f>
        <v>1300917</v>
      </c>
      <c r="I869" s="1">
        <f>'1_Departamento_n'!H17</f>
        <v>1312</v>
      </c>
      <c r="J869" s="1">
        <f>'0_Parametros'!B7</f>
        <v>10</v>
      </c>
      <c r="K869" s="3">
        <f>(I869-SUM($J$842:$J$897))*G869/H869</f>
        <v>1.2832794098316802</v>
      </c>
      <c r="L869" s="1">
        <f>INT(K869)</f>
        <v>1</v>
      </c>
      <c r="M869" s="3">
        <f>K869-L869</f>
        <v>0.2832794098316802</v>
      </c>
      <c r="N869" s="1">
        <f>COUNTIF($M$842:$M$897,"&gt;"&amp;M869)+COUNTIF($M$842:M869,M869)</f>
        <v>38</v>
      </c>
      <c r="O869" s="1">
        <f>J869+L869+IF(N869&lt;=I869-SUM($J$842:$J$897)-SUM($L$842:$L$897),1,0)</f>
        <v>11</v>
      </c>
    </row>
    <row r="870" spans="1:15">
      <c r="A870" s="1" t="s">
        <v>60</v>
      </c>
      <c r="B870" s="1" t="s">
        <v>67</v>
      </c>
      <c r="C870" s="1" t="s">
        <v>50</v>
      </c>
      <c r="D870" s="1" t="s">
        <v>39</v>
      </c>
      <c r="E870" s="1" t="s">
        <v>40</v>
      </c>
      <c r="F870" s="1" t="s">
        <v>41</v>
      </c>
      <c r="G870" s="1">
        <v>28477</v>
      </c>
      <c r="H870" s="1">
        <f>'1_Departamento_n'!C17</f>
        <v>1300917</v>
      </c>
      <c r="I870" s="1">
        <f>'1_Departamento_n'!H17</f>
        <v>1312</v>
      </c>
      <c r="J870" s="1">
        <f>'0_Parametros'!B7</f>
        <v>10</v>
      </c>
      <c r="K870" s="3">
        <f>(I870-SUM($J$842:$J$897))*G870/H870</f>
        <v>16.461237726926466</v>
      </c>
      <c r="L870" s="1">
        <f>INT(K870)</f>
        <v>16</v>
      </c>
      <c r="M870" s="3">
        <f>K870-L870</f>
        <v>0.46123772692646625</v>
      </c>
      <c r="N870" s="1">
        <f>COUNTIF($M$842:$M$897,"&gt;"&amp;M870)+COUNTIF($M$842:M870,M870)</f>
        <v>27</v>
      </c>
      <c r="O870" s="1">
        <f>J870+L870+IF(N870&lt;=I870-SUM($J$842:$J$897)-SUM($L$842:$L$897),1,0)</f>
        <v>26</v>
      </c>
    </row>
    <row r="871" spans="1:15">
      <c r="A871" s="1" t="s">
        <v>60</v>
      </c>
      <c r="B871" s="1" t="s">
        <v>67</v>
      </c>
      <c r="C871" s="1" t="s">
        <v>50</v>
      </c>
      <c r="D871" s="1" t="s">
        <v>39</v>
      </c>
      <c r="E871" s="1" t="s">
        <v>40</v>
      </c>
      <c r="F871" s="1" t="s">
        <v>42</v>
      </c>
      <c r="G871" s="1">
        <v>18845</v>
      </c>
      <c r="H871" s="1">
        <f>'1_Departamento_n'!C17</f>
        <v>1300917</v>
      </c>
      <c r="I871" s="1">
        <f>'1_Departamento_n'!H17</f>
        <v>1312</v>
      </c>
      <c r="J871" s="1">
        <f>'0_Parametros'!B7</f>
        <v>10</v>
      </c>
      <c r="K871" s="3">
        <f>(I871-SUM($J$842:$J$897))*G871/H871</f>
        <v>10.89342363886397</v>
      </c>
      <c r="L871" s="1">
        <f>INT(K871)</f>
        <v>10</v>
      </c>
      <c r="M871" s="3">
        <f>K871-L871</f>
        <v>0.89342363886397</v>
      </c>
      <c r="N871" s="1">
        <f>COUNTIF($M$842:$M$897,"&gt;"&amp;M871)+COUNTIF($M$842:M871,M871)</f>
        <v>6</v>
      </c>
      <c r="O871" s="1">
        <f>J871+L871+IF(N871&lt;=I871-SUM($J$842:$J$897)-SUM($L$842:$L$897),1,0)</f>
        <v>21</v>
      </c>
    </row>
    <row r="872" spans="1:15">
      <c r="A872" s="1" t="s">
        <v>60</v>
      </c>
      <c r="B872" s="1" t="s">
        <v>67</v>
      </c>
      <c r="C872" s="1" t="s">
        <v>50</v>
      </c>
      <c r="D872" s="1" t="s">
        <v>39</v>
      </c>
      <c r="E872" s="1" t="s">
        <v>43</v>
      </c>
      <c r="F872" s="1" t="s">
        <v>41</v>
      </c>
      <c r="G872" s="1">
        <v>36586</v>
      </c>
      <c r="H872" s="1">
        <f>'1_Departamento_n'!C17</f>
        <v>1300917</v>
      </c>
      <c r="I872" s="1">
        <f>'1_Departamento_n'!H17</f>
        <v>1312</v>
      </c>
      <c r="J872" s="1">
        <f>'0_Parametros'!B7</f>
        <v>10</v>
      </c>
      <c r="K872" s="3">
        <f>(I872-SUM($J$842:$J$897))*G872/H872</f>
        <v>21.148675895541377</v>
      </c>
      <c r="L872" s="1">
        <f>INT(K872)</f>
        <v>21</v>
      </c>
      <c r="M872" s="3">
        <f>K872-L872</f>
        <v>0.14867589554137695</v>
      </c>
      <c r="N872" s="1">
        <f>COUNTIF($M$842:$M$897,"&gt;"&amp;M872)+COUNTIF($M$842:M872,M872)</f>
        <v>46</v>
      </c>
      <c r="O872" s="1">
        <f>J872+L872+IF(N872&lt;=I872-SUM($J$842:$J$897)-SUM($L$842:$L$897),1,0)</f>
        <v>31</v>
      </c>
    </row>
    <row r="873" spans="1:15">
      <c r="A873" s="1" t="s">
        <v>60</v>
      </c>
      <c r="B873" s="1" t="s">
        <v>67</v>
      </c>
      <c r="C873" s="1" t="s">
        <v>50</v>
      </c>
      <c r="D873" s="1" t="s">
        <v>39</v>
      </c>
      <c r="E873" s="1" t="s">
        <v>43</v>
      </c>
      <c r="F873" s="1" t="s">
        <v>42</v>
      </c>
      <c r="G873" s="1">
        <v>24438</v>
      </c>
      <c r="H873" s="1">
        <f>'1_Departamento_n'!C17</f>
        <v>1300917</v>
      </c>
      <c r="I873" s="1">
        <f>'1_Departamento_n'!H17</f>
        <v>1312</v>
      </c>
      <c r="J873" s="1">
        <f>'0_Parametros'!B7</f>
        <v>10</v>
      </c>
      <c r="K873" s="3">
        <f>(I873-SUM($J$842:$J$897))*G873/H873</f>
        <v>14.126478476336308</v>
      </c>
      <c r="L873" s="1">
        <f>INT(K873)</f>
        <v>14</v>
      </c>
      <c r="M873" s="3">
        <f>K873-L873</f>
        <v>0.12647847633630782</v>
      </c>
      <c r="N873" s="1">
        <f>COUNTIF($M$842:$M$897,"&gt;"&amp;M873)+COUNTIF($M$842:M873,M873)</f>
        <v>47</v>
      </c>
      <c r="O873" s="1">
        <f>J873+L873+IF(N873&lt;=I873-SUM($J$842:$J$897)-SUM($L$842:$L$897),1,0)</f>
        <v>24</v>
      </c>
    </row>
    <row r="874" spans="1:15">
      <c r="A874" s="1" t="s">
        <v>60</v>
      </c>
      <c r="B874" s="1" t="s">
        <v>67</v>
      </c>
      <c r="C874" s="1" t="s">
        <v>50</v>
      </c>
      <c r="D874" s="1" t="s">
        <v>39</v>
      </c>
      <c r="E874" s="1" t="s">
        <v>44</v>
      </c>
      <c r="F874" s="1" t="s">
        <v>41</v>
      </c>
      <c r="G874" s="1">
        <v>41021</v>
      </c>
      <c r="H874" s="1">
        <f>'1_Departamento_n'!C17</f>
        <v>1300917</v>
      </c>
      <c r="I874" s="1">
        <f>'1_Departamento_n'!H17</f>
        <v>1312</v>
      </c>
      <c r="J874" s="1">
        <f>'0_Parametros'!B7</f>
        <v>10</v>
      </c>
      <c r="K874" s="3">
        <f>(I874-SUM($J$842:$J$897))*G874/H874</f>
        <v>23.712344446263675</v>
      </c>
      <c r="L874" s="1">
        <f>INT(K874)</f>
        <v>23</v>
      </c>
      <c r="M874" s="3">
        <f>K874-L874</f>
        <v>0.7123444462636748</v>
      </c>
      <c r="N874" s="1">
        <f>COUNTIF($M$842:$M$897,"&gt;"&amp;M874)+COUNTIF($M$842:M874,M874)</f>
        <v>14</v>
      </c>
      <c r="O874" s="1">
        <f>J874+L874+IF(N874&lt;=I874-SUM($J$842:$J$897)-SUM($L$842:$L$897),1,0)</f>
        <v>34</v>
      </c>
    </row>
    <row r="875" spans="1:15">
      <c r="A875" s="1" t="s">
        <v>60</v>
      </c>
      <c r="B875" s="1" t="s">
        <v>67</v>
      </c>
      <c r="C875" s="1" t="s">
        <v>50</v>
      </c>
      <c r="D875" s="1" t="s">
        <v>39</v>
      </c>
      <c r="E875" s="1" t="s">
        <v>44</v>
      </c>
      <c r="F875" s="1" t="s">
        <v>42</v>
      </c>
      <c r="G875" s="1">
        <v>21348</v>
      </c>
      <c r="H875" s="1">
        <f>'1_Departamento_n'!C17</f>
        <v>1300917</v>
      </c>
      <c r="I875" s="1">
        <f>'1_Departamento_n'!H17</f>
        <v>1312</v>
      </c>
      <c r="J875" s="1">
        <f>'0_Parametros'!B7</f>
        <v>10</v>
      </c>
      <c r="K875" s="3">
        <f>(I875-SUM($J$842:$J$897))*G875/H875</f>
        <v>12.340292270759779</v>
      </c>
      <c r="L875" s="1">
        <f>INT(K875)</f>
        <v>12</v>
      </c>
      <c r="M875" s="3">
        <f>K875-L875</f>
        <v>0.34029227075977886</v>
      </c>
      <c r="N875" s="1">
        <f>COUNTIF($M$842:$M$897,"&gt;"&amp;M875)+COUNTIF($M$842:M875,M875)</f>
        <v>36</v>
      </c>
      <c r="O875" s="1">
        <f>J875+L875+IF(N875&lt;=I875-SUM($J$842:$J$897)-SUM($L$842:$L$897),1,0)</f>
        <v>22</v>
      </c>
    </row>
    <row r="876" spans="1:15">
      <c r="A876" s="1" t="s">
        <v>60</v>
      </c>
      <c r="B876" s="1" t="s">
        <v>67</v>
      </c>
      <c r="C876" s="1" t="s">
        <v>50</v>
      </c>
      <c r="D876" s="1" t="s">
        <v>39</v>
      </c>
      <c r="E876" s="1" t="s">
        <v>45</v>
      </c>
      <c r="F876" s="1" t="s">
        <v>41</v>
      </c>
      <c r="G876" s="1">
        <v>36317</v>
      </c>
      <c r="H876" s="1">
        <f>'1_Departamento_n'!C17</f>
        <v>1300917</v>
      </c>
      <c r="I876" s="1">
        <f>'1_Departamento_n'!H17</f>
        <v>1312</v>
      </c>
      <c r="J876" s="1">
        <f>'0_Parametros'!B7</f>
        <v>10</v>
      </c>
      <c r="K876" s="3">
        <f>(I876-SUM($J$842:$J$897))*G876/H876</f>
        <v>20.99317942651222</v>
      </c>
      <c r="L876" s="1">
        <f>INT(K876)</f>
        <v>20</v>
      </c>
      <c r="M876" s="3">
        <f>K876-L876</f>
        <v>0.9931794265122207</v>
      </c>
      <c r="N876" s="1">
        <f>COUNTIF($M$842:$M$897,"&gt;"&amp;M876)+COUNTIF($M$842:M876,M876)</f>
        <v>1</v>
      </c>
      <c r="O876" s="1">
        <f>J876+L876+IF(N876&lt;=I876-SUM($J$842:$J$897)-SUM($L$842:$L$897),1,0)</f>
        <v>31</v>
      </c>
    </row>
    <row r="877" spans="1:15">
      <c r="A877" s="1" t="s">
        <v>60</v>
      </c>
      <c r="B877" s="1" t="s">
        <v>67</v>
      </c>
      <c r="C877" s="1" t="s">
        <v>50</v>
      </c>
      <c r="D877" s="1" t="s">
        <v>39</v>
      </c>
      <c r="E877" s="1" t="s">
        <v>45</v>
      </c>
      <c r="F877" s="1" t="s">
        <v>42</v>
      </c>
      <c r="G877" s="1">
        <v>18133</v>
      </c>
      <c r="H877" s="1">
        <f>'1_Departamento_n'!C17</f>
        <v>1300917</v>
      </c>
      <c r="I877" s="1">
        <f>'1_Departamento_n'!H17</f>
        <v>1312</v>
      </c>
      <c r="J877" s="1">
        <f>'0_Parametros'!B7</f>
        <v>10</v>
      </c>
      <c r="K877" s="3">
        <f>(I877-SUM($J$842:$J$897))*G877/H877</f>
        <v>10.481849341656693</v>
      </c>
      <c r="L877" s="1">
        <f>INT(K877)</f>
        <v>10</v>
      </c>
      <c r="M877" s="3">
        <f>K877-L877</f>
        <v>0.4818493416566927</v>
      </c>
      <c r="N877" s="1">
        <f>COUNTIF($M$842:$M$897,"&gt;"&amp;M877)+COUNTIF($M$842:M877,M877)</f>
        <v>25</v>
      </c>
      <c r="O877" s="1">
        <f>J877+L877+IF(N877&lt;=I877-SUM($J$842:$J$897)-SUM($L$842:$L$897),1,0)</f>
        <v>21</v>
      </c>
    </row>
    <row r="878" spans="1:15">
      <c r="A878" s="1" t="s">
        <v>60</v>
      </c>
      <c r="B878" s="1" t="s">
        <v>67</v>
      </c>
      <c r="C878" s="1" t="s">
        <v>50</v>
      </c>
      <c r="D878" s="1" t="s">
        <v>39</v>
      </c>
      <c r="E878" s="1" t="s">
        <v>46</v>
      </c>
      <c r="F878" s="1" t="s">
        <v>41</v>
      </c>
      <c r="G878" s="1">
        <v>32426</v>
      </c>
      <c r="H878" s="1">
        <f>'1_Departamento_n'!C17</f>
        <v>1300917</v>
      </c>
      <c r="I878" s="1">
        <f>'1_Departamento_n'!H17</f>
        <v>1312</v>
      </c>
      <c r="J878" s="1">
        <f>'0_Parametros'!B7</f>
        <v>10</v>
      </c>
      <c r="K878" s="3">
        <f>(I878-SUM($J$842:$J$897))*G878/H878</f>
        <v>18.743972136577508</v>
      </c>
      <c r="L878" s="1">
        <f>INT(K878)</f>
        <v>18</v>
      </c>
      <c r="M878" s="3">
        <f>K878-L878</f>
        <v>0.7439721365775078</v>
      </c>
      <c r="N878" s="1">
        <f>COUNTIF($M$842:$M$897,"&gt;"&amp;M878)+COUNTIF($M$842:M878,M878)</f>
        <v>10</v>
      </c>
      <c r="O878" s="1">
        <f>J878+L878+IF(N878&lt;=I878-SUM($J$842:$J$897)-SUM($L$842:$L$897),1,0)</f>
        <v>29</v>
      </c>
    </row>
    <row r="879" spans="1:15">
      <c r="A879" s="1" t="s">
        <v>60</v>
      </c>
      <c r="B879" s="1" t="s">
        <v>67</v>
      </c>
      <c r="C879" s="1" t="s">
        <v>50</v>
      </c>
      <c r="D879" s="1" t="s">
        <v>39</v>
      </c>
      <c r="E879" s="1" t="s">
        <v>46</v>
      </c>
      <c r="F879" s="1" t="s">
        <v>42</v>
      </c>
      <c r="G879" s="1">
        <v>16903</v>
      </c>
      <c r="H879" s="1">
        <f>'1_Departamento_n'!C17</f>
        <v>1300917</v>
      </c>
      <c r="I879" s="1">
        <f>'1_Departamento_n'!H17</f>
        <v>1312</v>
      </c>
      <c r="J879" s="1">
        <f>'0_Parametros'!B7</f>
        <v>10</v>
      </c>
      <c r="K879" s="3">
        <f>(I879-SUM($J$842:$J$897))*G879/H879</f>
        <v>9.770843182155357</v>
      </c>
      <c r="L879" s="1">
        <f>INT(K879)</f>
        <v>9</v>
      </c>
      <c r="M879" s="3">
        <f>K879-L879</f>
        <v>0.7708431821553567</v>
      </c>
      <c r="N879" s="1">
        <f>COUNTIF($M$842:$M$897,"&gt;"&amp;M879)+COUNTIF($M$842:M879,M879)</f>
        <v>9</v>
      </c>
      <c r="O879" s="1">
        <f>J879+L879+IF(N879&lt;=I879-SUM($J$842:$J$897)-SUM($L$842:$L$897),1,0)</f>
        <v>20</v>
      </c>
    </row>
    <row r="880" spans="1:15">
      <c r="A880" s="1" t="s">
        <v>60</v>
      </c>
      <c r="B880" s="1" t="s">
        <v>67</v>
      </c>
      <c r="C880" s="1" t="s">
        <v>50</v>
      </c>
      <c r="D880" s="1" t="s">
        <v>39</v>
      </c>
      <c r="E880" s="1" t="s">
        <v>47</v>
      </c>
      <c r="F880" s="1" t="s">
        <v>41</v>
      </c>
      <c r="G880" s="1">
        <v>32795</v>
      </c>
      <c r="H880" s="1">
        <f>'1_Departamento_n'!C17</f>
        <v>1300917</v>
      </c>
      <c r="I880" s="1">
        <f>'1_Departamento_n'!H17</f>
        <v>1312</v>
      </c>
      <c r="J880" s="1">
        <f>'0_Parametros'!B7</f>
        <v>10</v>
      </c>
      <c r="K880" s="3">
        <f>(I880-SUM($J$842:$J$897))*G880/H880</f>
        <v>18.957273984427907</v>
      </c>
      <c r="L880" s="1">
        <f>INT(K880)</f>
        <v>18</v>
      </c>
      <c r="M880" s="3">
        <f>K880-L880</f>
        <v>0.957273984427907</v>
      </c>
      <c r="N880" s="1">
        <f>COUNTIF($M$842:$M$897,"&gt;"&amp;M880)+COUNTIF($M$842:M880,M880)</f>
        <v>2</v>
      </c>
      <c r="O880" s="1">
        <f>J880+L880+IF(N880&lt;=I880-SUM($J$842:$J$897)-SUM($L$842:$L$897),1,0)</f>
        <v>29</v>
      </c>
    </row>
    <row r="881" spans="1:15">
      <c r="A881" s="1" t="s">
        <v>60</v>
      </c>
      <c r="B881" s="1" t="s">
        <v>67</v>
      </c>
      <c r="C881" s="1" t="s">
        <v>50</v>
      </c>
      <c r="D881" s="1" t="s">
        <v>39</v>
      </c>
      <c r="E881" s="1" t="s">
        <v>47</v>
      </c>
      <c r="F881" s="1" t="s">
        <v>42</v>
      </c>
      <c r="G881" s="1">
        <v>16517</v>
      </c>
      <c r="H881" s="1">
        <f>'1_Departamento_n'!C17</f>
        <v>1300917</v>
      </c>
      <c r="I881" s="1">
        <f>'1_Departamento_n'!H17</f>
        <v>1312</v>
      </c>
      <c r="J881" s="1">
        <f>'0_Parametros'!B7</f>
        <v>10</v>
      </c>
      <c r="K881" s="3">
        <f>(I881-SUM($J$842:$J$897))*G881/H881</f>
        <v>9.547714419905343</v>
      </c>
      <c r="L881" s="1">
        <f>INT(K881)</f>
        <v>9</v>
      </c>
      <c r="M881" s="3">
        <f>K881-L881</f>
        <v>0.5477144199053434</v>
      </c>
      <c r="N881" s="1">
        <f>COUNTIF($M$842:$M$897,"&gt;"&amp;M881)+COUNTIF($M$842:M881,M881)</f>
        <v>24</v>
      </c>
      <c r="O881" s="1">
        <f>J881+L881+IF(N881&lt;=I881-SUM($J$842:$J$897)-SUM($L$842:$L$897),1,0)</f>
        <v>20</v>
      </c>
    </row>
    <row r="882" spans="1:15">
      <c r="A882" s="1" t="s">
        <v>60</v>
      </c>
      <c r="B882" s="1" t="s">
        <v>67</v>
      </c>
      <c r="C882" s="1" t="s">
        <v>50</v>
      </c>
      <c r="D882" s="1" t="s">
        <v>39</v>
      </c>
      <c r="E882" s="1" t="s">
        <v>48</v>
      </c>
      <c r="F882" s="1" t="s">
        <v>41</v>
      </c>
      <c r="G882" s="1">
        <v>55568</v>
      </c>
      <c r="H882" s="1">
        <f>'1_Departamento_n'!C17</f>
        <v>1300917</v>
      </c>
      <c r="I882" s="1">
        <f>'1_Departamento_n'!H17</f>
        <v>1312</v>
      </c>
      <c r="J882" s="1">
        <f>'0_Parametros'!B7</f>
        <v>10</v>
      </c>
      <c r="K882" s="3">
        <f>(I882-SUM($J$842:$J$897))*G882/H882</f>
        <v>32.121292903390454</v>
      </c>
      <c r="L882" s="1">
        <f>INT(K882)</f>
        <v>32</v>
      </c>
      <c r="M882" s="3">
        <f>K882-L882</f>
        <v>0.1212929033904544</v>
      </c>
      <c r="N882" s="1">
        <f>COUNTIF($M$842:$M$897,"&gt;"&amp;M882)+COUNTIF($M$842:M882,M882)</f>
        <v>48</v>
      </c>
      <c r="O882" s="1">
        <f>J882+L882+IF(N882&lt;=I882-SUM($J$842:$J$897)-SUM($L$842:$L$897),1,0)</f>
        <v>42</v>
      </c>
    </row>
    <row r="883" spans="1:15">
      <c r="A883" s="1" t="s">
        <v>60</v>
      </c>
      <c r="B883" s="1" t="s">
        <v>67</v>
      </c>
      <c r="C883" s="1" t="s">
        <v>50</v>
      </c>
      <c r="D883" s="1" t="s">
        <v>39</v>
      </c>
      <c r="E883" s="1" t="s">
        <v>48</v>
      </c>
      <c r="F883" s="1" t="s">
        <v>42</v>
      </c>
      <c r="G883" s="1">
        <v>27330</v>
      </c>
      <c r="H883" s="1">
        <f>'1_Departamento_n'!C17</f>
        <v>1300917</v>
      </c>
      <c r="I883" s="1">
        <f>'1_Departamento_n'!H17</f>
        <v>1312</v>
      </c>
      <c r="J883" s="1">
        <f>'0_Parametros'!B7</f>
        <v>10</v>
      </c>
      <c r="K883" s="3">
        <f>(I883-SUM($J$842:$J$897))*G883/H883</f>
        <v>15.798210031846766</v>
      </c>
      <c r="L883" s="1">
        <f>INT(K883)</f>
        <v>15</v>
      </c>
      <c r="M883" s="3">
        <f>K883-L883</f>
        <v>0.7982100318467662</v>
      </c>
      <c r="N883" s="1">
        <f>COUNTIF($M$842:$M$897,"&gt;"&amp;M883)+COUNTIF($M$842:M883,M883)</f>
        <v>8</v>
      </c>
      <c r="O883" s="1">
        <f>J883+L883+IF(N883&lt;=I883-SUM($J$842:$J$897)-SUM($L$842:$L$897),1,0)</f>
        <v>26</v>
      </c>
    </row>
    <row r="884" spans="1:15">
      <c r="A884" s="1" t="s">
        <v>60</v>
      </c>
      <c r="B884" s="1" t="s">
        <v>67</v>
      </c>
      <c r="C884" s="1" t="s">
        <v>50</v>
      </c>
      <c r="D884" s="1" t="s">
        <v>49</v>
      </c>
      <c r="E884" s="1" t="s">
        <v>40</v>
      </c>
      <c r="F884" s="1" t="s">
        <v>41</v>
      </c>
      <c r="G884" s="1">
        <v>30141</v>
      </c>
      <c r="H884" s="1">
        <f>'1_Departamento_n'!C17</f>
        <v>1300917</v>
      </c>
      <c r="I884" s="1">
        <f>'1_Departamento_n'!H17</f>
        <v>1312</v>
      </c>
      <c r="J884" s="1">
        <f>'0_Parametros'!B7</f>
        <v>10</v>
      </c>
      <c r="K884" s="3">
        <f>(I884-SUM($J$842:$J$897))*G884/H884</f>
        <v>17.423119230512015</v>
      </c>
      <c r="L884" s="1">
        <f>INT(K884)</f>
        <v>17</v>
      </c>
      <c r="M884" s="3">
        <f>K884-L884</f>
        <v>0.4231192305120146</v>
      </c>
      <c r="N884" s="1">
        <f>COUNTIF($M$842:$M$897,"&gt;"&amp;M884)+COUNTIF($M$842:M884,M884)</f>
        <v>29</v>
      </c>
      <c r="O884" s="1">
        <f>J884+L884+IF(N884&lt;=I884-SUM($J$842:$J$897)-SUM($L$842:$L$897),1,0)</f>
        <v>27</v>
      </c>
    </row>
    <row r="885" spans="1:15">
      <c r="A885" s="1" t="s">
        <v>60</v>
      </c>
      <c r="B885" s="1" t="s">
        <v>67</v>
      </c>
      <c r="C885" s="1" t="s">
        <v>50</v>
      </c>
      <c r="D885" s="1" t="s">
        <v>49</v>
      </c>
      <c r="E885" s="1" t="s">
        <v>40</v>
      </c>
      <c r="F885" s="1" t="s">
        <v>42</v>
      </c>
      <c r="G885" s="1">
        <v>19760</v>
      </c>
      <c r="H885" s="1">
        <f>'1_Departamento_n'!C17</f>
        <v>1300917</v>
      </c>
      <c r="I885" s="1">
        <f>'1_Departamento_n'!H17</f>
        <v>1312</v>
      </c>
      <c r="J885" s="1">
        <f>'0_Parametros'!B7</f>
        <v>10</v>
      </c>
      <c r="K885" s="3">
        <f>(I885-SUM($J$842:$J$897))*G885/H885</f>
        <v>11.42234285507838</v>
      </c>
      <c r="L885" s="1">
        <f>INT(K885)</f>
        <v>11</v>
      </c>
      <c r="M885" s="3">
        <f>K885-L885</f>
        <v>0.4223428550783801</v>
      </c>
      <c r="N885" s="1">
        <f>COUNTIF($M$842:$M$897,"&gt;"&amp;M885)+COUNTIF($M$842:M885,M885)</f>
        <v>30</v>
      </c>
      <c r="O885" s="1">
        <f>J885+L885+IF(N885&lt;=I885-SUM($J$842:$J$897)-SUM($L$842:$L$897),1,0)</f>
        <v>21</v>
      </c>
    </row>
    <row r="886" spans="1:15">
      <c r="A886" s="1" t="s">
        <v>60</v>
      </c>
      <c r="B886" s="1" t="s">
        <v>67</v>
      </c>
      <c r="C886" s="1" t="s">
        <v>50</v>
      </c>
      <c r="D886" s="1" t="s">
        <v>49</v>
      </c>
      <c r="E886" s="1" t="s">
        <v>43</v>
      </c>
      <c r="F886" s="1" t="s">
        <v>41</v>
      </c>
      <c r="G886" s="1">
        <v>37588</v>
      </c>
      <c r="H886" s="1">
        <f>'1_Departamento_n'!C17</f>
        <v>1300917</v>
      </c>
      <c r="I886" s="1">
        <f>'1_Departamento_n'!H17</f>
        <v>1312</v>
      </c>
      <c r="J886" s="1">
        <f>'0_Parametros'!B7</f>
        <v>10</v>
      </c>
      <c r="K886" s="3">
        <f>(I886-SUM($J$842:$J$897))*G886/H886</f>
        <v>21.72788579133027</v>
      </c>
      <c r="L886" s="1">
        <f>INT(K886)</f>
        <v>21</v>
      </c>
      <c r="M886" s="3">
        <f>K886-L886</f>
        <v>0.7278857913302694</v>
      </c>
      <c r="N886" s="1">
        <f>COUNTIF($M$842:$M$897,"&gt;"&amp;M886)+COUNTIF($M$842:M886,M886)</f>
        <v>12</v>
      </c>
      <c r="O886" s="1">
        <f>J886+L886+IF(N886&lt;=I886-SUM($J$842:$J$897)-SUM($L$842:$L$897),1,0)</f>
        <v>32</v>
      </c>
    </row>
    <row r="887" spans="1:15">
      <c r="A887" s="1" t="s">
        <v>60</v>
      </c>
      <c r="B887" s="1" t="s">
        <v>67</v>
      </c>
      <c r="C887" s="1" t="s">
        <v>50</v>
      </c>
      <c r="D887" s="1" t="s">
        <v>49</v>
      </c>
      <c r="E887" s="1" t="s">
        <v>43</v>
      </c>
      <c r="F887" s="1" t="s">
        <v>42</v>
      </c>
      <c r="G887" s="1">
        <v>25992</v>
      </c>
      <c r="H887" s="1">
        <f>'1_Departamento_n'!C17</f>
        <v>1300917</v>
      </c>
      <c r="I887" s="1">
        <f>'1_Departamento_n'!H17</f>
        <v>1312</v>
      </c>
      <c r="J887" s="1">
        <f>'0_Parametros'!B7</f>
        <v>10</v>
      </c>
      <c r="K887" s="3">
        <f>(I887-SUM($J$842:$J$897))*G887/H887</f>
        <v>15.024774063218484</v>
      </c>
      <c r="L887" s="1">
        <f>INT(K887)</f>
        <v>15</v>
      </c>
      <c r="M887" s="3">
        <f>K887-L887</f>
        <v>0.024774063218483633</v>
      </c>
      <c r="N887" s="1">
        <f>COUNTIF($M$842:$M$897,"&gt;"&amp;M887)+COUNTIF($M$842:M887,M887)</f>
        <v>54</v>
      </c>
      <c r="O887" s="1">
        <f>J887+L887+IF(N887&lt;=I887-SUM($J$842:$J$897)-SUM($L$842:$L$897),1,0)</f>
        <v>25</v>
      </c>
    </row>
    <row r="888" spans="1:15">
      <c r="A888" s="1" t="s">
        <v>60</v>
      </c>
      <c r="B888" s="1" t="s">
        <v>67</v>
      </c>
      <c r="C888" s="1" t="s">
        <v>50</v>
      </c>
      <c r="D888" s="1" t="s">
        <v>49</v>
      </c>
      <c r="E888" s="1" t="s">
        <v>44</v>
      </c>
      <c r="F888" s="1" t="s">
        <v>41</v>
      </c>
      <c r="G888" s="1">
        <v>35432</v>
      </c>
      <c r="H888" s="1">
        <f>'1_Departamento_n'!C17</f>
        <v>1300917</v>
      </c>
      <c r="I888" s="1">
        <f>'1_Departamento_n'!H17</f>
        <v>1312</v>
      </c>
      <c r="J888" s="1">
        <f>'0_Parametros'!B7</f>
        <v>10</v>
      </c>
      <c r="K888" s="3">
        <f>(I888-SUM($J$842:$J$897))*G888/H888</f>
        <v>20.48160182394419</v>
      </c>
      <c r="L888" s="1">
        <f>INT(K888)</f>
        <v>20</v>
      </c>
      <c r="M888" s="3">
        <f>K888-L888</f>
        <v>0.4816018239441888</v>
      </c>
      <c r="N888" s="1">
        <f>COUNTIF($M$842:$M$897,"&gt;"&amp;M888)+COUNTIF($M$842:M888,M888)</f>
        <v>26</v>
      </c>
      <c r="O888" s="1">
        <f>J888+L888+IF(N888&lt;=I888-SUM($J$842:$J$897)-SUM($L$842:$L$897),1,0)</f>
        <v>31</v>
      </c>
    </row>
    <row r="889" spans="1:15">
      <c r="A889" s="1" t="s">
        <v>60</v>
      </c>
      <c r="B889" s="1" t="s">
        <v>67</v>
      </c>
      <c r="C889" s="1" t="s">
        <v>50</v>
      </c>
      <c r="D889" s="1" t="s">
        <v>49</v>
      </c>
      <c r="E889" s="1" t="s">
        <v>44</v>
      </c>
      <c r="F889" s="1" t="s">
        <v>42</v>
      </c>
      <c r="G889" s="1">
        <v>20893</v>
      </c>
      <c r="H889" s="1">
        <f>'1_Departamento_n'!C17</f>
        <v>1300917</v>
      </c>
      <c r="I889" s="1">
        <f>'1_Departamento_n'!H17</f>
        <v>1312</v>
      </c>
      <c r="J889" s="1">
        <f>'0_Parametros'!B7</f>
        <v>10</v>
      </c>
      <c r="K889" s="3">
        <f>(I889-SUM($J$842:$J$897))*G889/H889</f>
        <v>12.077277797123106</v>
      </c>
      <c r="L889" s="1">
        <f>INT(K889)</f>
        <v>12</v>
      </c>
      <c r="M889" s="3">
        <f>K889-L889</f>
        <v>0.07727779712310578</v>
      </c>
      <c r="N889" s="1">
        <f>COUNTIF($M$842:$M$897,"&gt;"&amp;M889)+COUNTIF($M$842:M889,M889)</f>
        <v>50</v>
      </c>
      <c r="O889" s="1">
        <f>J889+L889+IF(N889&lt;=I889-SUM($J$842:$J$897)-SUM($L$842:$L$897),1,0)</f>
        <v>22</v>
      </c>
    </row>
    <row r="890" spans="1:15">
      <c r="A890" s="1" t="s">
        <v>60</v>
      </c>
      <c r="B890" s="1" t="s">
        <v>67</v>
      </c>
      <c r="C890" s="1" t="s">
        <v>50</v>
      </c>
      <c r="D890" s="1" t="s">
        <v>49</v>
      </c>
      <c r="E890" s="1" t="s">
        <v>45</v>
      </c>
      <c r="F890" s="1" t="s">
        <v>41</v>
      </c>
      <c r="G890" s="1">
        <v>30993</v>
      </c>
      <c r="H890" s="1">
        <f>'1_Departamento_n'!C17</f>
        <v>1300917</v>
      </c>
      <c r="I890" s="1">
        <f>'1_Departamento_n'!H17</f>
        <v>1312</v>
      </c>
      <c r="J890" s="1">
        <f>'0_Parametros'!B7</f>
        <v>10</v>
      </c>
      <c r="K890" s="3">
        <f>(I890-SUM($J$842:$J$897))*G890/H890</f>
        <v>17.91562105806904</v>
      </c>
      <c r="L890" s="1">
        <f>INT(K890)</f>
        <v>17</v>
      </c>
      <c r="M890" s="3">
        <f>K890-L890</f>
        <v>0.9156210580690392</v>
      </c>
      <c r="N890" s="1">
        <f>COUNTIF($M$842:$M$897,"&gt;"&amp;M890)+COUNTIF($M$842:M890,M890)</f>
        <v>5</v>
      </c>
      <c r="O890" s="1">
        <f>J890+L890+IF(N890&lt;=I890-SUM($J$842:$J$897)-SUM($L$842:$L$897),1,0)</f>
        <v>28</v>
      </c>
    </row>
    <row r="891" spans="1:15">
      <c r="A891" s="1" t="s">
        <v>60</v>
      </c>
      <c r="B891" s="1" t="s">
        <v>67</v>
      </c>
      <c r="C891" s="1" t="s">
        <v>50</v>
      </c>
      <c r="D891" s="1" t="s">
        <v>49</v>
      </c>
      <c r="E891" s="1" t="s">
        <v>45</v>
      </c>
      <c r="F891" s="1" t="s">
        <v>42</v>
      </c>
      <c r="G891" s="1">
        <v>18586</v>
      </c>
      <c r="H891" s="1">
        <f>'1_Departamento_n'!C17</f>
        <v>1300917</v>
      </c>
      <c r="I891" s="1">
        <f>'1_Departamento_n'!H17</f>
        <v>1312</v>
      </c>
      <c r="J891" s="1">
        <f>'0_Parametros'!B7</f>
        <v>10</v>
      </c>
      <c r="K891" s="3">
        <f>(I891-SUM($J$842:$J$897))*G891/H891</f>
        <v>10.743707707716942</v>
      </c>
      <c r="L891" s="1">
        <f>INT(K891)</f>
        <v>10</v>
      </c>
      <c r="M891" s="3">
        <f>K891-L891</f>
        <v>0.7437077077169416</v>
      </c>
      <c r="N891" s="1">
        <f>COUNTIF($M$842:$M$897,"&gt;"&amp;M891)+COUNTIF($M$842:M891,M891)</f>
        <v>11</v>
      </c>
      <c r="O891" s="1">
        <f>J891+L891+IF(N891&lt;=I891-SUM($J$842:$J$897)-SUM($L$842:$L$897),1,0)</f>
        <v>21</v>
      </c>
    </row>
    <row r="892" spans="1:15">
      <c r="A892" s="1" t="s">
        <v>60</v>
      </c>
      <c r="B892" s="1" t="s">
        <v>67</v>
      </c>
      <c r="C892" s="1" t="s">
        <v>50</v>
      </c>
      <c r="D892" s="1" t="s">
        <v>49</v>
      </c>
      <c r="E892" s="1" t="s">
        <v>46</v>
      </c>
      <c r="F892" s="1" t="s">
        <v>41</v>
      </c>
      <c r="G892" s="1">
        <v>27383</v>
      </c>
      <c r="H892" s="1">
        <f>'1_Departamento_n'!C17</f>
        <v>1300917</v>
      </c>
      <c r="I892" s="1">
        <f>'1_Departamento_n'!H17</f>
        <v>1312</v>
      </c>
      <c r="J892" s="1">
        <f>'0_Parametros'!B7</f>
        <v>10</v>
      </c>
      <c r="K892" s="3">
        <f>(I892-SUM($J$842:$J$897))*G892/H892</f>
        <v>15.828846882622027</v>
      </c>
      <c r="L892" s="1">
        <f>INT(K892)</f>
        <v>15</v>
      </c>
      <c r="M892" s="3">
        <f>K892-L892</f>
        <v>0.8288468826220274</v>
      </c>
      <c r="N892" s="1">
        <f>COUNTIF($M$842:$M$897,"&gt;"&amp;M892)+COUNTIF($M$842:M892,M892)</f>
        <v>7</v>
      </c>
      <c r="O892" s="1">
        <f>J892+L892+IF(N892&lt;=I892-SUM($J$842:$J$897)-SUM($L$842:$L$897),1,0)</f>
        <v>26</v>
      </c>
    </row>
    <row r="893" spans="1:15">
      <c r="A893" s="1" t="s">
        <v>60</v>
      </c>
      <c r="B893" s="1" t="s">
        <v>67</v>
      </c>
      <c r="C893" s="1" t="s">
        <v>50</v>
      </c>
      <c r="D893" s="1" t="s">
        <v>49</v>
      </c>
      <c r="E893" s="1" t="s">
        <v>46</v>
      </c>
      <c r="F893" s="1" t="s">
        <v>42</v>
      </c>
      <c r="G893" s="1">
        <v>17916</v>
      </c>
      <c r="H893" s="1">
        <f>'1_Departamento_n'!C17</f>
        <v>1300917</v>
      </c>
      <c r="I893" s="1">
        <f>'1_Departamento_n'!H17</f>
        <v>1312</v>
      </c>
      <c r="J893" s="1">
        <f>'0_Parametros'!B7</f>
        <v>10</v>
      </c>
      <c r="K893" s="3">
        <f>(I893-SUM($J$842:$J$897))*G893/H893</f>
        <v>10.356411669614587</v>
      </c>
      <c r="L893" s="1">
        <f>INT(K893)</f>
        <v>10</v>
      </c>
      <c r="M893" s="3">
        <f>K893-L893</f>
        <v>0.35641166961458737</v>
      </c>
      <c r="N893" s="1">
        <f>COUNTIF($M$842:$M$897,"&gt;"&amp;M893)+COUNTIF($M$842:M893,M893)</f>
        <v>34</v>
      </c>
      <c r="O893" s="1">
        <f>J893+L893+IF(N893&lt;=I893-SUM($J$842:$J$897)-SUM($L$842:$L$897),1,0)</f>
        <v>20</v>
      </c>
    </row>
    <row r="894" spans="1:15">
      <c r="A894" s="1" t="s">
        <v>60</v>
      </c>
      <c r="B894" s="1" t="s">
        <v>67</v>
      </c>
      <c r="C894" s="1" t="s">
        <v>50</v>
      </c>
      <c r="D894" s="1" t="s">
        <v>49</v>
      </c>
      <c r="E894" s="1" t="s">
        <v>47</v>
      </c>
      <c r="F894" s="1" t="s">
        <v>41</v>
      </c>
      <c r="G894" s="1">
        <v>28862</v>
      </c>
      <c r="H894" s="1">
        <f>'1_Departamento_n'!C17</f>
        <v>1300917</v>
      </c>
      <c r="I894" s="1">
        <f>'1_Departamento_n'!H17</f>
        <v>1312</v>
      </c>
      <c r="J894" s="1">
        <f>'0_Parametros'!B7</f>
        <v>10</v>
      </c>
      <c r="K894" s="3">
        <f>(I894-SUM($J$842:$J$897))*G894/H894</f>
        <v>16.68378843538827</v>
      </c>
      <c r="L894" s="1">
        <f>INT(K894)</f>
        <v>16</v>
      </c>
      <c r="M894" s="3">
        <f>K894-L894</f>
        <v>0.6837884353882693</v>
      </c>
      <c r="N894" s="1">
        <f>COUNTIF($M$842:$M$897,"&gt;"&amp;M894)+COUNTIF($M$842:M894,M894)</f>
        <v>17</v>
      </c>
      <c r="O894" s="1">
        <f>J894+L894+IF(N894&lt;=I894-SUM($J$842:$J$897)-SUM($L$842:$L$897),1,0)</f>
        <v>27</v>
      </c>
    </row>
    <row r="895" spans="1:15">
      <c r="A895" s="1" t="s">
        <v>60</v>
      </c>
      <c r="B895" s="1" t="s">
        <v>67</v>
      </c>
      <c r="C895" s="1" t="s">
        <v>50</v>
      </c>
      <c r="D895" s="1" t="s">
        <v>49</v>
      </c>
      <c r="E895" s="1" t="s">
        <v>47</v>
      </c>
      <c r="F895" s="1" t="s">
        <v>42</v>
      </c>
      <c r="G895" s="1">
        <v>19736</v>
      </c>
      <c r="H895" s="1">
        <f>'1_Departamento_n'!C17</f>
        <v>1300917</v>
      </c>
      <c r="I895" s="1">
        <f>'1_Departamento_n'!H17</f>
        <v>1312</v>
      </c>
      <c r="J895" s="1">
        <f>'0_Parametros'!B7</f>
        <v>10</v>
      </c>
      <c r="K895" s="3">
        <f>(I895-SUM($J$842:$J$897))*G895/H895</f>
        <v>11.40846956416128</v>
      </c>
      <c r="L895" s="1">
        <f>INT(K895)</f>
        <v>11</v>
      </c>
      <c r="M895" s="3">
        <f>K895-L895</f>
        <v>0.40846956416127966</v>
      </c>
      <c r="N895" s="1">
        <f>COUNTIF($M$842:$M$897,"&gt;"&amp;M895)+COUNTIF($M$842:M895,M895)</f>
        <v>31</v>
      </c>
      <c r="O895" s="1">
        <f>J895+L895+IF(N895&lt;=I895-SUM($J$842:$J$897)-SUM($L$842:$L$897),1,0)</f>
        <v>21</v>
      </c>
    </row>
    <row r="896" spans="1:15">
      <c r="A896" s="1" t="s">
        <v>60</v>
      </c>
      <c r="B896" s="1" t="s">
        <v>67</v>
      </c>
      <c r="C896" s="1" t="s">
        <v>50</v>
      </c>
      <c r="D896" s="1" t="s">
        <v>49</v>
      </c>
      <c r="E896" s="1" t="s">
        <v>48</v>
      </c>
      <c r="F896" s="1" t="s">
        <v>41</v>
      </c>
      <c r="G896" s="1">
        <v>50864</v>
      </c>
      <c r="H896" s="1">
        <f>'1_Departamento_n'!C17</f>
        <v>1300917</v>
      </c>
      <c r="I896" s="1">
        <f>'1_Departamento_n'!H17</f>
        <v>1312</v>
      </c>
      <c r="J896" s="1">
        <f>'0_Parametros'!B7</f>
        <v>10</v>
      </c>
      <c r="K896" s="3">
        <f>(I896-SUM($J$842:$J$897))*G896/H896</f>
        <v>29.402127883639004</v>
      </c>
      <c r="L896" s="1">
        <f>INT(K896)</f>
        <v>29</v>
      </c>
      <c r="M896" s="3">
        <f>K896-L896</f>
        <v>0.40212788363900387</v>
      </c>
      <c r="N896" s="1">
        <f>COUNTIF($M$842:$M$897,"&gt;"&amp;M896)+COUNTIF($M$842:M896,M896)</f>
        <v>33</v>
      </c>
      <c r="O896" s="1">
        <f>J896+L896+IF(N896&lt;=I896-SUM($J$842:$J$897)-SUM($L$842:$L$897),1,0)</f>
        <v>39</v>
      </c>
    </row>
    <row r="897" spans="1:15">
      <c r="A897" s="1" t="s">
        <v>60</v>
      </c>
      <c r="B897" s="1" t="s">
        <v>67</v>
      </c>
      <c r="C897" s="1" t="s">
        <v>50</v>
      </c>
      <c r="D897" s="1" t="s">
        <v>49</v>
      </c>
      <c r="E897" s="1" t="s">
        <v>48</v>
      </c>
      <c r="F897" s="1" t="s">
        <v>42</v>
      </c>
      <c r="G897" s="1">
        <v>35722</v>
      </c>
      <c r="H897" s="1">
        <f>'1_Departamento_n'!C17</f>
        <v>1300917</v>
      </c>
      <c r="I897" s="1">
        <f>'1_Departamento_n'!H17</f>
        <v>1312</v>
      </c>
      <c r="J897" s="1">
        <f>'0_Parametros'!B7</f>
        <v>10</v>
      </c>
      <c r="K897" s="3">
        <f>(I897-SUM($J$842:$J$897))*G897/H897</f>
        <v>20.649237422525804</v>
      </c>
      <c r="L897" s="1">
        <f>INT(K897)</f>
        <v>20</v>
      </c>
      <c r="M897" s="3">
        <f>K897-L897</f>
        <v>0.649237422525804</v>
      </c>
      <c r="N897" s="1">
        <f>COUNTIF($M$842:$M$897,"&gt;"&amp;M897)+COUNTIF($M$842:M897,M897)</f>
        <v>20</v>
      </c>
      <c r="O897" s="1">
        <f>J897+L897+IF(N897&lt;=I897-SUM($J$842:$J$897)-SUM($L$842:$L$897),1,0)</f>
        <v>31</v>
      </c>
    </row>
    <row r="898" spans="1:15">
      <c r="A898" s="1" t="s">
        <v>68</v>
      </c>
      <c r="B898" s="1" t="s">
        <v>69</v>
      </c>
      <c r="C898" s="1" t="s">
        <v>38</v>
      </c>
      <c r="D898" s="1" t="s">
        <v>39</v>
      </c>
      <c r="E898" s="1" t="s">
        <v>40</v>
      </c>
      <c r="F898" s="1" t="s">
        <v>41</v>
      </c>
      <c r="G898" s="1">
        <v>18509</v>
      </c>
      <c r="H898" s="1">
        <f>'1_Departamento_n'!C18</f>
        <v>1171268</v>
      </c>
      <c r="I898" s="1">
        <f>'1_Departamento_n'!H18</f>
        <v>1312</v>
      </c>
      <c r="J898" s="1">
        <f>'0_Parametros'!B7</f>
        <v>10</v>
      </c>
      <c r="K898" s="3">
        <f>(I898-SUM($J$898:$J$953))*G898/H898</f>
        <v>11.883504031528224</v>
      </c>
      <c r="L898" s="1">
        <f>INT(K898)</f>
        <v>11</v>
      </c>
      <c r="M898" s="3">
        <f>K898-L898</f>
        <v>0.8835040315282239</v>
      </c>
      <c r="N898" s="1">
        <f>COUNTIF($M$898:$M$953,"&gt;"&amp;M898)+COUNTIF($M$898:M898,M898)</f>
        <v>9</v>
      </c>
      <c r="O898" s="1">
        <f>J898+L898+IF(N898&lt;=I898-SUM($J$898:$J$953)-SUM($L$898:$L$953),1,0)</f>
        <v>22</v>
      </c>
    </row>
    <row r="899" spans="1:15">
      <c r="A899" s="1" t="s">
        <v>68</v>
      </c>
      <c r="B899" s="1" t="s">
        <v>69</v>
      </c>
      <c r="C899" s="1" t="s">
        <v>38</v>
      </c>
      <c r="D899" s="1" t="s">
        <v>39</v>
      </c>
      <c r="E899" s="1" t="s">
        <v>40</v>
      </c>
      <c r="F899" s="1" t="s">
        <v>42</v>
      </c>
      <c r="G899" s="1">
        <v>3386</v>
      </c>
      <c r="H899" s="1">
        <f>'1_Departamento_n'!C18</f>
        <v>1171268</v>
      </c>
      <c r="I899" s="1">
        <f>'1_Departamento_n'!H18</f>
        <v>1312</v>
      </c>
      <c r="J899" s="1">
        <f>'0_Parametros'!B7</f>
        <v>10</v>
      </c>
      <c r="K899" s="3">
        <f>(I899-SUM($J$898:$J$953))*G899/H899</f>
        <v>2.1739448187775983</v>
      </c>
      <c r="L899" s="1">
        <f>INT(K899)</f>
        <v>2</v>
      </c>
      <c r="M899" s="3">
        <f>K899-L899</f>
        <v>0.17394481877759826</v>
      </c>
      <c r="N899" s="1">
        <f>COUNTIF($M$898:$M$953,"&gt;"&amp;M899)+COUNTIF($M$898:M899,M899)</f>
        <v>46</v>
      </c>
      <c r="O899" s="1">
        <f>J899+L899+IF(N899&lt;=I899-SUM($J$898:$J$953)-SUM($L$898:$L$953),1,0)</f>
        <v>12</v>
      </c>
    </row>
    <row r="900" spans="1:15">
      <c r="A900" s="1" t="s">
        <v>68</v>
      </c>
      <c r="B900" s="1" t="s">
        <v>69</v>
      </c>
      <c r="C900" s="1" t="s">
        <v>38</v>
      </c>
      <c r="D900" s="1" t="s">
        <v>39</v>
      </c>
      <c r="E900" s="1" t="s">
        <v>43</v>
      </c>
      <c r="F900" s="1" t="s">
        <v>41</v>
      </c>
      <c r="G900" s="1">
        <v>28149</v>
      </c>
      <c r="H900" s="1">
        <f>'1_Departamento_n'!C18</f>
        <v>1171268</v>
      </c>
      <c r="I900" s="1">
        <f>'1_Departamento_n'!H18</f>
        <v>1312</v>
      </c>
      <c r="J900" s="1">
        <f>'0_Parametros'!B7</f>
        <v>10</v>
      </c>
      <c r="K900" s="3">
        <f>(I900-SUM($J$898:$J$953))*G900/H900</f>
        <v>18.072762168863147</v>
      </c>
      <c r="L900" s="1">
        <f>INT(K900)</f>
        <v>18</v>
      </c>
      <c r="M900" s="3">
        <f>K900-L900</f>
        <v>0.07276216886314657</v>
      </c>
      <c r="N900" s="1">
        <f>COUNTIF($M$898:$M$953,"&gt;"&amp;M900)+COUNTIF($M$898:M900,M900)</f>
        <v>53</v>
      </c>
      <c r="O900" s="1">
        <f>J900+L900+IF(N900&lt;=I900-SUM($J$898:$J$953)-SUM($L$898:$L$953),1,0)</f>
        <v>28</v>
      </c>
    </row>
    <row r="901" spans="1:15">
      <c r="A901" s="1" t="s">
        <v>68</v>
      </c>
      <c r="B901" s="1" t="s">
        <v>69</v>
      </c>
      <c r="C901" s="1" t="s">
        <v>38</v>
      </c>
      <c r="D901" s="1" t="s">
        <v>39</v>
      </c>
      <c r="E901" s="1" t="s">
        <v>43</v>
      </c>
      <c r="F901" s="1" t="s">
        <v>42</v>
      </c>
      <c r="G901" s="1">
        <v>4203</v>
      </c>
      <c r="H901" s="1">
        <f>'1_Departamento_n'!C18</f>
        <v>1171268</v>
      </c>
      <c r="I901" s="1">
        <f>'1_Departamento_n'!H18</f>
        <v>1312</v>
      </c>
      <c r="J901" s="1">
        <f>'0_Parametros'!B7</f>
        <v>10</v>
      </c>
      <c r="K901" s="3">
        <f>(I901-SUM($J$898:$J$953))*G901/H901</f>
        <v>2.6984908663089917</v>
      </c>
      <c r="L901" s="1">
        <f>INT(K901)</f>
        <v>2</v>
      </c>
      <c r="M901" s="3">
        <f>K901-L901</f>
        <v>0.6984908663089917</v>
      </c>
      <c r="N901" s="1">
        <f>COUNTIF($M$898:$M$953,"&gt;"&amp;M901)+COUNTIF($M$898:M901,M901)</f>
        <v>21</v>
      </c>
      <c r="O901" s="1">
        <f>J901+L901+IF(N901&lt;=I901-SUM($J$898:$J$953)-SUM($L$898:$L$953),1,0)</f>
        <v>13</v>
      </c>
    </row>
    <row r="902" spans="1:15">
      <c r="A902" s="1" t="s">
        <v>68</v>
      </c>
      <c r="B902" s="1" t="s">
        <v>69</v>
      </c>
      <c r="C902" s="1" t="s">
        <v>38</v>
      </c>
      <c r="D902" s="1" t="s">
        <v>39</v>
      </c>
      <c r="E902" s="1" t="s">
        <v>44</v>
      </c>
      <c r="F902" s="1" t="s">
        <v>41</v>
      </c>
      <c r="G902" s="1">
        <v>29788</v>
      </c>
      <c r="H902" s="1">
        <f>'1_Departamento_n'!C18</f>
        <v>1171268</v>
      </c>
      <c r="I902" s="1">
        <f>'1_Departamento_n'!H18</f>
        <v>1312</v>
      </c>
      <c r="J902" s="1">
        <f>'0_Parametros'!B7</f>
        <v>10</v>
      </c>
      <c r="K902" s="3">
        <f>(I902-SUM($J$898:$J$953))*G902/H902</f>
        <v>19.125064460055256</v>
      </c>
      <c r="L902" s="1">
        <f>INT(K902)</f>
        <v>19</v>
      </c>
      <c r="M902" s="3">
        <f>K902-L902</f>
        <v>0.12506446005525618</v>
      </c>
      <c r="N902" s="1">
        <f>COUNTIF($M$898:$M$953,"&gt;"&amp;M902)+COUNTIF($M$898:M902,M902)</f>
        <v>49</v>
      </c>
      <c r="O902" s="1">
        <f>J902+L902+IF(N902&lt;=I902-SUM($J$898:$J$953)-SUM($L$898:$L$953),1,0)</f>
        <v>29</v>
      </c>
    </row>
    <row r="903" spans="1:15">
      <c r="A903" s="1" t="s">
        <v>68</v>
      </c>
      <c r="B903" s="1" t="s">
        <v>69</v>
      </c>
      <c r="C903" s="1" t="s">
        <v>38</v>
      </c>
      <c r="D903" s="1" t="s">
        <v>39</v>
      </c>
      <c r="E903" s="1" t="s">
        <v>44</v>
      </c>
      <c r="F903" s="1" t="s">
        <v>42</v>
      </c>
      <c r="G903" s="1">
        <v>6521</v>
      </c>
      <c r="H903" s="1">
        <f>'1_Departamento_n'!C18</f>
        <v>1171268</v>
      </c>
      <c r="I903" s="1">
        <f>'1_Departamento_n'!H18</f>
        <v>1312</v>
      </c>
      <c r="J903" s="1">
        <f>'0_Parametros'!B7</f>
        <v>10</v>
      </c>
      <c r="K903" s="3">
        <f>(I903-SUM($J$898:$J$953))*G903/H903</f>
        <v>4.186737791863178</v>
      </c>
      <c r="L903" s="1">
        <f>INT(K903)</f>
        <v>4</v>
      </c>
      <c r="M903" s="3">
        <f>K903-L903</f>
        <v>0.18673779186317763</v>
      </c>
      <c r="N903" s="1">
        <f>COUNTIF($M$898:$M$953,"&gt;"&amp;M903)+COUNTIF($M$898:M903,M903)</f>
        <v>45</v>
      </c>
      <c r="O903" s="1">
        <f>J903+L903+IF(N903&lt;=I903-SUM($J$898:$J$953)-SUM($L$898:$L$953),1,0)</f>
        <v>14</v>
      </c>
    </row>
    <row r="904" spans="1:15">
      <c r="A904" s="1" t="s">
        <v>68</v>
      </c>
      <c r="B904" s="1" t="s">
        <v>69</v>
      </c>
      <c r="C904" s="1" t="s">
        <v>38</v>
      </c>
      <c r="D904" s="1" t="s">
        <v>39</v>
      </c>
      <c r="E904" s="1" t="s">
        <v>45</v>
      </c>
      <c r="F904" s="1" t="s">
        <v>41</v>
      </c>
      <c r="G904" s="1">
        <v>35404</v>
      </c>
      <c r="H904" s="1">
        <f>'1_Departamento_n'!C18</f>
        <v>1171268</v>
      </c>
      <c r="I904" s="1">
        <f>'1_Departamento_n'!H18</f>
        <v>1312</v>
      </c>
      <c r="J904" s="1">
        <f>'0_Parametros'!B7</f>
        <v>10</v>
      </c>
      <c r="K904" s="3">
        <f>(I904-SUM($J$898:$J$953))*G904/H904</f>
        <v>22.730756752510953</v>
      </c>
      <c r="L904" s="1">
        <f>INT(K904)</f>
        <v>22</v>
      </c>
      <c r="M904" s="3">
        <f>K904-L904</f>
        <v>0.7307567525109526</v>
      </c>
      <c r="N904" s="1">
        <f>COUNTIF($M$898:$M$953,"&gt;"&amp;M904)+COUNTIF($M$898:M904,M904)</f>
        <v>17</v>
      </c>
      <c r="O904" s="1">
        <f>J904+L904+IF(N904&lt;=I904-SUM($J$898:$J$953)-SUM($L$898:$L$953),1,0)</f>
        <v>33</v>
      </c>
    </row>
    <row r="905" spans="1:15">
      <c r="A905" s="1" t="s">
        <v>68</v>
      </c>
      <c r="B905" s="1" t="s">
        <v>69</v>
      </c>
      <c r="C905" s="1" t="s">
        <v>38</v>
      </c>
      <c r="D905" s="1" t="s">
        <v>39</v>
      </c>
      <c r="E905" s="1" t="s">
        <v>45</v>
      </c>
      <c r="F905" s="1" t="s">
        <v>42</v>
      </c>
      <c r="G905" s="1">
        <v>5064</v>
      </c>
      <c r="H905" s="1">
        <f>'1_Departamento_n'!C18</f>
        <v>1171268</v>
      </c>
      <c r="I905" s="1">
        <f>'1_Departamento_n'!H18</f>
        <v>1312</v>
      </c>
      <c r="J905" s="1">
        <f>'0_Parametros'!B7</f>
        <v>10</v>
      </c>
      <c r="K905" s="3">
        <f>(I905-SUM($J$898:$J$953))*G905/H905</f>
        <v>3.2512866397784284</v>
      </c>
      <c r="L905" s="1">
        <f>INT(K905)</f>
        <v>3</v>
      </c>
      <c r="M905" s="3">
        <f>K905-L905</f>
        <v>0.25128663977842836</v>
      </c>
      <c r="N905" s="1">
        <f>COUNTIF($M$898:$M$953,"&gt;"&amp;M905)+COUNTIF($M$898:M905,M905)</f>
        <v>42</v>
      </c>
      <c r="O905" s="1">
        <f>J905+L905+IF(N905&lt;=I905-SUM($J$898:$J$953)-SUM($L$898:$L$953),1,0)</f>
        <v>13</v>
      </c>
    </row>
    <row r="906" spans="1:15">
      <c r="A906" s="1" t="s">
        <v>68</v>
      </c>
      <c r="B906" s="1" t="s">
        <v>69</v>
      </c>
      <c r="C906" s="1" t="s">
        <v>38</v>
      </c>
      <c r="D906" s="1" t="s">
        <v>39</v>
      </c>
      <c r="E906" s="1" t="s">
        <v>46</v>
      </c>
      <c r="F906" s="1" t="s">
        <v>41</v>
      </c>
      <c r="G906" s="1">
        <v>32080</v>
      </c>
      <c r="H906" s="1">
        <f>'1_Departamento_n'!C18</f>
        <v>1171268</v>
      </c>
      <c r="I906" s="1">
        <f>'1_Departamento_n'!H18</f>
        <v>1312</v>
      </c>
      <c r="J906" s="1">
        <f>'0_Parametros'!B7</f>
        <v>10</v>
      </c>
      <c r="K906" s="3">
        <f>(I906-SUM($J$898:$J$953))*G906/H906</f>
        <v>20.596618365736962</v>
      </c>
      <c r="L906" s="1">
        <f>INT(K906)</f>
        <v>20</v>
      </c>
      <c r="M906" s="3">
        <f>K906-L906</f>
        <v>0.5966183657369619</v>
      </c>
      <c r="N906" s="1">
        <f>COUNTIF($M$898:$M$953,"&gt;"&amp;M906)+COUNTIF($M$898:M906,M906)</f>
        <v>26</v>
      </c>
      <c r="O906" s="1">
        <f>J906+L906+IF(N906&lt;=I906-SUM($J$898:$J$953)-SUM($L$898:$L$953),1,0)</f>
        <v>31</v>
      </c>
    </row>
    <row r="907" spans="1:15">
      <c r="A907" s="1" t="s">
        <v>68</v>
      </c>
      <c r="B907" s="1" t="s">
        <v>69</v>
      </c>
      <c r="C907" s="1" t="s">
        <v>38</v>
      </c>
      <c r="D907" s="1" t="s">
        <v>39</v>
      </c>
      <c r="E907" s="1" t="s">
        <v>46</v>
      </c>
      <c r="F907" s="1" t="s">
        <v>42</v>
      </c>
      <c r="G907" s="1">
        <v>3706</v>
      </c>
      <c r="H907" s="1">
        <f>'1_Departamento_n'!C18</f>
        <v>1171268</v>
      </c>
      <c r="I907" s="1">
        <f>'1_Departamento_n'!H18</f>
        <v>1312</v>
      </c>
      <c r="J907" s="1">
        <f>'0_Parametros'!B7</f>
        <v>10</v>
      </c>
      <c r="K907" s="3">
        <f>(I907-SUM($J$898:$J$953))*G907/H907</f>
        <v>2.379397371054276</v>
      </c>
      <c r="L907" s="1">
        <f>INT(K907)</f>
        <v>2</v>
      </c>
      <c r="M907" s="3">
        <f>K907-L907</f>
        <v>0.3793973710542762</v>
      </c>
      <c r="N907" s="1">
        <f>COUNTIF($M$898:$M$953,"&gt;"&amp;M907)+COUNTIF($M$898:M907,M907)</f>
        <v>35</v>
      </c>
      <c r="O907" s="1">
        <f>J907+L907+IF(N907&lt;=I907-SUM($J$898:$J$953)-SUM($L$898:$L$953),1,0)</f>
        <v>12</v>
      </c>
    </row>
    <row r="908" spans="1:15">
      <c r="A908" s="1" t="s">
        <v>68</v>
      </c>
      <c r="B908" s="1" t="s">
        <v>69</v>
      </c>
      <c r="C908" s="1" t="s">
        <v>38</v>
      </c>
      <c r="D908" s="1" t="s">
        <v>39</v>
      </c>
      <c r="E908" s="1" t="s">
        <v>47</v>
      </c>
      <c r="F908" s="1" t="s">
        <v>41</v>
      </c>
      <c r="G908" s="1">
        <v>24799</v>
      </c>
      <c r="H908" s="1">
        <f>'1_Departamento_n'!C18</f>
        <v>1171268</v>
      </c>
      <c r="I908" s="1">
        <f>'1_Departamento_n'!H18</f>
        <v>1312</v>
      </c>
      <c r="J908" s="1">
        <f>'0_Parametros'!B7</f>
        <v>10</v>
      </c>
      <c r="K908" s="3">
        <f>(I908-SUM($J$898:$J$953))*G908/H908</f>
        <v>15.921930762216675</v>
      </c>
      <c r="L908" s="1">
        <f>INT(K908)</f>
        <v>15</v>
      </c>
      <c r="M908" s="3">
        <f>K908-L908</f>
        <v>0.9219307622166752</v>
      </c>
      <c r="N908" s="1">
        <f>COUNTIF($M$898:$M$953,"&gt;"&amp;M908)+COUNTIF($M$898:M908,M908)</f>
        <v>8</v>
      </c>
      <c r="O908" s="1">
        <f>J908+L908+IF(N908&lt;=I908-SUM($J$898:$J$953)-SUM($L$898:$L$953),1,0)</f>
        <v>26</v>
      </c>
    </row>
    <row r="909" spans="1:15">
      <c r="A909" s="1" t="s">
        <v>68</v>
      </c>
      <c r="B909" s="1" t="s">
        <v>69</v>
      </c>
      <c r="C909" s="1" t="s">
        <v>38</v>
      </c>
      <c r="D909" s="1" t="s">
        <v>39</v>
      </c>
      <c r="E909" s="1" t="s">
        <v>47</v>
      </c>
      <c r="F909" s="1" t="s">
        <v>42</v>
      </c>
      <c r="G909" s="1">
        <v>2517</v>
      </c>
      <c r="H909" s="1">
        <f>'1_Departamento_n'!C18</f>
        <v>1171268</v>
      </c>
      <c r="I909" s="1">
        <f>'1_Departamento_n'!H18</f>
        <v>1312</v>
      </c>
      <c r="J909" s="1">
        <f>'0_Parametros'!B7</f>
        <v>10</v>
      </c>
      <c r="K909" s="3">
        <f>(I909-SUM($J$898:$J$953))*G909/H909</f>
        <v>1.616012731501245</v>
      </c>
      <c r="L909" s="1">
        <f>INT(K909)</f>
        <v>1</v>
      </c>
      <c r="M909" s="3">
        <f>K909-L909</f>
        <v>0.6160127315012449</v>
      </c>
      <c r="N909" s="1">
        <f>COUNTIF($M$898:$M$953,"&gt;"&amp;M909)+COUNTIF($M$898:M909,M909)</f>
        <v>24</v>
      </c>
      <c r="O909" s="1">
        <f>J909+L909+IF(N909&lt;=I909-SUM($J$898:$J$953)-SUM($L$898:$L$953),1,0)</f>
        <v>12</v>
      </c>
    </row>
    <row r="910" spans="1:15">
      <c r="A910" s="1" t="s">
        <v>68</v>
      </c>
      <c r="B910" s="1" t="s">
        <v>69</v>
      </c>
      <c r="C910" s="1" t="s">
        <v>38</v>
      </c>
      <c r="D910" s="1" t="s">
        <v>39</v>
      </c>
      <c r="E910" s="1" t="s">
        <v>48</v>
      </c>
      <c r="F910" s="1" t="s">
        <v>41</v>
      </c>
      <c r="G910" s="1">
        <v>41569</v>
      </c>
      <c r="H910" s="1">
        <f>'1_Departamento_n'!C18</f>
        <v>1171268</v>
      </c>
      <c r="I910" s="1">
        <f>'1_Departamento_n'!H18</f>
        <v>1312</v>
      </c>
      <c r="J910" s="1">
        <f>'0_Parametros'!B7</f>
        <v>10</v>
      </c>
      <c r="K910" s="3">
        <f>(I910-SUM($J$898:$J$953))*G910/H910</f>
        <v>26.688928579966326</v>
      </c>
      <c r="L910" s="1">
        <f>INT(K910)</f>
        <v>26</v>
      </c>
      <c r="M910" s="3">
        <f>K910-L910</f>
        <v>0.6889285799663263</v>
      </c>
      <c r="N910" s="1">
        <f>COUNTIF($M$898:$M$953,"&gt;"&amp;M910)+COUNTIF($M$898:M910,M910)</f>
        <v>22</v>
      </c>
      <c r="O910" s="1">
        <f>J910+L910+IF(N910&lt;=I910-SUM($J$898:$J$953)-SUM($L$898:$L$953),1,0)</f>
        <v>37</v>
      </c>
    </row>
    <row r="911" spans="1:15">
      <c r="A911" s="1" t="s">
        <v>68</v>
      </c>
      <c r="B911" s="1" t="s">
        <v>69</v>
      </c>
      <c r="C911" s="1" t="s">
        <v>38</v>
      </c>
      <c r="D911" s="1" t="s">
        <v>39</v>
      </c>
      <c r="E911" s="1" t="s">
        <v>48</v>
      </c>
      <c r="F911" s="1" t="s">
        <v>42</v>
      </c>
      <c r="G911" s="1">
        <v>3760</v>
      </c>
      <c r="H911" s="1">
        <f>'1_Departamento_n'!C18</f>
        <v>1171268</v>
      </c>
      <c r="I911" s="1">
        <f>'1_Departamento_n'!H18</f>
        <v>1312</v>
      </c>
      <c r="J911" s="1">
        <f>'0_Parametros'!B7</f>
        <v>10</v>
      </c>
      <c r="K911" s="3">
        <f>(I911-SUM($J$898:$J$953))*G911/H911</f>
        <v>2.4140674892509657</v>
      </c>
      <c r="L911" s="1">
        <f>INT(K911)</f>
        <v>2</v>
      </c>
      <c r="M911" s="3">
        <f>K911-L911</f>
        <v>0.4140674892509657</v>
      </c>
      <c r="N911" s="1">
        <f>COUNTIF($M$898:$M$953,"&gt;"&amp;M911)+COUNTIF($M$898:M911,M911)</f>
        <v>33</v>
      </c>
      <c r="O911" s="1">
        <f>J911+L911+IF(N911&lt;=I911-SUM($J$898:$J$953)-SUM($L$898:$L$953),1,0)</f>
        <v>12</v>
      </c>
    </row>
    <row r="912" spans="1:15">
      <c r="A912" s="1" t="s">
        <v>68</v>
      </c>
      <c r="B912" s="1" t="s">
        <v>69</v>
      </c>
      <c r="C912" s="1" t="s">
        <v>38</v>
      </c>
      <c r="D912" s="1" t="s">
        <v>49</v>
      </c>
      <c r="E912" s="1" t="s">
        <v>40</v>
      </c>
      <c r="F912" s="1" t="s">
        <v>41</v>
      </c>
      <c r="G912" s="1">
        <v>19165</v>
      </c>
      <c r="H912" s="1">
        <f>'1_Departamento_n'!C18</f>
        <v>1171268</v>
      </c>
      <c r="I912" s="1">
        <f>'1_Departamento_n'!H18</f>
        <v>1312</v>
      </c>
      <c r="J912" s="1">
        <f>'0_Parametros'!B7</f>
        <v>10</v>
      </c>
      <c r="K912" s="3">
        <f>(I912-SUM($J$898:$J$953))*G912/H912</f>
        <v>12.304681763695413</v>
      </c>
      <c r="L912" s="1">
        <f>INT(K912)</f>
        <v>12</v>
      </c>
      <c r="M912" s="3">
        <f>K912-L912</f>
        <v>0.3046817636954131</v>
      </c>
      <c r="N912" s="1">
        <f>COUNTIF($M$898:$M$953,"&gt;"&amp;M912)+COUNTIF($M$898:M912,M912)</f>
        <v>40</v>
      </c>
      <c r="O912" s="1">
        <f>J912+L912+IF(N912&lt;=I912-SUM($J$898:$J$953)-SUM($L$898:$L$953),1,0)</f>
        <v>22</v>
      </c>
    </row>
    <row r="913" spans="1:15">
      <c r="A913" s="1" t="s">
        <v>68</v>
      </c>
      <c r="B913" s="1" t="s">
        <v>69</v>
      </c>
      <c r="C913" s="1" t="s">
        <v>38</v>
      </c>
      <c r="D913" s="1" t="s">
        <v>49</v>
      </c>
      <c r="E913" s="1" t="s">
        <v>40</v>
      </c>
      <c r="F913" s="1" t="s">
        <v>42</v>
      </c>
      <c r="G913" s="1">
        <v>3629</v>
      </c>
      <c r="H913" s="1">
        <f>'1_Departamento_n'!C18</f>
        <v>1171268</v>
      </c>
      <c r="I913" s="1">
        <f>'1_Departamento_n'!H18</f>
        <v>1312</v>
      </c>
      <c r="J913" s="1">
        <f>'0_Parametros'!B7</f>
        <v>10</v>
      </c>
      <c r="K913" s="3">
        <f>(I913-SUM($J$898:$J$953))*G913/H913</f>
        <v>2.3299603506627005</v>
      </c>
      <c r="L913" s="1">
        <f>INT(K913)</f>
        <v>2</v>
      </c>
      <c r="M913" s="3">
        <f>K913-L913</f>
        <v>0.32996035066270046</v>
      </c>
      <c r="N913" s="1">
        <f>COUNTIF($M$898:$M$953,"&gt;"&amp;M913)+COUNTIF($M$898:M913,M913)</f>
        <v>37</v>
      </c>
      <c r="O913" s="1">
        <f>J913+L913+IF(N913&lt;=I913-SUM($J$898:$J$953)-SUM($L$898:$L$953),1,0)</f>
        <v>12</v>
      </c>
    </row>
    <row r="914" spans="1:15">
      <c r="A914" s="1" t="s">
        <v>68</v>
      </c>
      <c r="B914" s="1" t="s">
        <v>69</v>
      </c>
      <c r="C914" s="1" t="s">
        <v>38</v>
      </c>
      <c r="D914" s="1" t="s">
        <v>49</v>
      </c>
      <c r="E914" s="1" t="s">
        <v>43</v>
      </c>
      <c r="F914" s="1" t="s">
        <v>41</v>
      </c>
      <c r="G914" s="1">
        <v>29183</v>
      </c>
      <c r="H914" s="1">
        <f>'1_Departamento_n'!C18</f>
        <v>1171268</v>
      </c>
      <c r="I914" s="1">
        <f>'1_Departamento_n'!H18</f>
        <v>1312</v>
      </c>
      <c r="J914" s="1">
        <f>'0_Parametros'!B7</f>
        <v>10</v>
      </c>
      <c r="K914" s="3">
        <f>(I914-SUM($J$898:$J$953))*G914/H914</f>
        <v>18.736630728407164</v>
      </c>
      <c r="L914" s="1">
        <f>INT(K914)</f>
        <v>18</v>
      </c>
      <c r="M914" s="3">
        <f>K914-L914</f>
        <v>0.7366307284071638</v>
      </c>
      <c r="N914" s="1">
        <f>COUNTIF($M$898:$M$953,"&gt;"&amp;M914)+COUNTIF($M$898:M914,M914)</f>
        <v>16</v>
      </c>
      <c r="O914" s="1">
        <f>J914+L914+IF(N914&lt;=I914-SUM($J$898:$J$953)-SUM($L$898:$L$953),1,0)</f>
        <v>29</v>
      </c>
    </row>
    <row r="915" spans="1:15">
      <c r="A915" s="1" t="s">
        <v>68</v>
      </c>
      <c r="B915" s="1" t="s">
        <v>69</v>
      </c>
      <c r="C915" s="1" t="s">
        <v>38</v>
      </c>
      <c r="D915" s="1" t="s">
        <v>49</v>
      </c>
      <c r="E915" s="1" t="s">
        <v>43</v>
      </c>
      <c r="F915" s="1" t="s">
        <v>42</v>
      </c>
      <c r="G915" s="1">
        <v>4664</v>
      </c>
      <c r="H915" s="1">
        <f>'1_Departamento_n'!C18</f>
        <v>1171268</v>
      </c>
      <c r="I915" s="1">
        <f>'1_Departamento_n'!H18</f>
        <v>1312</v>
      </c>
      <c r="J915" s="1">
        <f>'0_Parametros'!B7</f>
        <v>10</v>
      </c>
      <c r="K915" s="3">
        <f>(I915-SUM($J$898:$J$953))*G915/H915</f>
        <v>2.9944709494325807</v>
      </c>
      <c r="L915" s="1">
        <f>INT(K915)</f>
        <v>2</v>
      </c>
      <c r="M915" s="3">
        <f>K915-L915</f>
        <v>0.9944709494325807</v>
      </c>
      <c r="N915" s="1">
        <f>COUNTIF($M$898:$M$953,"&gt;"&amp;M915)+COUNTIF($M$898:M915,M915)</f>
        <v>2</v>
      </c>
      <c r="O915" s="1">
        <f>J915+L915+IF(N915&lt;=I915-SUM($J$898:$J$953)-SUM($L$898:$L$953),1,0)</f>
        <v>13</v>
      </c>
    </row>
    <row r="916" spans="1:15">
      <c r="A916" s="1" t="s">
        <v>68</v>
      </c>
      <c r="B916" s="1" t="s">
        <v>69</v>
      </c>
      <c r="C916" s="1" t="s">
        <v>38</v>
      </c>
      <c r="D916" s="1" t="s">
        <v>49</v>
      </c>
      <c r="E916" s="1" t="s">
        <v>44</v>
      </c>
      <c r="F916" s="1" t="s">
        <v>41</v>
      </c>
      <c r="G916" s="1">
        <v>31726</v>
      </c>
      <c r="H916" s="1">
        <f>'1_Departamento_n'!C18</f>
        <v>1171268</v>
      </c>
      <c r="I916" s="1">
        <f>'1_Departamento_n'!H18</f>
        <v>1312</v>
      </c>
      <c r="J916" s="1">
        <f>'0_Parametros'!B7</f>
        <v>10</v>
      </c>
      <c r="K916" s="3">
        <f>(I916-SUM($J$898:$J$953))*G916/H916</f>
        <v>20.369336479780888</v>
      </c>
      <c r="L916" s="1">
        <f>INT(K916)</f>
        <v>20</v>
      </c>
      <c r="M916" s="3">
        <f>K916-L916</f>
        <v>0.36933647978088757</v>
      </c>
      <c r="N916" s="1">
        <f>COUNTIF($M$898:$M$953,"&gt;"&amp;M916)+COUNTIF($M$898:M916,M916)</f>
        <v>36</v>
      </c>
      <c r="O916" s="1">
        <f>J916+L916+IF(N916&lt;=I916-SUM($J$898:$J$953)-SUM($L$898:$L$953),1,0)</f>
        <v>30</v>
      </c>
    </row>
    <row r="917" spans="1:15">
      <c r="A917" s="1" t="s">
        <v>68</v>
      </c>
      <c r="B917" s="1" t="s">
        <v>69</v>
      </c>
      <c r="C917" s="1" t="s">
        <v>38</v>
      </c>
      <c r="D917" s="1" t="s">
        <v>49</v>
      </c>
      <c r="E917" s="1" t="s">
        <v>44</v>
      </c>
      <c r="F917" s="1" t="s">
        <v>42</v>
      </c>
      <c r="G917" s="1">
        <v>8120</v>
      </c>
      <c r="H917" s="1">
        <f>'1_Departamento_n'!C18</f>
        <v>1171268</v>
      </c>
      <c r="I917" s="1">
        <f>'1_Departamento_n'!H18</f>
        <v>1312</v>
      </c>
      <c r="J917" s="1">
        <f>'0_Parametros'!B7</f>
        <v>10</v>
      </c>
      <c r="K917" s="3">
        <f>(I917-SUM($J$898:$J$953))*G917/H917</f>
        <v>5.213358514020702</v>
      </c>
      <c r="L917" s="1">
        <f>INT(K917)</f>
        <v>5</v>
      </c>
      <c r="M917" s="3">
        <f>K917-L917</f>
        <v>0.21335851402070194</v>
      </c>
      <c r="N917" s="1">
        <f>COUNTIF($M$898:$M$953,"&gt;"&amp;M917)+COUNTIF($M$898:M917,M917)</f>
        <v>43</v>
      </c>
      <c r="O917" s="1">
        <f>J917+L917+IF(N917&lt;=I917-SUM($J$898:$J$953)-SUM($L$898:$L$953),1,0)</f>
        <v>15</v>
      </c>
    </row>
    <row r="918" spans="1:15">
      <c r="A918" s="1" t="s">
        <v>68</v>
      </c>
      <c r="B918" s="1" t="s">
        <v>69</v>
      </c>
      <c r="C918" s="1" t="s">
        <v>38</v>
      </c>
      <c r="D918" s="1" t="s">
        <v>49</v>
      </c>
      <c r="E918" s="1" t="s">
        <v>45</v>
      </c>
      <c r="F918" s="1" t="s">
        <v>41</v>
      </c>
      <c r="G918" s="1">
        <v>33902</v>
      </c>
      <c r="H918" s="1">
        <f>'1_Departamento_n'!C18</f>
        <v>1171268</v>
      </c>
      <c r="I918" s="1">
        <f>'1_Departamento_n'!H18</f>
        <v>1312</v>
      </c>
      <c r="J918" s="1">
        <f>'0_Parametros'!B7</f>
        <v>10</v>
      </c>
      <c r="K918" s="3">
        <f>(I918-SUM($J$898:$J$953))*G918/H918</f>
        <v>21.7664138352623</v>
      </c>
      <c r="L918" s="1">
        <f>INT(K918)</f>
        <v>21</v>
      </c>
      <c r="M918" s="3">
        <f>K918-L918</f>
        <v>0.7664138352622984</v>
      </c>
      <c r="N918" s="1">
        <f>COUNTIF($M$898:$M$953,"&gt;"&amp;M918)+COUNTIF($M$898:M918,M918)</f>
        <v>14</v>
      </c>
      <c r="O918" s="1">
        <f>J918+L918+IF(N918&lt;=I918-SUM($J$898:$J$953)-SUM($L$898:$L$953),1,0)</f>
        <v>32</v>
      </c>
    </row>
    <row r="919" spans="1:15">
      <c r="A919" s="1" t="s">
        <v>68</v>
      </c>
      <c r="B919" s="1" t="s">
        <v>69</v>
      </c>
      <c r="C919" s="1" t="s">
        <v>38</v>
      </c>
      <c r="D919" s="1" t="s">
        <v>49</v>
      </c>
      <c r="E919" s="1" t="s">
        <v>45</v>
      </c>
      <c r="F919" s="1" t="s">
        <v>42</v>
      </c>
      <c r="G919" s="1">
        <v>6377</v>
      </c>
      <c r="H919" s="1">
        <f>'1_Departamento_n'!C18</f>
        <v>1171268</v>
      </c>
      <c r="I919" s="1">
        <f>'1_Departamento_n'!H18</f>
        <v>1312</v>
      </c>
      <c r="J919" s="1">
        <f>'0_Parametros'!B7</f>
        <v>10</v>
      </c>
      <c r="K919" s="3">
        <f>(I919-SUM($J$898:$J$953))*G919/H919</f>
        <v>4.0942841433386725</v>
      </c>
      <c r="L919" s="1">
        <f>INT(K919)</f>
        <v>4</v>
      </c>
      <c r="M919" s="3">
        <f>K919-L919</f>
        <v>0.09428414333867252</v>
      </c>
      <c r="N919" s="1">
        <f>COUNTIF($M$898:$M$953,"&gt;"&amp;M919)+COUNTIF($M$898:M919,M919)</f>
        <v>51</v>
      </c>
      <c r="O919" s="1">
        <f>J919+L919+IF(N919&lt;=I919-SUM($J$898:$J$953)-SUM($L$898:$L$953),1,0)</f>
        <v>14</v>
      </c>
    </row>
    <row r="920" spans="1:15">
      <c r="A920" s="1" t="s">
        <v>68</v>
      </c>
      <c r="B920" s="1" t="s">
        <v>69</v>
      </c>
      <c r="C920" s="1" t="s">
        <v>38</v>
      </c>
      <c r="D920" s="1" t="s">
        <v>49</v>
      </c>
      <c r="E920" s="1" t="s">
        <v>46</v>
      </c>
      <c r="F920" s="1" t="s">
        <v>41</v>
      </c>
      <c r="G920" s="1">
        <v>30552</v>
      </c>
      <c r="H920" s="1">
        <f>'1_Departamento_n'!C18</f>
        <v>1171268</v>
      </c>
      <c r="I920" s="1">
        <f>'1_Departamento_n'!H18</f>
        <v>1312</v>
      </c>
      <c r="J920" s="1">
        <f>'0_Parametros'!B7</f>
        <v>10</v>
      </c>
      <c r="K920" s="3">
        <f>(I920-SUM($J$898:$J$953))*G920/H920</f>
        <v>19.615582428615824</v>
      </c>
      <c r="L920" s="1">
        <f>INT(K920)</f>
        <v>19</v>
      </c>
      <c r="M920" s="3">
        <f>K920-L920</f>
        <v>0.6155824286158236</v>
      </c>
      <c r="N920" s="1">
        <f>COUNTIF($M$898:$M$953,"&gt;"&amp;M920)+COUNTIF($M$898:M920,M920)</f>
        <v>25</v>
      </c>
      <c r="O920" s="1">
        <f>J920+L920+IF(N920&lt;=I920-SUM($J$898:$J$953)-SUM($L$898:$L$953),1,0)</f>
        <v>30</v>
      </c>
    </row>
    <row r="921" spans="1:15">
      <c r="A921" s="1" t="s">
        <v>68</v>
      </c>
      <c r="B921" s="1" t="s">
        <v>69</v>
      </c>
      <c r="C921" s="1" t="s">
        <v>38</v>
      </c>
      <c r="D921" s="1" t="s">
        <v>49</v>
      </c>
      <c r="E921" s="1" t="s">
        <v>46</v>
      </c>
      <c r="F921" s="1" t="s">
        <v>42</v>
      </c>
      <c r="G921" s="1">
        <v>4968</v>
      </c>
      <c r="H921" s="1">
        <f>'1_Departamento_n'!C18</f>
        <v>1171268</v>
      </c>
      <c r="I921" s="1">
        <f>'1_Departamento_n'!H18</f>
        <v>1312</v>
      </c>
      <c r="J921" s="1">
        <f>'0_Parametros'!B7</f>
        <v>10</v>
      </c>
      <c r="K921" s="3">
        <f>(I921-SUM($J$898:$J$953))*G921/H921</f>
        <v>3.189650874095425</v>
      </c>
      <c r="L921" s="1">
        <f>INT(K921)</f>
        <v>3</v>
      </c>
      <c r="M921" s="3">
        <f>K921-L921</f>
        <v>0.1896508740954248</v>
      </c>
      <c r="N921" s="1">
        <f>COUNTIF($M$898:$M$953,"&gt;"&amp;M921)+COUNTIF($M$898:M921,M921)</f>
        <v>44</v>
      </c>
      <c r="O921" s="1">
        <f>J921+L921+IF(N921&lt;=I921-SUM($J$898:$J$953)-SUM($L$898:$L$953),1,0)</f>
        <v>13</v>
      </c>
    </row>
    <row r="922" spans="1:15">
      <c r="A922" s="1" t="s">
        <v>68</v>
      </c>
      <c r="B922" s="1" t="s">
        <v>69</v>
      </c>
      <c r="C922" s="1" t="s">
        <v>38</v>
      </c>
      <c r="D922" s="1" t="s">
        <v>49</v>
      </c>
      <c r="E922" s="1" t="s">
        <v>47</v>
      </c>
      <c r="F922" s="1" t="s">
        <v>41</v>
      </c>
      <c r="G922" s="1">
        <v>23357</v>
      </c>
      <c r="H922" s="1">
        <f>'1_Departamento_n'!C18</f>
        <v>1171268</v>
      </c>
      <c r="I922" s="1">
        <f>'1_Departamento_n'!H18</f>
        <v>1312</v>
      </c>
      <c r="J922" s="1">
        <f>'0_Parametros'!B7</f>
        <v>10</v>
      </c>
      <c r="K922" s="3">
        <f>(I922-SUM($J$898:$J$953))*G922/H922</f>
        <v>14.996110198519895</v>
      </c>
      <c r="L922" s="1">
        <f>INT(K922)</f>
        <v>14</v>
      </c>
      <c r="M922" s="3">
        <f>K922-L922</f>
        <v>0.9961101985198955</v>
      </c>
      <c r="N922" s="1">
        <f>COUNTIF($M$898:$M$953,"&gt;"&amp;M922)+COUNTIF($M$898:M922,M922)</f>
        <v>1</v>
      </c>
      <c r="O922" s="1">
        <f>J922+L922+IF(N922&lt;=I922-SUM($J$898:$J$953)-SUM($L$898:$L$953),1,0)</f>
        <v>25</v>
      </c>
    </row>
    <row r="923" spans="1:15">
      <c r="A923" s="1" t="s">
        <v>68</v>
      </c>
      <c r="B923" s="1" t="s">
        <v>69</v>
      </c>
      <c r="C923" s="1" t="s">
        <v>38</v>
      </c>
      <c r="D923" s="1" t="s">
        <v>49</v>
      </c>
      <c r="E923" s="1" t="s">
        <v>47</v>
      </c>
      <c r="F923" s="1" t="s">
        <v>42</v>
      </c>
      <c r="G923" s="1">
        <v>3546</v>
      </c>
      <c r="H923" s="1">
        <f>'1_Departamento_n'!C18</f>
        <v>1171268</v>
      </c>
      <c r="I923" s="1">
        <f>'1_Departamento_n'!H18</f>
        <v>1312</v>
      </c>
      <c r="J923" s="1">
        <f>'0_Parametros'!B7</f>
        <v>10</v>
      </c>
      <c r="K923" s="3">
        <f>(I923-SUM($J$898:$J$953))*G923/H923</f>
        <v>2.276671094915937</v>
      </c>
      <c r="L923" s="1">
        <f>INT(K923)</f>
        <v>2</v>
      </c>
      <c r="M923" s="3">
        <f>K923-L923</f>
        <v>0.2766710949159372</v>
      </c>
      <c r="N923" s="1">
        <f>COUNTIF($M$898:$M$953,"&gt;"&amp;M923)+COUNTIF($M$898:M923,M923)</f>
        <v>41</v>
      </c>
      <c r="O923" s="1">
        <f>J923+L923+IF(N923&lt;=I923-SUM($J$898:$J$953)-SUM($L$898:$L$953),1,0)</f>
        <v>12</v>
      </c>
    </row>
    <row r="924" spans="1:15">
      <c r="A924" s="1" t="s">
        <v>68</v>
      </c>
      <c r="B924" s="1" t="s">
        <v>69</v>
      </c>
      <c r="C924" s="1" t="s">
        <v>38</v>
      </c>
      <c r="D924" s="1" t="s">
        <v>49</v>
      </c>
      <c r="E924" s="1" t="s">
        <v>48</v>
      </c>
      <c r="F924" s="1" t="s">
        <v>41</v>
      </c>
      <c r="G924" s="1">
        <v>35170</v>
      </c>
      <c r="H924" s="1">
        <f>'1_Departamento_n'!C18</f>
        <v>1171268</v>
      </c>
      <c r="I924" s="1">
        <f>'1_Departamento_n'!H18</f>
        <v>1312</v>
      </c>
      <c r="J924" s="1">
        <f>'0_Parametros'!B7</f>
        <v>10</v>
      </c>
      <c r="K924" s="3">
        <f>(I924-SUM($J$898:$J$953))*G924/H924</f>
        <v>22.580519573658634</v>
      </c>
      <c r="L924" s="1">
        <f>INT(K924)</f>
        <v>22</v>
      </c>
      <c r="M924" s="3">
        <f>K924-L924</f>
        <v>0.5805195736586342</v>
      </c>
      <c r="N924" s="1">
        <f>COUNTIF($M$898:$M$953,"&gt;"&amp;M924)+COUNTIF($M$898:M924,M924)</f>
        <v>28</v>
      </c>
      <c r="O924" s="1">
        <f>J924+L924+IF(N924&lt;=I924-SUM($J$898:$J$953)-SUM($L$898:$L$953),1,0)</f>
        <v>33</v>
      </c>
    </row>
    <row r="925" spans="1:15">
      <c r="A925" s="1" t="s">
        <v>68</v>
      </c>
      <c r="B925" s="1" t="s">
        <v>69</v>
      </c>
      <c r="C925" s="1" t="s">
        <v>38</v>
      </c>
      <c r="D925" s="1" t="s">
        <v>49</v>
      </c>
      <c r="E925" s="1" t="s">
        <v>48</v>
      </c>
      <c r="F925" s="1" t="s">
        <v>42</v>
      </c>
      <c r="G925" s="1">
        <v>4118</v>
      </c>
      <c r="H925" s="1">
        <f>'1_Departamento_n'!C18</f>
        <v>1171268</v>
      </c>
      <c r="I925" s="1">
        <f>'1_Departamento_n'!H18</f>
        <v>1312</v>
      </c>
      <c r="J925" s="1">
        <f>'0_Parametros'!B7</f>
        <v>10</v>
      </c>
      <c r="K925" s="3">
        <f>(I925-SUM($J$898:$J$953))*G925/H925</f>
        <v>2.643917532110499</v>
      </c>
      <c r="L925" s="1">
        <f>INT(K925)</f>
        <v>2</v>
      </c>
      <c r="M925" s="3">
        <f>K925-L925</f>
        <v>0.6439175321104988</v>
      </c>
      <c r="N925" s="1">
        <f>COUNTIF($M$898:$M$953,"&gt;"&amp;M925)+COUNTIF($M$898:M925,M925)</f>
        <v>23</v>
      </c>
      <c r="O925" s="1">
        <f>J925+L925+IF(N925&lt;=I925-SUM($J$898:$J$953)-SUM($L$898:$L$953),1,0)</f>
        <v>13</v>
      </c>
    </row>
    <row r="926" spans="1:15">
      <c r="A926" s="1" t="s">
        <v>68</v>
      </c>
      <c r="B926" s="1" t="s">
        <v>69</v>
      </c>
      <c r="C926" s="1" t="s">
        <v>50</v>
      </c>
      <c r="D926" s="1" t="s">
        <v>39</v>
      </c>
      <c r="E926" s="1" t="s">
        <v>40</v>
      </c>
      <c r="F926" s="1" t="s">
        <v>41</v>
      </c>
      <c r="G926" s="1">
        <v>21173</v>
      </c>
      <c r="H926" s="1">
        <f>'1_Departamento_n'!C18</f>
        <v>1171268</v>
      </c>
      <c r="I926" s="1">
        <f>'1_Departamento_n'!H18</f>
        <v>1312</v>
      </c>
      <c r="J926" s="1">
        <f>'0_Parametros'!B7</f>
        <v>10</v>
      </c>
      <c r="K926" s="3">
        <f>(I926-SUM($J$898:$J$953))*G926/H926</f>
        <v>13.593896529231568</v>
      </c>
      <c r="L926" s="1">
        <f>INT(K926)</f>
        <v>13</v>
      </c>
      <c r="M926" s="3">
        <f>K926-L926</f>
        <v>0.5938965292315679</v>
      </c>
      <c r="N926" s="1">
        <f>COUNTIF($M$898:$M$953,"&gt;"&amp;M926)+COUNTIF($M$898:M926,M926)</f>
        <v>27</v>
      </c>
      <c r="O926" s="1">
        <f>J926+L926+IF(N926&lt;=I926-SUM($J$898:$J$953)-SUM($L$898:$L$953),1,0)</f>
        <v>24</v>
      </c>
    </row>
    <row r="927" spans="1:15">
      <c r="A927" s="1" t="s">
        <v>68</v>
      </c>
      <c r="B927" s="1" t="s">
        <v>69</v>
      </c>
      <c r="C927" s="1" t="s">
        <v>50</v>
      </c>
      <c r="D927" s="1" t="s">
        <v>39</v>
      </c>
      <c r="E927" s="1" t="s">
        <v>40</v>
      </c>
      <c r="F927" s="1" t="s">
        <v>42</v>
      </c>
      <c r="G927" s="1">
        <v>18709</v>
      </c>
      <c r="H927" s="1">
        <f>'1_Departamento_n'!C18</f>
        <v>1171268</v>
      </c>
      <c r="I927" s="1">
        <f>'1_Departamento_n'!H18</f>
        <v>1312</v>
      </c>
      <c r="J927" s="1">
        <f>'0_Parametros'!B7</f>
        <v>10</v>
      </c>
      <c r="K927" s="3">
        <f>(I927-SUM($J$898:$J$953))*G927/H927</f>
        <v>12.011911876701149</v>
      </c>
      <c r="L927" s="1">
        <f>INT(K927)</f>
        <v>12</v>
      </c>
      <c r="M927" s="3">
        <f>K927-L927</f>
        <v>0.011911876701148572</v>
      </c>
      <c r="N927" s="1">
        <f>COUNTIF($M$898:$M$953,"&gt;"&amp;M927)+COUNTIF($M$898:M927,M927)</f>
        <v>56</v>
      </c>
      <c r="O927" s="1">
        <f>J927+L927+IF(N927&lt;=I927-SUM($J$898:$J$953)-SUM($L$898:$L$953),1,0)</f>
        <v>22</v>
      </c>
    </row>
    <row r="928" spans="1:15">
      <c r="A928" s="1" t="s">
        <v>68</v>
      </c>
      <c r="B928" s="1" t="s">
        <v>69</v>
      </c>
      <c r="C928" s="1" t="s">
        <v>50</v>
      </c>
      <c r="D928" s="1" t="s">
        <v>39</v>
      </c>
      <c r="E928" s="1" t="s">
        <v>43</v>
      </c>
      <c r="F928" s="1" t="s">
        <v>41</v>
      </c>
      <c r="G928" s="1">
        <v>27579</v>
      </c>
      <c r="H928" s="1">
        <f>'1_Departamento_n'!C18</f>
        <v>1171268</v>
      </c>
      <c r="I928" s="1">
        <f>'1_Departamento_n'!H18</f>
        <v>1312</v>
      </c>
      <c r="J928" s="1">
        <f>'0_Parametros'!B7</f>
        <v>10</v>
      </c>
      <c r="K928" s="3">
        <f>(I928-SUM($J$898:$J$953))*G928/H928</f>
        <v>17.706799810120312</v>
      </c>
      <c r="L928" s="1">
        <f>INT(K928)</f>
        <v>17</v>
      </c>
      <c r="M928" s="3">
        <f>K928-L928</f>
        <v>0.7067998101203123</v>
      </c>
      <c r="N928" s="1">
        <f>COUNTIF($M$898:$M$953,"&gt;"&amp;M928)+COUNTIF($M$898:M928,M928)</f>
        <v>20</v>
      </c>
      <c r="O928" s="1">
        <f>J928+L928+IF(N928&lt;=I928-SUM($J$898:$J$953)-SUM($L$898:$L$953),1,0)</f>
        <v>28</v>
      </c>
    </row>
    <row r="929" spans="1:15">
      <c r="A929" s="1" t="s">
        <v>68</v>
      </c>
      <c r="B929" s="1" t="s">
        <v>69</v>
      </c>
      <c r="C929" s="1" t="s">
        <v>50</v>
      </c>
      <c r="D929" s="1" t="s">
        <v>39</v>
      </c>
      <c r="E929" s="1" t="s">
        <v>43</v>
      </c>
      <c r="F929" s="1" t="s">
        <v>42</v>
      </c>
      <c r="G929" s="1">
        <v>26423</v>
      </c>
      <c r="H929" s="1">
        <f>'1_Departamento_n'!C18</f>
        <v>1171268</v>
      </c>
      <c r="I929" s="1">
        <f>'1_Departamento_n'!H18</f>
        <v>1312</v>
      </c>
      <c r="J929" s="1">
        <f>'0_Parametros'!B7</f>
        <v>10</v>
      </c>
      <c r="K929" s="3">
        <f>(I929-SUM($J$898:$J$953))*G929/H929</f>
        <v>16.964602465020814</v>
      </c>
      <c r="L929" s="1">
        <f>INT(K929)</f>
        <v>16</v>
      </c>
      <c r="M929" s="3">
        <f>K929-L929</f>
        <v>0.964602465020814</v>
      </c>
      <c r="N929" s="1">
        <f>COUNTIF($M$898:$M$953,"&gt;"&amp;M929)+COUNTIF($M$898:M929,M929)</f>
        <v>4</v>
      </c>
      <c r="O929" s="1">
        <f>J929+L929+IF(N929&lt;=I929-SUM($J$898:$J$953)-SUM($L$898:$L$953),1,0)</f>
        <v>27</v>
      </c>
    </row>
    <row r="930" spans="1:15">
      <c r="A930" s="1" t="s">
        <v>68</v>
      </c>
      <c r="B930" s="1" t="s">
        <v>69</v>
      </c>
      <c r="C930" s="1" t="s">
        <v>50</v>
      </c>
      <c r="D930" s="1" t="s">
        <v>39</v>
      </c>
      <c r="E930" s="1" t="s">
        <v>44</v>
      </c>
      <c r="F930" s="1" t="s">
        <v>41</v>
      </c>
      <c r="G930" s="1">
        <v>29533</v>
      </c>
      <c r="H930" s="1">
        <f>'1_Departamento_n'!C18</f>
        <v>1171268</v>
      </c>
      <c r="I930" s="1">
        <f>'1_Departamento_n'!H18</f>
        <v>1312</v>
      </c>
      <c r="J930" s="1">
        <f>'0_Parametros'!B7</f>
        <v>10</v>
      </c>
      <c r="K930" s="3">
        <f>(I930-SUM($J$898:$J$953))*G930/H930</f>
        <v>18.961344457459777</v>
      </c>
      <c r="L930" s="1">
        <f>INT(K930)</f>
        <v>18</v>
      </c>
      <c r="M930" s="3">
        <f>K930-L930</f>
        <v>0.9613444574597771</v>
      </c>
      <c r="N930" s="1">
        <f>COUNTIF($M$898:$M$953,"&gt;"&amp;M930)+COUNTIF($M$898:M930,M930)</f>
        <v>5</v>
      </c>
      <c r="O930" s="1">
        <f>J930+L930+IF(N930&lt;=I930-SUM($J$898:$J$953)-SUM($L$898:$L$953),1,0)</f>
        <v>29</v>
      </c>
    </row>
    <row r="931" spans="1:15">
      <c r="A931" s="1" t="s">
        <v>68</v>
      </c>
      <c r="B931" s="1" t="s">
        <v>69</v>
      </c>
      <c r="C931" s="1" t="s">
        <v>50</v>
      </c>
      <c r="D931" s="1" t="s">
        <v>39</v>
      </c>
      <c r="E931" s="1" t="s">
        <v>44</v>
      </c>
      <c r="F931" s="1" t="s">
        <v>42</v>
      </c>
      <c r="G931" s="1">
        <v>23256</v>
      </c>
      <c r="H931" s="1">
        <f>'1_Departamento_n'!C18</f>
        <v>1171268</v>
      </c>
      <c r="I931" s="1">
        <f>'1_Departamento_n'!H18</f>
        <v>1312</v>
      </c>
      <c r="J931" s="1">
        <f>'0_Parametros'!B7</f>
        <v>10</v>
      </c>
      <c r="K931" s="3">
        <f>(I931-SUM($J$898:$J$953))*G931/H931</f>
        <v>14.931264236707568</v>
      </c>
      <c r="L931" s="1">
        <f>INT(K931)</f>
        <v>14</v>
      </c>
      <c r="M931" s="3">
        <f>K931-L931</f>
        <v>0.9312642367075679</v>
      </c>
      <c r="N931" s="1">
        <f>COUNTIF($M$898:$M$953,"&gt;"&amp;M931)+COUNTIF($M$898:M931,M931)</f>
        <v>6</v>
      </c>
      <c r="O931" s="1">
        <f>J931+L931+IF(N931&lt;=I931-SUM($J$898:$J$953)-SUM($L$898:$L$953),1,0)</f>
        <v>25</v>
      </c>
    </row>
    <row r="932" spans="1:15">
      <c r="A932" s="1" t="s">
        <v>68</v>
      </c>
      <c r="B932" s="1" t="s">
        <v>69</v>
      </c>
      <c r="C932" s="1" t="s">
        <v>50</v>
      </c>
      <c r="D932" s="1" t="s">
        <v>39</v>
      </c>
      <c r="E932" s="1" t="s">
        <v>45</v>
      </c>
      <c r="F932" s="1" t="s">
        <v>41</v>
      </c>
      <c r="G932" s="1">
        <v>26193</v>
      </c>
      <c r="H932" s="1">
        <f>'1_Departamento_n'!C18</f>
        <v>1171268</v>
      </c>
      <c r="I932" s="1">
        <f>'1_Departamento_n'!H18</f>
        <v>1312</v>
      </c>
      <c r="J932" s="1">
        <f>'0_Parametros'!B7</f>
        <v>10</v>
      </c>
      <c r="K932" s="3">
        <f>(I932-SUM($J$898:$J$953))*G932/H932</f>
        <v>16.816933443071953</v>
      </c>
      <c r="L932" s="1">
        <f>INT(K932)</f>
        <v>16</v>
      </c>
      <c r="M932" s="3">
        <f>K932-L932</f>
        <v>0.816933443071953</v>
      </c>
      <c r="N932" s="1">
        <f>COUNTIF($M$898:$M$953,"&gt;"&amp;M932)+COUNTIF($M$898:M932,M932)</f>
        <v>12</v>
      </c>
      <c r="O932" s="1">
        <f>J932+L932+IF(N932&lt;=I932-SUM($J$898:$J$953)-SUM($L$898:$L$953),1,0)</f>
        <v>27</v>
      </c>
    </row>
    <row r="933" spans="1:15">
      <c r="A933" s="1" t="s">
        <v>68</v>
      </c>
      <c r="B933" s="1" t="s">
        <v>69</v>
      </c>
      <c r="C933" s="1" t="s">
        <v>50</v>
      </c>
      <c r="D933" s="1" t="s">
        <v>39</v>
      </c>
      <c r="E933" s="1" t="s">
        <v>45</v>
      </c>
      <c r="F933" s="1" t="s">
        <v>42</v>
      </c>
      <c r="G933" s="1">
        <v>20211</v>
      </c>
      <c r="H933" s="1">
        <f>'1_Departamento_n'!C18</f>
        <v>1171268</v>
      </c>
      <c r="I933" s="1">
        <f>'1_Departamento_n'!H18</f>
        <v>1312</v>
      </c>
      <c r="J933" s="1">
        <f>'0_Parametros'!B7</f>
        <v>10</v>
      </c>
      <c r="K933" s="3">
        <f>(I933-SUM($J$898:$J$953))*G933/H933</f>
        <v>12.976254793949805</v>
      </c>
      <c r="L933" s="1">
        <f>INT(K933)</f>
        <v>12</v>
      </c>
      <c r="M933" s="3">
        <f>K933-L933</f>
        <v>0.9762547939498045</v>
      </c>
      <c r="N933" s="1">
        <f>COUNTIF($M$898:$M$953,"&gt;"&amp;M933)+COUNTIF($M$898:M933,M933)</f>
        <v>3</v>
      </c>
      <c r="O933" s="1">
        <f>J933+L933+IF(N933&lt;=I933-SUM($J$898:$J$953)-SUM($L$898:$L$953),1,0)</f>
        <v>23</v>
      </c>
    </row>
    <row r="934" spans="1:15">
      <c r="A934" s="1" t="s">
        <v>68</v>
      </c>
      <c r="B934" s="1" t="s">
        <v>69</v>
      </c>
      <c r="C934" s="1" t="s">
        <v>50</v>
      </c>
      <c r="D934" s="1" t="s">
        <v>39</v>
      </c>
      <c r="E934" s="1" t="s">
        <v>46</v>
      </c>
      <c r="F934" s="1" t="s">
        <v>41</v>
      </c>
      <c r="G934" s="1">
        <v>25519</v>
      </c>
      <c r="H934" s="1">
        <f>'1_Departamento_n'!C18</f>
        <v>1171268</v>
      </c>
      <c r="I934" s="1">
        <f>'1_Departamento_n'!H18</f>
        <v>1312</v>
      </c>
      <c r="J934" s="1">
        <f>'0_Parametros'!B7</f>
        <v>10</v>
      </c>
      <c r="K934" s="3">
        <f>(I934-SUM($J$898:$J$953))*G934/H934</f>
        <v>16.3841990048392</v>
      </c>
      <c r="L934" s="1">
        <f>INT(K934)</f>
        <v>16</v>
      </c>
      <c r="M934" s="3">
        <f>K934-L934</f>
        <v>0.3841990048391999</v>
      </c>
      <c r="N934" s="1">
        <f>COUNTIF($M$898:$M$953,"&gt;"&amp;M934)+COUNTIF($M$898:M934,M934)</f>
        <v>34</v>
      </c>
      <c r="O934" s="1">
        <f>J934+L934+IF(N934&lt;=I934-SUM($J$898:$J$953)-SUM($L$898:$L$953),1,0)</f>
        <v>26</v>
      </c>
    </row>
    <row r="935" spans="1:15">
      <c r="A935" s="1" t="s">
        <v>68</v>
      </c>
      <c r="B935" s="1" t="s">
        <v>69</v>
      </c>
      <c r="C935" s="1" t="s">
        <v>50</v>
      </c>
      <c r="D935" s="1" t="s">
        <v>39</v>
      </c>
      <c r="E935" s="1" t="s">
        <v>46</v>
      </c>
      <c r="F935" s="1" t="s">
        <v>42</v>
      </c>
      <c r="G935" s="1">
        <v>20741</v>
      </c>
      <c r="H935" s="1">
        <f>'1_Departamento_n'!C18</f>
        <v>1171268</v>
      </c>
      <c r="I935" s="1">
        <f>'1_Departamento_n'!H18</f>
        <v>1312</v>
      </c>
      <c r="J935" s="1">
        <f>'0_Parametros'!B7</f>
        <v>10</v>
      </c>
      <c r="K935" s="3">
        <f>(I935-SUM($J$898:$J$953))*G935/H935</f>
        <v>13.316535583658053</v>
      </c>
      <c r="L935" s="1">
        <f>INT(K935)</f>
        <v>13</v>
      </c>
      <c r="M935" s="3">
        <f>K935-L935</f>
        <v>0.31653558365805345</v>
      </c>
      <c r="N935" s="1">
        <f>COUNTIF($M$898:$M$953,"&gt;"&amp;M935)+COUNTIF($M$898:M935,M935)</f>
        <v>39</v>
      </c>
      <c r="O935" s="1">
        <f>J935+L935+IF(N935&lt;=I935-SUM($J$898:$J$953)-SUM($L$898:$L$953),1,0)</f>
        <v>23</v>
      </c>
    </row>
    <row r="936" spans="1:15">
      <c r="A936" s="1" t="s">
        <v>68</v>
      </c>
      <c r="B936" s="1" t="s">
        <v>69</v>
      </c>
      <c r="C936" s="1" t="s">
        <v>50</v>
      </c>
      <c r="D936" s="1" t="s">
        <v>39</v>
      </c>
      <c r="E936" s="1" t="s">
        <v>47</v>
      </c>
      <c r="F936" s="1" t="s">
        <v>41</v>
      </c>
      <c r="G936" s="1">
        <v>24244</v>
      </c>
      <c r="H936" s="1">
        <f>'1_Departamento_n'!C18</f>
        <v>1171268</v>
      </c>
      <c r="I936" s="1">
        <f>'1_Departamento_n'!H18</f>
        <v>1312</v>
      </c>
      <c r="J936" s="1">
        <f>'0_Parametros'!B7</f>
        <v>10</v>
      </c>
      <c r="K936" s="3">
        <f>(I936-SUM($J$898:$J$953))*G936/H936</f>
        <v>15.565598991861812</v>
      </c>
      <c r="L936" s="1">
        <f>INT(K936)</f>
        <v>15</v>
      </c>
      <c r="M936" s="3">
        <f>K936-L936</f>
        <v>0.5655989918618118</v>
      </c>
      <c r="N936" s="1">
        <f>COUNTIF($M$898:$M$953,"&gt;"&amp;M936)+COUNTIF($M$898:M936,M936)</f>
        <v>29</v>
      </c>
      <c r="O936" s="1">
        <f>J936+L936+IF(N936&lt;=I936-SUM($J$898:$J$953)-SUM($L$898:$L$953),1,0)</f>
        <v>26</v>
      </c>
    </row>
    <row r="937" spans="1:15">
      <c r="A937" s="1" t="s">
        <v>68</v>
      </c>
      <c r="B937" s="1" t="s">
        <v>69</v>
      </c>
      <c r="C937" s="1" t="s">
        <v>50</v>
      </c>
      <c r="D937" s="1" t="s">
        <v>39</v>
      </c>
      <c r="E937" s="1" t="s">
        <v>47</v>
      </c>
      <c r="F937" s="1" t="s">
        <v>42</v>
      </c>
      <c r="G937" s="1">
        <v>20330</v>
      </c>
      <c r="H937" s="1">
        <f>'1_Departamento_n'!C18</f>
        <v>1171268</v>
      </c>
      <c r="I937" s="1">
        <f>'1_Departamento_n'!H18</f>
        <v>1312</v>
      </c>
      <c r="J937" s="1">
        <f>'0_Parametros'!B7</f>
        <v>10</v>
      </c>
      <c r="K937" s="3">
        <f>(I937-SUM($J$898:$J$953))*G937/H937</f>
        <v>13.052657461827694</v>
      </c>
      <c r="L937" s="1">
        <f>INT(K937)</f>
        <v>13</v>
      </c>
      <c r="M937" s="3">
        <f>K937-L937</f>
        <v>0.05265746182769426</v>
      </c>
      <c r="N937" s="1">
        <f>COUNTIF($M$898:$M$953,"&gt;"&amp;M937)+COUNTIF($M$898:M937,M937)</f>
        <v>54</v>
      </c>
      <c r="O937" s="1">
        <f>J937+L937+IF(N937&lt;=I937-SUM($J$898:$J$953)-SUM($L$898:$L$953),1,0)</f>
        <v>23</v>
      </c>
    </row>
    <row r="938" spans="1:15">
      <c r="A938" s="1" t="s">
        <v>68</v>
      </c>
      <c r="B938" s="1" t="s">
        <v>69</v>
      </c>
      <c r="C938" s="1" t="s">
        <v>50</v>
      </c>
      <c r="D938" s="1" t="s">
        <v>39</v>
      </c>
      <c r="E938" s="1" t="s">
        <v>48</v>
      </c>
      <c r="F938" s="1" t="s">
        <v>41</v>
      </c>
      <c r="G938" s="1">
        <v>35544</v>
      </c>
      <c r="H938" s="1">
        <f>'1_Departamento_n'!C18</f>
        <v>1171268</v>
      </c>
      <c r="I938" s="1">
        <f>'1_Departamento_n'!H18</f>
        <v>1312</v>
      </c>
      <c r="J938" s="1">
        <f>'0_Parametros'!B7</f>
        <v>10</v>
      </c>
      <c r="K938" s="3">
        <f>(I938-SUM($J$898:$J$953))*G938/H938</f>
        <v>22.820642244132</v>
      </c>
      <c r="L938" s="1">
        <f>INT(K938)</f>
        <v>22</v>
      </c>
      <c r="M938" s="3">
        <f>K938-L938</f>
        <v>0.8206422441319994</v>
      </c>
      <c r="N938" s="1">
        <f>COUNTIF($M$898:$M$953,"&gt;"&amp;M938)+COUNTIF($M$898:M938,M938)</f>
        <v>11</v>
      </c>
      <c r="O938" s="1">
        <f>J938+L938+IF(N938&lt;=I938-SUM($J$898:$J$953)-SUM($L$898:$L$953),1,0)</f>
        <v>33</v>
      </c>
    </row>
    <row r="939" spans="1:15">
      <c r="A939" s="1" t="s">
        <v>68</v>
      </c>
      <c r="B939" s="1" t="s">
        <v>69</v>
      </c>
      <c r="C939" s="1" t="s">
        <v>50</v>
      </c>
      <c r="D939" s="1" t="s">
        <v>39</v>
      </c>
      <c r="E939" s="1" t="s">
        <v>48</v>
      </c>
      <c r="F939" s="1" t="s">
        <v>42</v>
      </c>
      <c r="G939" s="1">
        <v>39055</v>
      </c>
      <c r="H939" s="1">
        <f>'1_Departamento_n'!C18</f>
        <v>1171268</v>
      </c>
      <c r="I939" s="1">
        <f>'1_Departamento_n'!H18</f>
        <v>1312</v>
      </c>
      <c r="J939" s="1">
        <f>'0_Parametros'!B7</f>
        <v>10</v>
      </c>
      <c r="K939" s="3">
        <f>(I939-SUM($J$898:$J$953))*G939/H939</f>
        <v>25.074841966142674</v>
      </c>
      <c r="L939" s="1">
        <f>INT(K939)</f>
        <v>25</v>
      </c>
      <c r="M939" s="3">
        <f>K939-L939</f>
        <v>0.07484196614267447</v>
      </c>
      <c r="N939" s="1">
        <f>COUNTIF($M$898:$M$953,"&gt;"&amp;M939)+COUNTIF($M$898:M939,M939)</f>
        <v>52</v>
      </c>
      <c r="O939" s="1">
        <f>J939+L939+IF(N939&lt;=I939-SUM($J$898:$J$953)-SUM($L$898:$L$953),1,0)</f>
        <v>35</v>
      </c>
    </row>
    <row r="940" spans="1:15">
      <c r="A940" s="1" t="s">
        <v>68</v>
      </c>
      <c r="B940" s="1" t="s">
        <v>69</v>
      </c>
      <c r="C940" s="1" t="s">
        <v>50</v>
      </c>
      <c r="D940" s="1" t="s">
        <v>49</v>
      </c>
      <c r="E940" s="1" t="s">
        <v>40</v>
      </c>
      <c r="F940" s="1" t="s">
        <v>41</v>
      </c>
      <c r="G940" s="1">
        <v>21533</v>
      </c>
      <c r="H940" s="1">
        <f>'1_Departamento_n'!C18</f>
        <v>1171268</v>
      </c>
      <c r="I940" s="1">
        <f>'1_Departamento_n'!H18</f>
        <v>1312</v>
      </c>
      <c r="J940" s="1">
        <f>'0_Parametros'!B7</f>
        <v>10</v>
      </c>
      <c r="K940" s="3">
        <f>(I940-SUM($J$898:$J$953))*G940/H940</f>
        <v>13.82503065054283</v>
      </c>
      <c r="L940" s="1">
        <f>INT(K940)</f>
        <v>13</v>
      </c>
      <c r="M940" s="3">
        <f>K940-L940</f>
        <v>0.8250306505428302</v>
      </c>
      <c r="N940" s="1">
        <f>COUNTIF($M$898:$M$953,"&gt;"&amp;M940)+COUNTIF($M$898:M940,M940)</f>
        <v>10</v>
      </c>
      <c r="O940" s="1">
        <f>J940+L940+IF(N940&lt;=I940-SUM($J$898:$J$953)-SUM($L$898:$L$953),1,0)</f>
        <v>24</v>
      </c>
    </row>
    <row r="941" spans="1:15">
      <c r="A941" s="1" t="s">
        <v>68</v>
      </c>
      <c r="B941" s="1" t="s">
        <v>69</v>
      </c>
      <c r="C941" s="1" t="s">
        <v>50</v>
      </c>
      <c r="D941" s="1" t="s">
        <v>49</v>
      </c>
      <c r="E941" s="1" t="s">
        <v>40</v>
      </c>
      <c r="F941" s="1" t="s">
        <v>42</v>
      </c>
      <c r="G941" s="1">
        <v>19485</v>
      </c>
      <c r="H941" s="1">
        <f>'1_Departamento_n'!C18</f>
        <v>1171268</v>
      </c>
      <c r="I941" s="1">
        <f>'1_Departamento_n'!H18</f>
        <v>1312</v>
      </c>
      <c r="J941" s="1">
        <f>'0_Parametros'!B7</f>
        <v>10</v>
      </c>
      <c r="K941" s="3">
        <f>(I941-SUM($J$898:$J$953))*G941/H941</f>
        <v>12.510134315972092</v>
      </c>
      <c r="L941" s="1">
        <f>INT(K941)</f>
        <v>12</v>
      </c>
      <c r="M941" s="3">
        <f>K941-L941</f>
        <v>0.5101343159720919</v>
      </c>
      <c r="N941" s="1">
        <f>COUNTIF($M$898:$M$953,"&gt;"&amp;M941)+COUNTIF($M$898:M941,M941)</f>
        <v>30</v>
      </c>
      <c r="O941" s="1">
        <f>J941+L941+IF(N941&lt;=I941-SUM($J$898:$J$953)-SUM($L$898:$L$953),1,0)</f>
        <v>22</v>
      </c>
    </row>
    <row r="942" spans="1:15">
      <c r="A942" s="1" t="s">
        <v>68</v>
      </c>
      <c r="B942" s="1" t="s">
        <v>69</v>
      </c>
      <c r="C942" s="1" t="s">
        <v>50</v>
      </c>
      <c r="D942" s="1" t="s">
        <v>49</v>
      </c>
      <c r="E942" s="1" t="s">
        <v>43</v>
      </c>
      <c r="F942" s="1" t="s">
        <v>41</v>
      </c>
      <c r="G942" s="1">
        <v>28233</v>
      </c>
      <c r="H942" s="1">
        <f>'1_Departamento_n'!C18</f>
        <v>1171268</v>
      </c>
      <c r="I942" s="1">
        <f>'1_Departamento_n'!H18</f>
        <v>1312</v>
      </c>
      <c r="J942" s="1">
        <f>'0_Parametros'!B7</f>
        <v>10</v>
      </c>
      <c r="K942" s="3">
        <f>(I942-SUM($J$898:$J$953))*G942/H942</f>
        <v>18.126693463835775</v>
      </c>
      <c r="L942" s="1">
        <f>INT(K942)</f>
        <v>18</v>
      </c>
      <c r="M942" s="3">
        <f>K942-L942</f>
        <v>0.12669346383577462</v>
      </c>
      <c r="N942" s="1">
        <f>COUNTIF($M$898:$M$953,"&gt;"&amp;M942)+COUNTIF($M$898:M942,M942)</f>
        <v>48</v>
      </c>
      <c r="O942" s="1">
        <f>J942+L942+IF(N942&lt;=I942-SUM($J$898:$J$953)-SUM($L$898:$L$953),1,0)</f>
        <v>28</v>
      </c>
    </row>
    <row r="943" spans="1:15">
      <c r="A943" s="1" t="s">
        <v>68</v>
      </c>
      <c r="B943" s="1" t="s">
        <v>69</v>
      </c>
      <c r="C943" s="1" t="s">
        <v>50</v>
      </c>
      <c r="D943" s="1" t="s">
        <v>49</v>
      </c>
      <c r="E943" s="1" t="s">
        <v>43</v>
      </c>
      <c r="F943" s="1" t="s">
        <v>42</v>
      </c>
      <c r="G943" s="1">
        <v>27195</v>
      </c>
      <c r="H943" s="1">
        <f>'1_Departamento_n'!C18</f>
        <v>1171268</v>
      </c>
      <c r="I943" s="1">
        <f>'1_Departamento_n'!H18</f>
        <v>1312</v>
      </c>
      <c r="J943" s="1">
        <f>'0_Parametros'!B7</f>
        <v>10</v>
      </c>
      <c r="K943" s="3">
        <f>(I943-SUM($J$898:$J$953))*G943/H943</f>
        <v>17.4602567473883</v>
      </c>
      <c r="L943" s="1">
        <f>INT(K943)</f>
        <v>17</v>
      </c>
      <c r="M943" s="3">
        <f>K943-L943</f>
        <v>0.4602567473882999</v>
      </c>
      <c r="N943" s="1">
        <f>COUNTIF($M$898:$M$953,"&gt;"&amp;M943)+COUNTIF($M$898:M943,M943)</f>
        <v>32</v>
      </c>
      <c r="O943" s="1">
        <f>J943+L943+IF(N943&lt;=I943-SUM($J$898:$J$953)-SUM($L$898:$L$953),1,0)</f>
        <v>27</v>
      </c>
    </row>
    <row r="944" spans="1:15">
      <c r="A944" s="1" t="s">
        <v>68</v>
      </c>
      <c r="B944" s="1" t="s">
        <v>69</v>
      </c>
      <c r="C944" s="1" t="s">
        <v>50</v>
      </c>
      <c r="D944" s="1" t="s">
        <v>49</v>
      </c>
      <c r="E944" s="1" t="s">
        <v>44</v>
      </c>
      <c r="F944" s="1" t="s">
        <v>41</v>
      </c>
      <c r="G944" s="1">
        <v>25684</v>
      </c>
      <c r="H944" s="1">
        <f>'1_Departamento_n'!C18</f>
        <v>1171268</v>
      </c>
      <c r="I944" s="1">
        <f>'1_Departamento_n'!H18</f>
        <v>1312</v>
      </c>
      <c r="J944" s="1">
        <f>'0_Parametros'!B7</f>
        <v>10</v>
      </c>
      <c r="K944" s="3">
        <f>(I944-SUM($J$898:$J$953))*G944/H944</f>
        <v>16.49013547710686</v>
      </c>
      <c r="L944" s="1">
        <f>INT(K944)</f>
        <v>16</v>
      </c>
      <c r="M944" s="3">
        <f>K944-L944</f>
        <v>0.4901354771068611</v>
      </c>
      <c r="N944" s="1">
        <f>COUNTIF($M$898:$M$953,"&gt;"&amp;M944)+COUNTIF($M$898:M944,M944)</f>
        <v>31</v>
      </c>
      <c r="O944" s="1">
        <f>J944+L944+IF(N944&lt;=I944-SUM($J$898:$J$953)-SUM($L$898:$L$953),1,0)</f>
        <v>26</v>
      </c>
    </row>
    <row r="945" spans="1:15">
      <c r="A945" s="1" t="s">
        <v>68</v>
      </c>
      <c r="B945" s="1" t="s">
        <v>69</v>
      </c>
      <c r="C945" s="1" t="s">
        <v>50</v>
      </c>
      <c r="D945" s="1" t="s">
        <v>49</v>
      </c>
      <c r="E945" s="1" t="s">
        <v>44</v>
      </c>
      <c r="F945" s="1" t="s">
        <v>42</v>
      </c>
      <c r="G945" s="1">
        <v>22924</v>
      </c>
      <c r="H945" s="1">
        <f>'1_Departamento_n'!C18</f>
        <v>1171268</v>
      </c>
      <c r="I945" s="1">
        <f>'1_Departamento_n'!H18</f>
        <v>1312</v>
      </c>
      <c r="J945" s="1">
        <f>'0_Parametros'!B7</f>
        <v>10</v>
      </c>
      <c r="K945" s="3">
        <f>(I945-SUM($J$898:$J$953))*G945/H945</f>
        <v>14.718107213720515</v>
      </c>
      <c r="L945" s="1">
        <f>INT(K945)</f>
        <v>14</v>
      </c>
      <c r="M945" s="3">
        <f>K945-L945</f>
        <v>0.7181072137205149</v>
      </c>
      <c r="N945" s="1">
        <f>COUNTIF($M$898:$M$953,"&gt;"&amp;M945)+COUNTIF($M$898:M945,M945)</f>
        <v>18</v>
      </c>
      <c r="O945" s="1">
        <f>J945+L945+IF(N945&lt;=I945-SUM($J$898:$J$953)-SUM($L$898:$L$953),1,0)</f>
        <v>25</v>
      </c>
    </row>
    <row r="946" spans="1:15">
      <c r="A946" s="1" t="s">
        <v>68</v>
      </c>
      <c r="B946" s="1" t="s">
        <v>69</v>
      </c>
      <c r="C946" s="1" t="s">
        <v>50</v>
      </c>
      <c r="D946" s="1" t="s">
        <v>49</v>
      </c>
      <c r="E946" s="1" t="s">
        <v>45</v>
      </c>
      <c r="F946" s="1" t="s">
        <v>41</v>
      </c>
      <c r="G946" s="1">
        <v>21358</v>
      </c>
      <c r="H946" s="1">
        <f>'1_Departamento_n'!C18</f>
        <v>1171268</v>
      </c>
      <c r="I946" s="1">
        <f>'1_Departamento_n'!H18</f>
        <v>1312</v>
      </c>
      <c r="J946" s="1">
        <f>'0_Parametros'!B7</f>
        <v>10</v>
      </c>
      <c r="K946" s="3">
        <f>(I946-SUM($J$898:$J$953))*G946/H946</f>
        <v>13.712673786016522</v>
      </c>
      <c r="L946" s="1">
        <f>INT(K946)</f>
        <v>13</v>
      </c>
      <c r="M946" s="3">
        <f>K946-L946</f>
        <v>0.7126737860165218</v>
      </c>
      <c r="N946" s="1">
        <f>COUNTIF($M$898:$M$953,"&gt;"&amp;M946)+COUNTIF($M$898:M946,M946)</f>
        <v>19</v>
      </c>
      <c r="O946" s="1">
        <f>J946+L946+IF(N946&lt;=I946-SUM($J$898:$J$953)-SUM($L$898:$L$953),1,0)</f>
        <v>24</v>
      </c>
    </row>
    <row r="947" spans="1:15">
      <c r="A947" s="1" t="s">
        <v>68</v>
      </c>
      <c r="B947" s="1" t="s">
        <v>69</v>
      </c>
      <c r="C947" s="1" t="s">
        <v>50</v>
      </c>
      <c r="D947" s="1" t="s">
        <v>49</v>
      </c>
      <c r="E947" s="1" t="s">
        <v>45</v>
      </c>
      <c r="F947" s="1" t="s">
        <v>42</v>
      </c>
      <c r="G947" s="1">
        <v>18849</v>
      </c>
      <c r="H947" s="1">
        <f>'1_Departamento_n'!C18</f>
        <v>1171268</v>
      </c>
      <c r="I947" s="1">
        <f>'1_Departamento_n'!H18</f>
        <v>1312</v>
      </c>
      <c r="J947" s="1">
        <f>'0_Parametros'!B7</f>
        <v>10</v>
      </c>
      <c r="K947" s="3">
        <f>(I947-SUM($J$898:$J$953))*G947/H947</f>
        <v>12.101797368322194</v>
      </c>
      <c r="L947" s="1">
        <f>INT(K947)</f>
        <v>12</v>
      </c>
      <c r="M947" s="3">
        <f>K947-L947</f>
        <v>0.10179736832219355</v>
      </c>
      <c r="N947" s="1">
        <f>COUNTIF($M$898:$M$953,"&gt;"&amp;M947)+COUNTIF($M$898:M947,M947)</f>
        <v>50</v>
      </c>
      <c r="O947" s="1">
        <f>J947+L947+IF(N947&lt;=I947-SUM($J$898:$J$953)-SUM($L$898:$L$953),1,0)</f>
        <v>22</v>
      </c>
    </row>
    <row r="948" spans="1:15">
      <c r="A948" s="1" t="s">
        <v>68</v>
      </c>
      <c r="B948" s="1" t="s">
        <v>69</v>
      </c>
      <c r="C948" s="1" t="s">
        <v>50</v>
      </c>
      <c r="D948" s="1" t="s">
        <v>49</v>
      </c>
      <c r="E948" s="1" t="s">
        <v>46</v>
      </c>
      <c r="F948" s="1" t="s">
        <v>41</v>
      </c>
      <c r="G948" s="1">
        <v>20513</v>
      </c>
      <c r="H948" s="1">
        <f>'1_Departamento_n'!C18</f>
        <v>1171268</v>
      </c>
      <c r="I948" s="1">
        <f>'1_Departamento_n'!H18</f>
        <v>1312</v>
      </c>
      <c r="J948" s="1">
        <f>'0_Parametros'!B7</f>
        <v>10</v>
      </c>
      <c r="K948" s="3">
        <f>(I948-SUM($J$898:$J$953))*G948/H948</f>
        <v>13.17015064016092</v>
      </c>
      <c r="L948" s="1">
        <f>INT(K948)</f>
        <v>13</v>
      </c>
      <c r="M948" s="3">
        <f>K948-L948</f>
        <v>0.1701506401609194</v>
      </c>
      <c r="N948" s="1">
        <f>COUNTIF($M$898:$M$953,"&gt;"&amp;M948)+COUNTIF($M$898:M948,M948)</f>
        <v>47</v>
      </c>
      <c r="O948" s="1">
        <f>J948+L948+IF(N948&lt;=I948-SUM($J$898:$J$953)-SUM($L$898:$L$953),1,0)</f>
        <v>23</v>
      </c>
    </row>
    <row r="949" spans="1:15">
      <c r="A949" s="1" t="s">
        <v>68</v>
      </c>
      <c r="B949" s="1" t="s">
        <v>69</v>
      </c>
      <c r="C949" s="1" t="s">
        <v>50</v>
      </c>
      <c r="D949" s="1" t="s">
        <v>49</v>
      </c>
      <c r="E949" s="1" t="s">
        <v>46</v>
      </c>
      <c r="F949" s="1" t="s">
        <v>42</v>
      </c>
      <c r="G949" s="1">
        <v>20137</v>
      </c>
      <c r="H949" s="1">
        <f>'1_Departamento_n'!C18</f>
        <v>1171268</v>
      </c>
      <c r="I949" s="1">
        <f>'1_Departamento_n'!H18</f>
        <v>1312</v>
      </c>
      <c r="J949" s="1">
        <f>'0_Parametros'!B7</f>
        <v>10</v>
      </c>
      <c r="K949" s="3">
        <f>(I949-SUM($J$898:$J$953))*G949/H949</f>
        <v>12.928743891235824</v>
      </c>
      <c r="L949" s="1">
        <f>INT(K949)</f>
        <v>12</v>
      </c>
      <c r="M949" s="3">
        <f>K949-L949</f>
        <v>0.9287438912358237</v>
      </c>
      <c r="N949" s="1">
        <f>COUNTIF($M$898:$M$953,"&gt;"&amp;M949)+COUNTIF($M$898:M949,M949)</f>
        <v>7</v>
      </c>
      <c r="O949" s="1">
        <f>J949+L949+IF(N949&lt;=I949-SUM($J$898:$J$953)-SUM($L$898:$L$953),1,0)</f>
        <v>23</v>
      </c>
    </row>
    <row r="950" spans="1:15">
      <c r="A950" s="1" t="s">
        <v>68</v>
      </c>
      <c r="B950" s="1" t="s">
        <v>69</v>
      </c>
      <c r="C950" s="1" t="s">
        <v>50</v>
      </c>
      <c r="D950" s="1" t="s">
        <v>49</v>
      </c>
      <c r="E950" s="1" t="s">
        <v>47</v>
      </c>
      <c r="F950" s="1" t="s">
        <v>41</v>
      </c>
      <c r="G950" s="1">
        <v>20756</v>
      </c>
      <c r="H950" s="1">
        <f>'1_Departamento_n'!C18</f>
        <v>1171268</v>
      </c>
      <c r="I950" s="1">
        <f>'1_Departamento_n'!H18</f>
        <v>1312</v>
      </c>
      <c r="J950" s="1">
        <f>'0_Parametros'!B7</f>
        <v>10</v>
      </c>
      <c r="K950" s="3">
        <f>(I950-SUM($J$898:$J$953))*G950/H950</f>
        <v>13.326166172046022</v>
      </c>
      <c r="L950" s="1">
        <f>INT(K950)</f>
        <v>13</v>
      </c>
      <c r="M950" s="3">
        <f>K950-L950</f>
        <v>0.3261661720460225</v>
      </c>
      <c r="N950" s="1">
        <f>COUNTIF($M$898:$M$953,"&gt;"&amp;M950)+COUNTIF($M$898:M950,M950)</f>
        <v>38</v>
      </c>
      <c r="O950" s="1">
        <f>J950+L950+IF(N950&lt;=I950-SUM($J$898:$J$953)-SUM($L$898:$L$953),1,0)</f>
        <v>23</v>
      </c>
    </row>
    <row r="951" spans="1:15">
      <c r="A951" s="1" t="s">
        <v>68</v>
      </c>
      <c r="B951" s="1" t="s">
        <v>69</v>
      </c>
      <c r="C951" s="1" t="s">
        <v>50</v>
      </c>
      <c r="D951" s="1" t="s">
        <v>49</v>
      </c>
      <c r="E951" s="1" t="s">
        <v>47</v>
      </c>
      <c r="F951" s="1" t="s">
        <v>42</v>
      </c>
      <c r="G951" s="1">
        <v>21511</v>
      </c>
      <c r="H951" s="1">
        <f>'1_Departamento_n'!C18</f>
        <v>1171268</v>
      </c>
      <c r="I951" s="1">
        <f>'1_Departamento_n'!H18</f>
        <v>1312</v>
      </c>
      <c r="J951" s="1">
        <f>'0_Parametros'!B7</f>
        <v>10</v>
      </c>
      <c r="K951" s="3">
        <f>(I951-SUM($J$898:$J$953))*G951/H951</f>
        <v>13.810905787573809</v>
      </c>
      <c r="L951" s="1">
        <f>INT(K951)</f>
        <v>13</v>
      </c>
      <c r="M951" s="3">
        <f>K951-L951</f>
        <v>0.8109057875738088</v>
      </c>
      <c r="N951" s="1">
        <f>COUNTIF($M$898:$M$953,"&gt;"&amp;M951)+COUNTIF($M$898:M951,M951)</f>
        <v>13</v>
      </c>
      <c r="O951" s="1">
        <f>J951+L951+IF(N951&lt;=I951-SUM($J$898:$J$953)-SUM($L$898:$L$953),1,0)</f>
        <v>24</v>
      </c>
    </row>
    <row r="952" spans="1:15">
      <c r="A952" s="1" t="s">
        <v>68</v>
      </c>
      <c r="B952" s="1" t="s">
        <v>69</v>
      </c>
      <c r="C952" s="1" t="s">
        <v>50</v>
      </c>
      <c r="D952" s="1" t="s">
        <v>49</v>
      </c>
      <c r="E952" s="1" t="s">
        <v>48</v>
      </c>
      <c r="F952" s="1" t="s">
        <v>41</v>
      </c>
      <c r="G952" s="1">
        <v>29220</v>
      </c>
      <c r="H952" s="1">
        <f>'1_Departamento_n'!C18</f>
        <v>1171268</v>
      </c>
      <c r="I952" s="1">
        <f>'1_Departamento_n'!H18</f>
        <v>1312</v>
      </c>
      <c r="J952" s="1">
        <f>'0_Parametros'!B7</f>
        <v>10</v>
      </c>
      <c r="K952" s="3">
        <f>(I952-SUM($J$898:$J$953))*G952/H952</f>
        <v>18.760386179764154</v>
      </c>
      <c r="L952" s="1">
        <f>INT(K952)</f>
        <v>18</v>
      </c>
      <c r="M952" s="3">
        <f>K952-L952</f>
        <v>0.7603861797641542</v>
      </c>
      <c r="N952" s="1">
        <f>COUNTIF($M$898:$M$953,"&gt;"&amp;M952)+COUNTIF($M$898:M952,M952)</f>
        <v>15</v>
      </c>
      <c r="O952" s="1">
        <f>J952+L952+IF(N952&lt;=I952-SUM($J$898:$J$953)-SUM($L$898:$L$953),1,0)</f>
        <v>29</v>
      </c>
    </row>
    <row r="953" spans="1:15">
      <c r="A953" s="1" t="s">
        <v>68</v>
      </c>
      <c r="B953" s="1" t="s">
        <v>69</v>
      </c>
      <c r="C953" s="1" t="s">
        <v>50</v>
      </c>
      <c r="D953" s="1" t="s">
        <v>49</v>
      </c>
      <c r="E953" s="1" t="s">
        <v>48</v>
      </c>
      <c r="F953" s="1" t="s">
        <v>42</v>
      </c>
      <c r="G953" s="1">
        <v>37428</v>
      </c>
      <c r="H953" s="1">
        <f>'1_Departamento_n'!C18</f>
        <v>1171268</v>
      </c>
      <c r="I953" s="1">
        <f>'1_Departamento_n'!H18</f>
        <v>1312</v>
      </c>
      <c r="J953" s="1">
        <f>'0_Parametros'!B7</f>
        <v>10</v>
      </c>
      <c r="K953" s="3">
        <f>(I953-SUM($J$898:$J$953))*G953/H953</f>
        <v>24.03024414566094</v>
      </c>
      <c r="L953" s="1">
        <f>INT(K953)</f>
        <v>24</v>
      </c>
      <c r="M953" s="3">
        <f>K953-L953</f>
        <v>0.030244145660940802</v>
      </c>
      <c r="N953" s="1">
        <f>COUNTIF($M$898:$M$953,"&gt;"&amp;M953)+COUNTIF($M$898:M953,M953)</f>
        <v>55</v>
      </c>
      <c r="O953" s="1">
        <f>J953+L953+IF(N953&lt;=I953-SUM($J$898:$J$953)-SUM($L$898:$L$953),1,0)</f>
        <v>34</v>
      </c>
    </row>
    <row r="954" spans="1:15">
      <c r="A954" s="1" t="s">
        <v>68</v>
      </c>
      <c r="B954" s="1" t="s">
        <v>70</v>
      </c>
      <c r="C954" s="1" t="s">
        <v>38</v>
      </c>
      <c r="D954" s="1" t="s">
        <v>39</v>
      </c>
      <c r="E954" s="1" t="s">
        <v>40</v>
      </c>
      <c r="F954" s="1" t="s">
        <v>41</v>
      </c>
      <c r="G954" s="1">
        <v>76587</v>
      </c>
      <c r="H954" s="1">
        <f>'1_Departamento_n'!C19</f>
        <v>2765132</v>
      </c>
      <c r="I954" s="1">
        <f>'1_Departamento_n'!H19</f>
        <v>1313</v>
      </c>
      <c r="J954" s="1">
        <f>'0_Parametros'!B7</f>
        <v>10</v>
      </c>
      <c r="K954" s="3">
        <f>(I954-SUM($J$954:$J$1009))*G954/H954</f>
        <v>20.856151171083333</v>
      </c>
      <c r="L954" s="1">
        <f>INT(K954)</f>
        <v>20</v>
      </c>
      <c r="M954" s="3">
        <f>K954-L954</f>
        <v>0.8561511710833329</v>
      </c>
      <c r="N954" s="1">
        <f>COUNTIF($M$954:$M$1009,"&gt;"&amp;M954)+COUNTIF($M$954:M954,M954)</f>
        <v>11</v>
      </c>
      <c r="O954" s="1">
        <f>J954+L954+IF(N954&lt;=I954-SUM($J$954:$J$1009)-SUM($L$954:$L$1009),1,0)</f>
        <v>31</v>
      </c>
    </row>
    <row r="955" spans="1:15">
      <c r="A955" s="1" t="s">
        <v>68</v>
      </c>
      <c r="B955" s="1" t="s">
        <v>70</v>
      </c>
      <c r="C955" s="1" t="s">
        <v>38</v>
      </c>
      <c r="D955" s="1" t="s">
        <v>39</v>
      </c>
      <c r="E955" s="1" t="s">
        <v>40</v>
      </c>
      <c r="F955" s="1" t="s">
        <v>42</v>
      </c>
      <c r="G955" s="1">
        <v>8470</v>
      </c>
      <c r="H955" s="1">
        <f>'1_Departamento_n'!C19</f>
        <v>2765132</v>
      </c>
      <c r="I955" s="1">
        <f>'1_Departamento_n'!H19</f>
        <v>1313</v>
      </c>
      <c r="J955" s="1">
        <f>'0_Parametros'!B7</f>
        <v>10</v>
      </c>
      <c r="K955" s="3">
        <f>(I955-SUM($J$954:$J$1009))*G955/H955</f>
        <v>2.3065481141587454</v>
      </c>
      <c r="L955" s="1">
        <f>INT(K955)</f>
        <v>2</v>
      </c>
      <c r="M955" s="3">
        <f>K955-L955</f>
        <v>0.3065481141587454</v>
      </c>
      <c r="N955" s="1">
        <f>COUNTIF($M$954:$M$1009,"&gt;"&amp;M955)+COUNTIF($M$954:M955,M955)</f>
        <v>39</v>
      </c>
      <c r="O955" s="1">
        <f>J955+L955+IF(N955&lt;=I955-SUM($J$954:$J$1009)-SUM($L$954:$L$1009),1,0)</f>
        <v>12</v>
      </c>
    </row>
    <row r="956" spans="1:15">
      <c r="A956" s="1" t="s">
        <v>68</v>
      </c>
      <c r="B956" s="1" t="s">
        <v>70</v>
      </c>
      <c r="C956" s="1" t="s">
        <v>38</v>
      </c>
      <c r="D956" s="1" t="s">
        <v>39</v>
      </c>
      <c r="E956" s="1" t="s">
        <v>43</v>
      </c>
      <c r="F956" s="1" t="s">
        <v>41</v>
      </c>
      <c r="G956" s="1">
        <v>110072</v>
      </c>
      <c r="H956" s="1">
        <f>'1_Departamento_n'!C19</f>
        <v>2765132</v>
      </c>
      <c r="I956" s="1">
        <f>'1_Departamento_n'!H19</f>
        <v>1313</v>
      </c>
      <c r="J956" s="1">
        <f>'0_Parametros'!B7</f>
        <v>10</v>
      </c>
      <c r="K956" s="3">
        <f>(I956-SUM($J$954:$J$1009))*G956/H956</f>
        <v>29.97477733431894</v>
      </c>
      <c r="L956" s="1">
        <f>INT(K956)</f>
        <v>29</v>
      </c>
      <c r="M956" s="3">
        <f>K956-L956</f>
        <v>0.9747773343189401</v>
      </c>
      <c r="N956" s="1">
        <f>COUNTIF($M$954:$M$1009,"&gt;"&amp;M956)+COUNTIF($M$954:M956,M956)</f>
        <v>2</v>
      </c>
      <c r="O956" s="1">
        <f>J956+L956+IF(N956&lt;=I956-SUM($J$954:$J$1009)-SUM($L$954:$L$1009),1,0)</f>
        <v>40</v>
      </c>
    </row>
    <row r="957" spans="1:15">
      <c r="A957" s="1" t="s">
        <v>68</v>
      </c>
      <c r="B957" s="1" t="s">
        <v>70</v>
      </c>
      <c r="C957" s="1" t="s">
        <v>38</v>
      </c>
      <c r="D957" s="1" t="s">
        <v>39</v>
      </c>
      <c r="E957" s="1" t="s">
        <v>43</v>
      </c>
      <c r="F957" s="1" t="s">
        <v>42</v>
      </c>
      <c r="G957" s="1">
        <v>11877</v>
      </c>
      <c r="H957" s="1">
        <f>'1_Departamento_n'!C19</f>
        <v>2765132</v>
      </c>
      <c r="I957" s="1">
        <f>'1_Departamento_n'!H19</f>
        <v>1313</v>
      </c>
      <c r="J957" s="1">
        <f>'0_Parametros'!B7</f>
        <v>10</v>
      </c>
      <c r="K957" s="3">
        <f>(I957-SUM($J$954:$J$1009))*G957/H957</f>
        <v>3.2343414346946187</v>
      </c>
      <c r="L957" s="1">
        <f>INT(K957)</f>
        <v>3</v>
      </c>
      <c r="M957" s="3">
        <f>K957-L957</f>
        <v>0.23434143469461866</v>
      </c>
      <c r="N957" s="1">
        <f>COUNTIF($M$954:$M$1009,"&gt;"&amp;M957)+COUNTIF($M$954:M957,M957)</f>
        <v>45</v>
      </c>
      <c r="O957" s="1">
        <f>J957+L957+IF(N957&lt;=I957-SUM($J$954:$J$1009)-SUM($L$954:$L$1009),1,0)</f>
        <v>13</v>
      </c>
    </row>
    <row r="958" spans="1:15">
      <c r="A958" s="1" t="s">
        <v>68</v>
      </c>
      <c r="B958" s="1" t="s">
        <v>70</v>
      </c>
      <c r="C958" s="1" t="s">
        <v>38</v>
      </c>
      <c r="D958" s="1" t="s">
        <v>39</v>
      </c>
      <c r="E958" s="1" t="s">
        <v>44</v>
      </c>
      <c r="F958" s="1" t="s">
        <v>41</v>
      </c>
      <c r="G958" s="1">
        <v>127739</v>
      </c>
      <c r="H958" s="1">
        <f>'1_Departamento_n'!C19</f>
        <v>2765132</v>
      </c>
      <c r="I958" s="1">
        <f>'1_Departamento_n'!H19</f>
        <v>1313</v>
      </c>
      <c r="J958" s="1">
        <f>'0_Parametros'!B7</f>
        <v>10</v>
      </c>
      <c r="K958" s="3">
        <f>(I958-SUM($J$954:$J$1009))*G958/H958</f>
        <v>34.78585000643731</v>
      </c>
      <c r="L958" s="1">
        <f>INT(K958)</f>
        <v>34</v>
      </c>
      <c r="M958" s="3">
        <f>K958-L958</f>
        <v>0.7858500064373075</v>
      </c>
      <c r="N958" s="1">
        <f>COUNTIF($M$954:$M$1009,"&gt;"&amp;M958)+COUNTIF($M$954:M958,M958)</f>
        <v>16</v>
      </c>
      <c r="O958" s="1">
        <f>J958+L958+IF(N958&lt;=I958-SUM($J$954:$J$1009)-SUM($L$954:$L$1009),1,0)</f>
        <v>45</v>
      </c>
    </row>
    <row r="959" spans="1:15">
      <c r="A959" s="1" t="s">
        <v>68</v>
      </c>
      <c r="B959" s="1" t="s">
        <v>70</v>
      </c>
      <c r="C959" s="1" t="s">
        <v>38</v>
      </c>
      <c r="D959" s="1" t="s">
        <v>39</v>
      </c>
      <c r="E959" s="1" t="s">
        <v>44</v>
      </c>
      <c r="F959" s="1" t="s">
        <v>42</v>
      </c>
      <c r="G959" s="1">
        <v>14780</v>
      </c>
      <c r="H959" s="1">
        <f>'1_Departamento_n'!C19</f>
        <v>2765132</v>
      </c>
      <c r="I959" s="1">
        <f>'1_Departamento_n'!H19</f>
        <v>1313</v>
      </c>
      <c r="J959" s="1">
        <f>'0_Parametros'!B7</f>
        <v>10</v>
      </c>
      <c r="K959" s="3">
        <f>(I959-SUM($J$954:$J$1009))*G959/H959</f>
        <v>4.024885611247492</v>
      </c>
      <c r="L959" s="1">
        <f>INT(K959)</f>
        <v>4</v>
      </c>
      <c r="M959" s="3">
        <f>K959-L959</f>
        <v>0.024885611247492</v>
      </c>
      <c r="N959" s="1">
        <f>COUNTIF($M$954:$M$1009,"&gt;"&amp;M959)+COUNTIF($M$954:M959,M959)</f>
        <v>56</v>
      </c>
      <c r="O959" s="1">
        <f>J959+L959+IF(N959&lt;=I959-SUM($J$954:$J$1009)-SUM($L$954:$L$1009),1,0)</f>
        <v>14</v>
      </c>
    </row>
    <row r="960" spans="1:15">
      <c r="A960" s="1" t="s">
        <v>68</v>
      </c>
      <c r="B960" s="1" t="s">
        <v>70</v>
      </c>
      <c r="C960" s="1" t="s">
        <v>38</v>
      </c>
      <c r="D960" s="1" t="s">
        <v>39</v>
      </c>
      <c r="E960" s="1" t="s">
        <v>45</v>
      </c>
      <c r="F960" s="1" t="s">
        <v>41</v>
      </c>
      <c r="G960" s="1">
        <v>142698</v>
      </c>
      <c r="H960" s="1">
        <f>'1_Departamento_n'!C19</f>
        <v>2765132</v>
      </c>
      <c r="I960" s="1">
        <f>'1_Departamento_n'!H19</f>
        <v>1313</v>
      </c>
      <c r="J960" s="1">
        <f>'0_Parametros'!B7</f>
        <v>10</v>
      </c>
      <c r="K960" s="3">
        <f>(I960-SUM($J$954:$J$1009))*G960/H960</f>
        <v>38.85948084937717</v>
      </c>
      <c r="L960" s="1">
        <f>INT(K960)</f>
        <v>38</v>
      </c>
      <c r="M960" s="3">
        <f>K960-L960</f>
        <v>0.8594808493771708</v>
      </c>
      <c r="N960" s="1">
        <f>COUNTIF($M$954:$M$1009,"&gt;"&amp;M960)+COUNTIF($M$954:M960,M960)</f>
        <v>10</v>
      </c>
      <c r="O960" s="1">
        <f>J960+L960+IF(N960&lt;=I960-SUM($J$954:$J$1009)-SUM($L$954:$L$1009),1,0)</f>
        <v>49</v>
      </c>
    </row>
    <row r="961" spans="1:15">
      <c r="A961" s="1" t="s">
        <v>68</v>
      </c>
      <c r="B961" s="1" t="s">
        <v>70</v>
      </c>
      <c r="C961" s="1" t="s">
        <v>38</v>
      </c>
      <c r="D961" s="1" t="s">
        <v>39</v>
      </c>
      <c r="E961" s="1" t="s">
        <v>45</v>
      </c>
      <c r="F961" s="1" t="s">
        <v>42</v>
      </c>
      <c r="G961" s="1">
        <v>13667</v>
      </c>
      <c r="H961" s="1">
        <f>'1_Departamento_n'!C19</f>
        <v>2765132</v>
      </c>
      <c r="I961" s="1">
        <f>'1_Departamento_n'!H19</f>
        <v>1313</v>
      </c>
      <c r="J961" s="1">
        <f>'0_Parametros'!B7</f>
        <v>10</v>
      </c>
      <c r="K961" s="3">
        <f>(I961-SUM($J$954:$J$1009))*G961/H961</f>
        <v>3.7217937516183675</v>
      </c>
      <c r="L961" s="1">
        <f>INT(K961)</f>
        <v>3</v>
      </c>
      <c r="M961" s="3">
        <f>K961-L961</f>
        <v>0.7217937516183675</v>
      </c>
      <c r="N961" s="1">
        <f>COUNTIF($M$954:$M$1009,"&gt;"&amp;M961)+COUNTIF($M$954:M961,M961)</f>
        <v>19</v>
      </c>
      <c r="O961" s="1">
        <f>J961+L961+IF(N961&lt;=I961-SUM($J$954:$J$1009)-SUM($L$954:$L$1009),1,0)</f>
        <v>14</v>
      </c>
    </row>
    <row r="962" spans="1:15">
      <c r="A962" s="1" t="s">
        <v>68</v>
      </c>
      <c r="B962" s="1" t="s">
        <v>70</v>
      </c>
      <c r="C962" s="1" t="s">
        <v>38</v>
      </c>
      <c r="D962" s="1" t="s">
        <v>39</v>
      </c>
      <c r="E962" s="1" t="s">
        <v>46</v>
      </c>
      <c r="F962" s="1" t="s">
        <v>41</v>
      </c>
      <c r="G962" s="1">
        <v>116967</v>
      </c>
      <c r="H962" s="1">
        <f>'1_Departamento_n'!C19</f>
        <v>2765132</v>
      </c>
      <c r="I962" s="1">
        <f>'1_Departamento_n'!H19</f>
        <v>1313</v>
      </c>
      <c r="J962" s="1">
        <f>'0_Parametros'!B7</f>
        <v>10</v>
      </c>
      <c r="K962" s="3">
        <f>(I962-SUM($J$954:$J$1009))*G962/H962</f>
        <v>31.852421873530812</v>
      </c>
      <c r="L962" s="1">
        <f>INT(K962)</f>
        <v>31</v>
      </c>
      <c r="M962" s="3">
        <f>K962-L962</f>
        <v>0.8524218735308118</v>
      </c>
      <c r="N962" s="1">
        <f>COUNTIF($M$954:$M$1009,"&gt;"&amp;M962)+COUNTIF($M$954:M962,M962)</f>
        <v>12</v>
      </c>
      <c r="O962" s="1">
        <f>J962+L962+IF(N962&lt;=I962-SUM($J$954:$J$1009)-SUM($L$954:$L$1009),1,0)</f>
        <v>42</v>
      </c>
    </row>
    <row r="963" spans="1:15">
      <c r="A963" s="1" t="s">
        <v>68</v>
      </c>
      <c r="B963" s="1" t="s">
        <v>70</v>
      </c>
      <c r="C963" s="1" t="s">
        <v>38</v>
      </c>
      <c r="D963" s="1" t="s">
        <v>39</v>
      </c>
      <c r="E963" s="1" t="s">
        <v>46</v>
      </c>
      <c r="F963" s="1" t="s">
        <v>42</v>
      </c>
      <c r="G963" s="1">
        <v>10804</v>
      </c>
      <c r="H963" s="1">
        <f>'1_Departamento_n'!C19</f>
        <v>2765132</v>
      </c>
      <c r="I963" s="1">
        <f>'1_Departamento_n'!H19</f>
        <v>1313</v>
      </c>
      <c r="J963" s="1">
        <f>'0_Parametros'!B7</f>
        <v>10</v>
      </c>
      <c r="K963" s="3">
        <f>(I963-SUM($J$954:$J$1009))*G963/H963</f>
        <v>2.9421423642704942</v>
      </c>
      <c r="L963" s="1">
        <f>INT(K963)</f>
        <v>2</v>
      </c>
      <c r="M963" s="3">
        <f>K963-L963</f>
        <v>0.9421423642704942</v>
      </c>
      <c r="N963" s="1">
        <f>COUNTIF($M$954:$M$1009,"&gt;"&amp;M963)+COUNTIF($M$954:M963,M963)</f>
        <v>5</v>
      </c>
      <c r="O963" s="1">
        <f>J963+L963+IF(N963&lt;=I963-SUM($J$954:$J$1009)-SUM($L$954:$L$1009),1,0)</f>
        <v>13</v>
      </c>
    </row>
    <row r="964" spans="1:15">
      <c r="A964" s="1" t="s">
        <v>68</v>
      </c>
      <c r="B964" s="1" t="s">
        <v>70</v>
      </c>
      <c r="C964" s="1" t="s">
        <v>38</v>
      </c>
      <c r="D964" s="1" t="s">
        <v>39</v>
      </c>
      <c r="E964" s="1" t="s">
        <v>47</v>
      </c>
      <c r="F964" s="1" t="s">
        <v>41</v>
      </c>
      <c r="G964" s="1">
        <v>86067</v>
      </c>
      <c r="H964" s="1">
        <f>'1_Departamento_n'!C19</f>
        <v>2765132</v>
      </c>
      <c r="I964" s="1">
        <f>'1_Departamento_n'!H19</f>
        <v>1313</v>
      </c>
      <c r="J964" s="1">
        <f>'0_Parametros'!B7</f>
        <v>10</v>
      </c>
      <c r="K964" s="3">
        <f>(I964-SUM($J$954:$J$1009))*G964/H964</f>
        <v>23.43774221266833</v>
      </c>
      <c r="L964" s="1">
        <f>INT(K964)</f>
        <v>23</v>
      </c>
      <c r="M964" s="3">
        <f>K964-L964</f>
        <v>0.43774221266832924</v>
      </c>
      <c r="N964" s="1">
        <f>COUNTIF($M$954:$M$1009,"&gt;"&amp;M964)+COUNTIF($M$954:M964,M964)</f>
        <v>31</v>
      </c>
      <c r="O964" s="1">
        <f>J964+L964+IF(N964&lt;=I964-SUM($J$954:$J$1009)-SUM($L$954:$L$1009),1,0)</f>
        <v>33</v>
      </c>
    </row>
    <row r="965" spans="1:15">
      <c r="A965" s="1" t="s">
        <v>68</v>
      </c>
      <c r="B965" s="1" t="s">
        <v>70</v>
      </c>
      <c r="C965" s="1" t="s">
        <v>38</v>
      </c>
      <c r="D965" s="1" t="s">
        <v>39</v>
      </c>
      <c r="E965" s="1" t="s">
        <v>47</v>
      </c>
      <c r="F965" s="1" t="s">
        <v>42</v>
      </c>
      <c r="G965" s="1">
        <v>8360</v>
      </c>
      <c r="H965" s="1">
        <f>'1_Departamento_n'!C19</f>
        <v>2765132</v>
      </c>
      <c r="I965" s="1">
        <f>'1_Departamento_n'!H19</f>
        <v>1313</v>
      </c>
      <c r="J965" s="1">
        <f>'0_Parametros'!B7</f>
        <v>10</v>
      </c>
      <c r="K965" s="3">
        <f>(I965-SUM($J$954:$J$1009))*G965/H965</f>
        <v>2.2765929438449954</v>
      </c>
      <c r="L965" s="1">
        <f>INT(K965)</f>
        <v>2</v>
      </c>
      <c r="M965" s="3">
        <f>K965-L965</f>
        <v>0.27659294384499544</v>
      </c>
      <c r="N965" s="1">
        <f>COUNTIF($M$954:$M$1009,"&gt;"&amp;M965)+COUNTIF($M$954:M965,M965)</f>
        <v>42</v>
      </c>
      <c r="O965" s="1">
        <f>J965+L965+IF(N965&lt;=I965-SUM($J$954:$J$1009)-SUM($L$954:$L$1009),1,0)</f>
        <v>12</v>
      </c>
    </row>
    <row r="966" spans="1:15">
      <c r="A966" s="1" t="s">
        <v>68</v>
      </c>
      <c r="B966" s="1" t="s">
        <v>70</v>
      </c>
      <c r="C966" s="1" t="s">
        <v>38</v>
      </c>
      <c r="D966" s="1" t="s">
        <v>39</v>
      </c>
      <c r="E966" s="1" t="s">
        <v>48</v>
      </c>
      <c r="F966" s="1" t="s">
        <v>41</v>
      </c>
      <c r="G966" s="1">
        <v>127069</v>
      </c>
      <c r="H966" s="1">
        <f>'1_Departamento_n'!C19</f>
        <v>2765132</v>
      </c>
      <c r="I966" s="1">
        <f>'1_Departamento_n'!H19</f>
        <v>1313</v>
      </c>
      <c r="J966" s="1">
        <f>'0_Parametros'!B7</f>
        <v>10</v>
      </c>
      <c r="K966" s="3">
        <f>(I966-SUM($J$954:$J$1009))*G966/H966</f>
        <v>34.603395787253554</v>
      </c>
      <c r="L966" s="1">
        <f>INT(K966)</f>
        <v>34</v>
      </c>
      <c r="M966" s="3">
        <f>K966-L966</f>
        <v>0.6033957872535538</v>
      </c>
      <c r="N966" s="1">
        <f>COUNTIF($M$954:$M$1009,"&gt;"&amp;M966)+COUNTIF($M$954:M966,M966)</f>
        <v>24</v>
      </c>
      <c r="O966" s="1">
        <f>J966+L966+IF(N966&lt;=I966-SUM($J$954:$J$1009)-SUM($L$954:$L$1009),1,0)</f>
        <v>45</v>
      </c>
    </row>
    <row r="967" spans="1:15">
      <c r="A967" s="1" t="s">
        <v>68</v>
      </c>
      <c r="B967" s="1" t="s">
        <v>70</v>
      </c>
      <c r="C967" s="1" t="s">
        <v>38</v>
      </c>
      <c r="D967" s="1" t="s">
        <v>39</v>
      </c>
      <c r="E967" s="1" t="s">
        <v>48</v>
      </c>
      <c r="F967" s="1" t="s">
        <v>42</v>
      </c>
      <c r="G967" s="1">
        <v>11162</v>
      </c>
      <c r="H967" s="1">
        <f>'1_Departamento_n'!C19</f>
        <v>2765132</v>
      </c>
      <c r="I967" s="1">
        <f>'1_Departamento_n'!H19</f>
        <v>1313</v>
      </c>
      <c r="J967" s="1">
        <f>'0_Parametros'!B7</f>
        <v>10</v>
      </c>
      <c r="K967" s="3">
        <f>(I967-SUM($J$954:$J$1009))*G967/H967</f>
        <v>3.039632827655244</v>
      </c>
      <c r="L967" s="1">
        <f>INT(K967)</f>
        <v>3</v>
      </c>
      <c r="M967" s="3">
        <f>K967-L967</f>
        <v>0.03963282765524401</v>
      </c>
      <c r="N967" s="1">
        <f>COUNTIF($M$954:$M$1009,"&gt;"&amp;M967)+COUNTIF($M$954:M967,M967)</f>
        <v>55</v>
      </c>
      <c r="O967" s="1">
        <f>J967+L967+IF(N967&lt;=I967-SUM($J$954:$J$1009)-SUM($L$954:$L$1009),1,0)</f>
        <v>13</v>
      </c>
    </row>
    <row r="968" spans="1:15">
      <c r="A968" s="1" t="s">
        <v>68</v>
      </c>
      <c r="B968" s="1" t="s">
        <v>70</v>
      </c>
      <c r="C968" s="1" t="s">
        <v>38</v>
      </c>
      <c r="D968" s="1" t="s">
        <v>49</v>
      </c>
      <c r="E968" s="1" t="s">
        <v>40</v>
      </c>
      <c r="F968" s="1" t="s">
        <v>41</v>
      </c>
      <c r="G968" s="1">
        <v>80230</v>
      </c>
      <c r="H968" s="1">
        <f>'1_Departamento_n'!C19</f>
        <v>2765132</v>
      </c>
      <c r="I968" s="1">
        <f>'1_Departamento_n'!H19</f>
        <v>1313</v>
      </c>
      <c r="J968" s="1">
        <f>'0_Parametros'!B7</f>
        <v>10</v>
      </c>
      <c r="K968" s="3">
        <f>(I968-SUM($J$954:$J$1009))*G968/H968</f>
        <v>21.848211947928707</v>
      </c>
      <c r="L968" s="1">
        <f>INT(K968)</f>
        <v>21</v>
      </c>
      <c r="M968" s="3">
        <f>K968-L968</f>
        <v>0.8482119479287071</v>
      </c>
      <c r="N968" s="1">
        <f>COUNTIF($M$954:$M$1009,"&gt;"&amp;M968)+COUNTIF($M$954:M968,M968)</f>
        <v>13</v>
      </c>
      <c r="O968" s="1">
        <f>J968+L968+IF(N968&lt;=I968-SUM($J$954:$J$1009)-SUM($L$954:$L$1009),1,0)</f>
        <v>32</v>
      </c>
    </row>
    <row r="969" spans="1:15">
      <c r="A969" s="1" t="s">
        <v>68</v>
      </c>
      <c r="B969" s="1" t="s">
        <v>70</v>
      </c>
      <c r="C969" s="1" t="s">
        <v>38</v>
      </c>
      <c r="D969" s="1" t="s">
        <v>49</v>
      </c>
      <c r="E969" s="1" t="s">
        <v>40</v>
      </c>
      <c r="F969" s="1" t="s">
        <v>42</v>
      </c>
      <c r="G969" s="1">
        <v>8745</v>
      </c>
      <c r="H969" s="1">
        <f>'1_Departamento_n'!C19</f>
        <v>2765132</v>
      </c>
      <c r="I969" s="1">
        <f>'1_Departamento_n'!H19</f>
        <v>1313</v>
      </c>
      <c r="J969" s="1">
        <f>'0_Parametros'!B7</f>
        <v>10</v>
      </c>
      <c r="K969" s="3">
        <f>(I969-SUM($J$954:$J$1009))*G969/H969</f>
        <v>2.3814360399431203</v>
      </c>
      <c r="L969" s="1">
        <f>INT(K969)</f>
        <v>2</v>
      </c>
      <c r="M969" s="3">
        <f>K969-L969</f>
        <v>0.38143603994312025</v>
      </c>
      <c r="N969" s="1">
        <f>COUNTIF($M$954:$M$1009,"&gt;"&amp;M969)+COUNTIF($M$954:M969,M969)</f>
        <v>34</v>
      </c>
      <c r="O969" s="1">
        <f>J969+L969+IF(N969&lt;=I969-SUM($J$954:$J$1009)-SUM($L$954:$L$1009),1,0)</f>
        <v>12</v>
      </c>
    </row>
    <row r="970" spans="1:15">
      <c r="A970" s="1" t="s">
        <v>68</v>
      </c>
      <c r="B970" s="1" t="s">
        <v>70</v>
      </c>
      <c r="C970" s="1" t="s">
        <v>38</v>
      </c>
      <c r="D970" s="1" t="s">
        <v>49</v>
      </c>
      <c r="E970" s="1" t="s">
        <v>43</v>
      </c>
      <c r="F970" s="1" t="s">
        <v>41</v>
      </c>
      <c r="G970" s="1">
        <v>114108</v>
      </c>
      <c r="H970" s="1">
        <f>'1_Departamento_n'!C19</f>
        <v>2765132</v>
      </c>
      <c r="I970" s="1">
        <f>'1_Departamento_n'!H19</f>
        <v>1313</v>
      </c>
      <c r="J970" s="1">
        <f>'0_Parametros'!B7</f>
        <v>10</v>
      </c>
      <c r="K970" s="3">
        <f>(I970-SUM($J$954:$J$1009))*G970/H970</f>
        <v>31.07385976510344</v>
      </c>
      <c r="L970" s="1">
        <f>INT(K970)</f>
        <v>31</v>
      </c>
      <c r="M970" s="3">
        <f>K970-L970</f>
        <v>0.07385976510343895</v>
      </c>
      <c r="N970" s="1">
        <f>COUNTIF($M$954:$M$1009,"&gt;"&amp;M970)+COUNTIF($M$954:M970,M970)</f>
        <v>51</v>
      </c>
      <c r="O970" s="1">
        <f>J970+L970+IF(N970&lt;=I970-SUM($J$954:$J$1009)-SUM($L$954:$L$1009),1,0)</f>
        <v>41</v>
      </c>
    </row>
    <row r="971" spans="1:15">
      <c r="A971" s="1" t="s">
        <v>68</v>
      </c>
      <c r="B971" s="1" t="s">
        <v>70</v>
      </c>
      <c r="C971" s="1" t="s">
        <v>38</v>
      </c>
      <c r="D971" s="1" t="s">
        <v>49</v>
      </c>
      <c r="E971" s="1" t="s">
        <v>43</v>
      </c>
      <c r="F971" s="1" t="s">
        <v>42</v>
      </c>
      <c r="G971" s="1">
        <v>12520</v>
      </c>
      <c r="H971" s="1">
        <f>'1_Departamento_n'!C19</f>
        <v>2765132</v>
      </c>
      <c r="I971" s="1">
        <f>'1_Departamento_n'!H19</f>
        <v>1313</v>
      </c>
      <c r="J971" s="1">
        <f>'0_Parametros'!B7</f>
        <v>10</v>
      </c>
      <c r="K971" s="3">
        <f>(I971-SUM($J$954:$J$1009))*G971/H971</f>
        <v>3.4094430211649933</v>
      </c>
      <c r="L971" s="1">
        <f>INT(K971)</f>
        <v>3</v>
      </c>
      <c r="M971" s="3">
        <f>K971-L971</f>
        <v>0.4094430211649933</v>
      </c>
      <c r="N971" s="1">
        <f>COUNTIF($M$954:$M$1009,"&gt;"&amp;M971)+COUNTIF($M$954:M971,M971)</f>
        <v>33</v>
      </c>
      <c r="O971" s="1">
        <f>J971+L971+IF(N971&lt;=I971-SUM($J$954:$J$1009)-SUM($L$954:$L$1009),1,0)</f>
        <v>13</v>
      </c>
    </row>
    <row r="972" spans="1:15">
      <c r="A972" s="1" t="s">
        <v>68</v>
      </c>
      <c r="B972" s="1" t="s">
        <v>70</v>
      </c>
      <c r="C972" s="1" t="s">
        <v>38</v>
      </c>
      <c r="D972" s="1" t="s">
        <v>49</v>
      </c>
      <c r="E972" s="1" t="s">
        <v>44</v>
      </c>
      <c r="F972" s="1" t="s">
        <v>41</v>
      </c>
      <c r="G972" s="1">
        <v>133883</v>
      </c>
      <c r="H972" s="1">
        <f>'1_Departamento_n'!C19</f>
        <v>2765132</v>
      </c>
      <c r="I972" s="1">
        <f>'1_Departamento_n'!H19</f>
        <v>1313</v>
      </c>
      <c r="J972" s="1">
        <f>'0_Parametros'!B7</f>
        <v>10</v>
      </c>
      <c r="K972" s="3">
        <f>(I972-SUM($J$954:$J$1009))*G972/H972</f>
        <v>36.4589824283253</v>
      </c>
      <c r="L972" s="1">
        <f>INT(K972)</f>
        <v>36</v>
      </c>
      <c r="M972" s="3">
        <f>K972-L972</f>
        <v>0.45898242832529945</v>
      </c>
      <c r="N972" s="1">
        <f>COUNTIF($M$954:$M$1009,"&gt;"&amp;M972)+COUNTIF($M$954:M972,M972)</f>
        <v>30</v>
      </c>
      <c r="O972" s="1">
        <f>J972+L972+IF(N972&lt;=I972-SUM($J$954:$J$1009)-SUM($L$954:$L$1009),1,0)</f>
        <v>46</v>
      </c>
    </row>
    <row r="973" spans="1:15">
      <c r="A973" s="1" t="s">
        <v>68</v>
      </c>
      <c r="B973" s="1" t="s">
        <v>70</v>
      </c>
      <c r="C973" s="1" t="s">
        <v>38</v>
      </c>
      <c r="D973" s="1" t="s">
        <v>49</v>
      </c>
      <c r="E973" s="1" t="s">
        <v>44</v>
      </c>
      <c r="F973" s="1" t="s">
        <v>42</v>
      </c>
      <c r="G973" s="1">
        <v>18146</v>
      </c>
      <c r="H973" s="1">
        <f>'1_Departamento_n'!C19</f>
        <v>2765132</v>
      </c>
      <c r="I973" s="1">
        <f>'1_Departamento_n'!H19</f>
        <v>1313</v>
      </c>
      <c r="J973" s="1">
        <f>'0_Parametros'!B7</f>
        <v>10</v>
      </c>
      <c r="K973" s="3">
        <f>(I973-SUM($J$954:$J$1009))*G973/H973</f>
        <v>4.94151382284824</v>
      </c>
      <c r="L973" s="1">
        <f>INT(K973)</f>
        <v>4</v>
      </c>
      <c r="M973" s="3">
        <f>K973-L973</f>
        <v>0.9415138228482398</v>
      </c>
      <c r="N973" s="1">
        <f>COUNTIF($M$954:$M$1009,"&gt;"&amp;M973)+COUNTIF($M$954:M973,M973)</f>
        <v>6</v>
      </c>
      <c r="O973" s="1">
        <f>J973+L973+IF(N973&lt;=I973-SUM($J$954:$J$1009)-SUM($L$954:$L$1009),1,0)</f>
        <v>15</v>
      </c>
    </row>
    <row r="974" spans="1:15">
      <c r="A974" s="1" t="s">
        <v>68</v>
      </c>
      <c r="B974" s="1" t="s">
        <v>70</v>
      </c>
      <c r="C974" s="1" t="s">
        <v>38</v>
      </c>
      <c r="D974" s="1" t="s">
        <v>49</v>
      </c>
      <c r="E974" s="1" t="s">
        <v>45</v>
      </c>
      <c r="F974" s="1" t="s">
        <v>41</v>
      </c>
      <c r="G974" s="1">
        <v>135618</v>
      </c>
      <c r="H974" s="1">
        <f>'1_Departamento_n'!C19</f>
        <v>2765132</v>
      </c>
      <c r="I974" s="1">
        <f>'1_Departamento_n'!H19</f>
        <v>1313</v>
      </c>
      <c r="J974" s="1">
        <f>'0_Parametros'!B7</f>
        <v>10</v>
      </c>
      <c r="K974" s="3">
        <f>(I974-SUM($J$954:$J$1009))*G974/H974</f>
        <v>36.93145716009218</v>
      </c>
      <c r="L974" s="1">
        <f>INT(K974)</f>
        <v>36</v>
      </c>
      <c r="M974" s="3">
        <f>K974-L974</f>
        <v>0.9314571600921795</v>
      </c>
      <c r="N974" s="1">
        <f>COUNTIF($M$954:$M$1009,"&gt;"&amp;M974)+COUNTIF($M$954:M974,M974)</f>
        <v>8</v>
      </c>
      <c r="O974" s="1">
        <f>J974+L974+IF(N974&lt;=I974-SUM($J$954:$J$1009)-SUM($L$954:$L$1009),1,0)</f>
        <v>47</v>
      </c>
    </row>
    <row r="975" spans="1:15">
      <c r="A975" s="1" t="s">
        <v>68</v>
      </c>
      <c r="B975" s="1" t="s">
        <v>70</v>
      </c>
      <c r="C975" s="1" t="s">
        <v>38</v>
      </c>
      <c r="D975" s="1" t="s">
        <v>49</v>
      </c>
      <c r="E975" s="1" t="s">
        <v>45</v>
      </c>
      <c r="F975" s="1" t="s">
        <v>42</v>
      </c>
      <c r="G975" s="1">
        <v>15591</v>
      </c>
      <c r="H975" s="1">
        <f>'1_Departamento_n'!C19</f>
        <v>2765132</v>
      </c>
      <c r="I975" s="1">
        <f>'1_Departamento_n'!H19</f>
        <v>1313</v>
      </c>
      <c r="J975" s="1">
        <f>'0_Parametros'!B7</f>
        <v>10</v>
      </c>
      <c r="K975" s="3">
        <f>(I975-SUM($J$954:$J$1009))*G975/H975</f>
        <v>4.245736912378867</v>
      </c>
      <c r="L975" s="1">
        <f>INT(K975)</f>
        <v>4</v>
      </c>
      <c r="M975" s="3">
        <f>K975-L975</f>
        <v>0.24573691237886663</v>
      </c>
      <c r="N975" s="1">
        <f>COUNTIF($M$954:$M$1009,"&gt;"&amp;M975)+COUNTIF($M$954:M975,M975)</f>
        <v>44</v>
      </c>
      <c r="O975" s="1">
        <f>J975+L975+IF(N975&lt;=I975-SUM($J$954:$J$1009)-SUM($L$954:$L$1009),1,0)</f>
        <v>14</v>
      </c>
    </row>
    <row r="976" spans="1:15">
      <c r="A976" s="1" t="s">
        <v>68</v>
      </c>
      <c r="B976" s="1" t="s">
        <v>70</v>
      </c>
      <c r="C976" s="1" t="s">
        <v>38</v>
      </c>
      <c r="D976" s="1" t="s">
        <v>49</v>
      </c>
      <c r="E976" s="1" t="s">
        <v>46</v>
      </c>
      <c r="F976" s="1" t="s">
        <v>41</v>
      </c>
      <c r="G976" s="1">
        <v>109250</v>
      </c>
      <c r="H976" s="1">
        <f>'1_Departamento_n'!C19</f>
        <v>2765132</v>
      </c>
      <c r="I976" s="1">
        <f>'1_Departamento_n'!H19</f>
        <v>1313</v>
      </c>
      <c r="J976" s="1">
        <f>'0_Parametros'!B7</f>
        <v>10</v>
      </c>
      <c r="K976" s="3">
        <f>(I976-SUM($J$954:$J$1009))*G976/H976</f>
        <v>29.750930516156192</v>
      </c>
      <c r="L976" s="1">
        <f>INT(K976)</f>
        <v>29</v>
      </c>
      <c r="M976" s="3">
        <f>K976-L976</f>
        <v>0.7509305161561919</v>
      </c>
      <c r="N976" s="1">
        <f>COUNTIF($M$954:$M$1009,"&gt;"&amp;M976)+COUNTIF($M$954:M976,M976)</f>
        <v>17</v>
      </c>
      <c r="O976" s="1">
        <f>J976+L976+IF(N976&lt;=I976-SUM($J$954:$J$1009)-SUM($L$954:$L$1009),1,0)</f>
        <v>40</v>
      </c>
    </row>
    <row r="977" spans="1:15">
      <c r="A977" s="1" t="s">
        <v>68</v>
      </c>
      <c r="B977" s="1" t="s">
        <v>70</v>
      </c>
      <c r="C977" s="1" t="s">
        <v>38</v>
      </c>
      <c r="D977" s="1" t="s">
        <v>49</v>
      </c>
      <c r="E977" s="1" t="s">
        <v>46</v>
      </c>
      <c r="F977" s="1" t="s">
        <v>42</v>
      </c>
      <c r="G977" s="1">
        <v>12139</v>
      </c>
      <c r="H977" s="1">
        <f>'1_Departamento_n'!C19</f>
        <v>2765132</v>
      </c>
      <c r="I977" s="1">
        <f>'1_Departamento_n'!H19</f>
        <v>1313</v>
      </c>
      <c r="J977" s="1">
        <f>'0_Parametros'!B7</f>
        <v>10</v>
      </c>
      <c r="K977" s="3">
        <f>(I977-SUM($J$954:$J$1009))*G977/H977</f>
        <v>3.3056892039873684</v>
      </c>
      <c r="L977" s="1">
        <f>INT(K977)</f>
        <v>3</v>
      </c>
      <c r="M977" s="3">
        <f>K977-L977</f>
        <v>0.30568920398736843</v>
      </c>
      <c r="N977" s="1">
        <f>COUNTIF($M$954:$M$1009,"&gt;"&amp;M977)+COUNTIF($M$954:M977,M977)</f>
        <v>40</v>
      </c>
      <c r="O977" s="1">
        <f>J977+L977+IF(N977&lt;=I977-SUM($J$954:$J$1009)-SUM($L$954:$L$1009),1,0)</f>
        <v>13</v>
      </c>
    </row>
    <row r="978" spans="1:15">
      <c r="A978" s="1" t="s">
        <v>68</v>
      </c>
      <c r="B978" s="1" t="s">
        <v>70</v>
      </c>
      <c r="C978" s="1" t="s">
        <v>38</v>
      </c>
      <c r="D978" s="1" t="s">
        <v>49</v>
      </c>
      <c r="E978" s="1" t="s">
        <v>47</v>
      </c>
      <c r="F978" s="1" t="s">
        <v>41</v>
      </c>
      <c r="G978" s="1">
        <v>78656</v>
      </c>
      <c r="H978" s="1">
        <f>'1_Departamento_n'!C19</f>
        <v>2765132</v>
      </c>
      <c r="I978" s="1">
        <f>'1_Departamento_n'!H19</f>
        <v>1313</v>
      </c>
      <c r="J978" s="1">
        <f>'0_Parametros'!B7</f>
        <v>10</v>
      </c>
      <c r="K978" s="3">
        <f>(I978-SUM($J$954:$J$1009))*G978/H978</f>
        <v>21.419580692711957</v>
      </c>
      <c r="L978" s="1">
        <f>INT(K978)</f>
        <v>21</v>
      </c>
      <c r="M978" s="3">
        <f>K978-L978</f>
        <v>0.41958069271195697</v>
      </c>
      <c r="N978" s="1">
        <f>COUNTIF($M$954:$M$1009,"&gt;"&amp;M978)+COUNTIF($M$954:M978,M978)</f>
        <v>32</v>
      </c>
      <c r="O978" s="1">
        <f>J978+L978+IF(N978&lt;=I978-SUM($J$954:$J$1009)-SUM($L$954:$L$1009),1,0)</f>
        <v>31</v>
      </c>
    </row>
    <row r="979" spans="1:15">
      <c r="A979" s="1" t="s">
        <v>68</v>
      </c>
      <c r="B979" s="1" t="s">
        <v>70</v>
      </c>
      <c r="C979" s="1" t="s">
        <v>38</v>
      </c>
      <c r="D979" s="1" t="s">
        <v>49</v>
      </c>
      <c r="E979" s="1" t="s">
        <v>47</v>
      </c>
      <c r="F979" s="1" t="s">
        <v>42</v>
      </c>
      <c r="G979" s="1">
        <v>9664</v>
      </c>
      <c r="H979" s="1">
        <f>'1_Departamento_n'!C19</f>
        <v>2765132</v>
      </c>
      <c r="I979" s="1">
        <f>'1_Departamento_n'!H19</f>
        <v>1313</v>
      </c>
      <c r="J979" s="1">
        <f>'0_Parametros'!B7</f>
        <v>10</v>
      </c>
      <c r="K979" s="3">
        <f>(I979-SUM($J$954:$J$1009))*G979/H979</f>
        <v>2.6316978719279946</v>
      </c>
      <c r="L979" s="1">
        <f>INT(K979)</f>
        <v>2</v>
      </c>
      <c r="M979" s="3">
        <f>K979-L979</f>
        <v>0.6316978719279946</v>
      </c>
      <c r="N979" s="1">
        <f>COUNTIF($M$954:$M$1009,"&gt;"&amp;M979)+COUNTIF($M$954:M979,M979)</f>
        <v>23</v>
      </c>
      <c r="O979" s="1">
        <f>J979+L979+IF(N979&lt;=I979-SUM($J$954:$J$1009)-SUM($L$954:$L$1009),1,0)</f>
        <v>13</v>
      </c>
    </row>
    <row r="980" spans="1:15">
      <c r="A980" s="1" t="s">
        <v>68</v>
      </c>
      <c r="B980" s="1" t="s">
        <v>70</v>
      </c>
      <c r="C980" s="1" t="s">
        <v>38</v>
      </c>
      <c r="D980" s="1" t="s">
        <v>49</v>
      </c>
      <c r="E980" s="1" t="s">
        <v>48</v>
      </c>
      <c r="F980" s="1" t="s">
        <v>41</v>
      </c>
      <c r="G980" s="1">
        <v>103907</v>
      </c>
      <c r="H980" s="1">
        <f>'1_Departamento_n'!C19</f>
        <v>2765132</v>
      </c>
      <c r="I980" s="1">
        <f>'1_Departamento_n'!H19</f>
        <v>1313</v>
      </c>
      <c r="J980" s="1">
        <f>'0_Parametros'!B7</f>
        <v>10</v>
      </c>
      <c r="K980" s="3">
        <f>(I980-SUM($J$954:$J$1009))*G980/H980</f>
        <v>28.295926198098318</v>
      </c>
      <c r="L980" s="1">
        <f>INT(K980)</f>
        <v>28</v>
      </c>
      <c r="M980" s="3">
        <f>K980-L980</f>
        <v>0.2959261980983179</v>
      </c>
      <c r="N980" s="1">
        <f>COUNTIF($M$954:$M$1009,"&gt;"&amp;M980)+COUNTIF($M$954:M980,M980)</f>
        <v>41</v>
      </c>
      <c r="O980" s="1">
        <f>J980+L980+IF(N980&lt;=I980-SUM($J$954:$J$1009)-SUM($L$954:$L$1009),1,0)</f>
        <v>38</v>
      </c>
    </row>
    <row r="981" spans="1:15">
      <c r="A981" s="1" t="s">
        <v>68</v>
      </c>
      <c r="B981" s="1" t="s">
        <v>70</v>
      </c>
      <c r="C981" s="1" t="s">
        <v>38</v>
      </c>
      <c r="D981" s="1" t="s">
        <v>49</v>
      </c>
      <c r="E981" s="1" t="s">
        <v>48</v>
      </c>
      <c r="F981" s="1" t="s">
        <v>42</v>
      </c>
      <c r="G981" s="1">
        <v>11719</v>
      </c>
      <c r="H981" s="1">
        <f>'1_Departamento_n'!C19</f>
        <v>2765132</v>
      </c>
      <c r="I981" s="1">
        <f>'1_Departamento_n'!H19</f>
        <v>1313</v>
      </c>
      <c r="J981" s="1">
        <f>'0_Parametros'!B7</f>
        <v>10</v>
      </c>
      <c r="K981" s="3">
        <f>(I981-SUM($J$954:$J$1009))*G981/H981</f>
        <v>3.1913149173348687</v>
      </c>
      <c r="L981" s="1">
        <f>INT(K981)</f>
        <v>3</v>
      </c>
      <c r="M981" s="3">
        <f>K981-L981</f>
        <v>0.19131491733486872</v>
      </c>
      <c r="N981" s="1">
        <f>COUNTIF($M$954:$M$1009,"&gt;"&amp;M981)+COUNTIF($M$954:M981,M981)</f>
        <v>47</v>
      </c>
      <c r="O981" s="1">
        <f>J981+L981+IF(N981&lt;=I981-SUM($J$954:$J$1009)-SUM($L$954:$L$1009),1,0)</f>
        <v>13</v>
      </c>
    </row>
    <row r="982" spans="1:15">
      <c r="A982" s="1" t="s">
        <v>68</v>
      </c>
      <c r="B982" s="1" t="s">
        <v>70</v>
      </c>
      <c r="C982" s="1" t="s">
        <v>50</v>
      </c>
      <c r="D982" s="1" t="s">
        <v>39</v>
      </c>
      <c r="E982" s="1" t="s">
        <v>40</v>
      </c>
      <c r="F982" s="1" t="s">
        <v>41</v>
      </c>
      <c r="G982" s="1">
        <v>42874</v>
      </c>
      <c r="H982" s="1">
        <f>'1_Departamento_n'!C19</f>
        <v>2765132</v>
      </c>
      <c r="I982" s="1">
        <f>'1_Departamento_n'!H19</f>
        <v>1313</v>
      </c>
      <c r="J982" s="1">
        <f>'0_Parametros'!B7</f>
        <v>10</v>
      </c>
      <c r="K982" s="3">
        <f>(I982-SUM($J$954:$J$1009))*G982/H982</f>
        <v>11.675436109379227</v>
      </c>
      <c r="L982" s="1">
        <f>INT(K982)</f>
        <v>11</v>
      </c>
      <c r="M982" s="3">
        <f>K982-L982</f>
        <v>0.6754361093792269</v>
      </c>
      <c r="N982" s="1">
        <f>COUNTIF($M$954:$M$1009,"&gt;"&amp;M982)+COUNTIF($M$954:M982,M982)</f>
        <v>20</v>
      </c>
      <c r="O982" s="1">
        <f>J982+L982+IF(N982&lt;=I982-SUM($J$954:$J$1009)-SUM($L$954:$L$1009),1,0)</f>
        <v>22</v>
      </c>
    </row>
    <row r="983" spans="1:15">
      <c r="A983" s="1" t="s">
        <v>68</v>
      </c>
      <c r="B983" s="1" t="s">
        <v>70</v>
      </c>
      <c r="C983" s="1" t="s">
        <v>50</v>
      </c>
      <c r="D983" s="1" t="s">
        <v>39</v>
      </c>
      <c r="E983" s="1" t="s">
        <v>40</v>
      </c>
      <c r="F983" s="1" t="s">
        <v>42</v>
      </c>
      <c r="G983" s="1">
        <v>19543</v>
      </c>
      <c r="H983" s="1">
        <f>'1_Departamento_n'!C19</f>
        <v>2765132</v>
      </c>
      <c r="I983" s="1">
        <f>'1_Departamento_n'!H19</f>
        <v>1313</v>
      </c>
      <c r="J983" s="1">
        <f>'0_Parametros'!B7</f>
        <v>10</v>
      </c>
      <c r="K983" s="3">
        <f>(I983-SUM($J$954:$J$1009))*G983/H983</f>
        <v>5.321944485832865</v>
      </c>
      <c r="L983" s="1">
        <f>INT(K983)</f>
        <v>5</v>
      </c>
      <c r="M983" s="3">
        <f>K983-L983</f>
        <v>0.32194448583286484</v>
      </c>
      <c r="N983" s="1">
        <f>COUNTIF($M$954:$M$1009,"&gt;"&amp;M983)+COUNTIF($M$954:M983,M983)</f>
        <v>38</v>
      </c>
      <c r="O983" s="1">
        <f>J983+L983+IF(N983&lt;=I983-SUM($J$954:$J$1009)-SUM($L$954:$L$1009),1,0)</f>
        <v>15</v>
      </c>
    </row>
    <row r="984" spans="1:15">
      <c r="A984" s="1" t="s">
        <v>68</v>
      </c>
      <c r="B984" s="1" t="s">
        <v>70</v>
      </c>
      <c r="C984" s="1" t="s">
        <v>50</v>
      </c>
      <c r="D984" s="1" t="s">
        <v>39</v>
      </c>
      <c r="E984" s="1" t="s">
        <v>43</v>
      </c>
      <c r="F984" s="1" t="s">
        <v>41</v>
      </c>
      <c r="G984" s="1">
        <v>52386</v>
      </c>
      <c r="H984" s="1">
        <f>'1_Departamento_n'!C19</f>
        <v>2765132</v>
      </c>
      <c r="I984" s="1">
        <f>'1_Departamento_n'!H19</f>
        <v>1313</v>
      </c>
      <c r="J984" s="1">
        <f>'0_Parametros'!B7</f>
        <v>10</v>
      </c>
      <c r="K984" s="3">
        <f>(I984-SUM($J$954:$J$1009))*G984/H984</f>
        <v>14.26574138232822</v>
      </c>
      <c r="L984" s="1">
        <f>INT(K984)</f>
        <v>14</v>
      </c>
      <c r="M984" s="3">
        <f>K984-L984</f>
        <v>0.26574138232822087</v>
      </c>
      <c r="N984" s="1">
        <f>COUNTIF($M$954:$M$1009,"&gt;"&amp;M984)+COUNTIF($M$954:M984,M984)</f>
        <v>43</v>
      </c>
      <c r="O984" s="1">
        <f>J984+L984+IF(N984&lt;=I984-SUM($J$954:$J$1009)-SUM($L$954:$L$1009),1,0)</f>
        <v>24</v>
      </c>
    </row>
    <row r="985" spans="1:15">
      <c r="A985" s="1" t="s">
        <v>68</v>
      </c>
      <c r="B985" s="1" t="s">
        <v>70</v>
      </c>
      <c r="C985" s="1" t="s">
        <v>50</v>
      </c>
      <c r="D985" s="1" t="s">
        <v>39</v>
      </c>
      <c r="E985" s="1" t="s">
        <v>43</v>
      </c>
      <c r="F985" s="1" t="s">
        <v>42</v>
      </c>
      <c r="G985" s="1">
        <v>25505</v>
      </c>
      <c r="H985" s="1">
        <f>'1_Departamento_n'!C19</f>
        <v>2765132</v>
      </c>
      <c r="I985" s="1">
        <f>'1_Departamento_n'!H19</f>
        <v>1313</v>
      </c>
      <c r="J985" s="1">
        <f>'0_Parametros'!B7</f>
        <v>10</v>
      </c>
      <c r="K985" s="3">
        <f>(I985-SUM($J$954:$J$1009))*G985/H985</f>
        <v>6.945514716838111</v>
      </c>
      <c r="L985" s="1">
        <f>INT(K985)</f>
        <v>6</v>
      </c>
      <c r="M985" s="3">
        <f>K985-L985</f>
        <v>0.9455147168381108</v>
      </c>
      <c r="N985" s="1">
        <f>COUNTIF($M$954:$M$1009,"&gt;"&amp;M985)+COUNTIF($M$954:M985,M985)</f>
        <v>4</v>
      </c>
      <c r="O985" s="1">
        <f>J985+L985+IF(N985&lt;=I985-SUM($J$954:$J$1009)-SUM($L$954:$L$1009),1,0)</f>
        <v>17</v>
      </c>
    </row>
    <row r="986" spans="1:15">
      <c r="A986" s="1" t="s">
        <v>68</v>
      </c>
      <c r="B986" s="1" t="s">
        <v>70</v>
      </c>
      <c r="C986" s="1" t="s">
        <v>50</v>
      </c>
      <c r="D986" s="1" t="s">
        <v>39</v>
      </c>
      <c r="E986" s="1" t="s">
        <v>44</v>
      </c>
      <c r="F986" s="1" t="s">
        <v>41</v>
      </c>
      <c r="G986" s="1">
        <v>60883</v>
      </c>
      <c r="H986" s="1">
        <f>'1_Departamento_n'!C19</f>
        <v>2765132</v>
      </c>
      <c r="I986" s="1">
        <f>'1_Departamento_n'!H19</f>
        <v>1313</v>
      </c>
      <c r="J986" s="1">
        <f>'0_Parametros'!B7</f>
        <v>10</v>
      </c>
      <c r="K986" s="3">
        <f>(I986-SUM($J$954:$J$1009))*G986/H986</f>
        <v>16.57964212920034</v>
      </c>
      <c r="L986" s="1">
        <f>INT(K986)</f>
        <v>16</v>
      </c>
      <c r="M986" s="3">
        <f>K986-L986</f>
        <v>0.5796421292003409</v>
      </c>
      <c r="N986" s="1">
        <f>COUNTIF($M$954:$M$1009,"&gt;"&amp;M986)+COUNTIF($M$954:M986,M986)</f>
        <v>25</v>
      </c>
      <c r="O986" s="1">
        <f>J986+L986+IF(N986&lt;=I986-SUM($J$954:$J$1009)-SUM($L$954:$L$1009),1,0)</f>
        <v>27</v>
      </c>
    </row>
    <row r="987" spans="1:15">
      <c r="A987" s="1" t="s">
        <v>68</v>
      </c>
      <c r="B987" s="1" t="s">
        <v>70</v>
      </c>
      <c r="C987" s="1" t="s">
        <v>50</v>
      </c>
      <c r="D987" s="1" t="s">
        <v>39</v>
      </c>
      <c r="E987" s="1" t="s">
        <v>44</v>
      </c>
      <c r="F987" s="1" t="s">
        <v>42</v>
      </c>
      <c r="G987" s="1">
        <v>23255</v>
      </c>
      <c r="H987" s="1">
        <f>'1_Departamento_n'!C19</f>
        <v>2765132</v>
      </c>
      <c r="I987" s="1">
        <f>'1_Departamento_n'!H19</f>
        <v>1313</v>
      </c>
      <c r="J987" s="1">
        <f>'0_Parametros'!B7</f>
        <v>10</v>
      </c>
      <c r="K987" s="3">
        <f>(I987-SUM($J$954:$J$1009))*G987/H987</f>
        <v>6.332795324056862</v>
      </c>
      <c r="L987" s="1">
        <f>INT(K987)</f>
        <v>6</v>
      </c>
      <c r="M987" s="3">
        <f>K987-L987</f>
        <v>0.3327953240568622</v>
      </c>
      <c r="N987" s="1">
        <f>COUNTIF($M$954:$M$1009,"&gt;"&amp;M987)+COUNTIF($M$954:M987,M987)</f>
        <v>36</v>
      </c>
      <c r="O987" s="1">
        <f>J987+L987+IF(N987&lt;=I987-SUM($J$954:$J$1009)-SUM($L$954:$L$1009),1,0)</f>
        <v>16</v>
      </c>
    </row>
    <row r="988" spans="1:15">
      <c r="A988" s="1" t="s">
        <v>68</v>
      </c>
      <c r="B988" s="1" t="s">
        <v>70</v>
      </c>
      <c r="C988" s="1" t="s">
        <v>50</v>
      </c>
      <c r="D988" s="1" t="s">
        <v>39</v>
      </c>
      <c r="E988" s="1" t="s">
        <v>45</v>
      </c>
      <c r="F988" s="1" t="s">
        <v>41</v>
      </c>
      <c r="G988" s="1">
        <v>53376</v>
      </c>
      <c r="H988" s="1">
        <f>'1_Departamento_n'!C19</f>
        <v>2765132</v>
      </c>
      <c r="I988" s="1">
        <f>'1_Departamento_n'!H19</f>
        <v>1313</v>
      </c>
      <c r="J988" s="1">
        <f>'0_Parametros'!B7</f>
        <v>10</v>
      </c>
      <c r="K988" s="3">
        <f>(I988-SUM($J$954:$J$1009))*G988/H988</f>
        <v>14.53533791515197</v>
      </c>
      <c r="L988" s="1">
        <f>INT(K988)</f>
        <v>14</v>
      </c>
      <c r="M988" s="3">
        <f>K988-L988</f>
        <v>0.5353379151519704</v>
      </c>
      <c r="N988" s="1">
        <f>COUNTIF($M$954:$M$1009,"&gt;"&amp;M988)+COUNTIF($M$954:M988,M988)</f>
        <v>28</v>
      </c>
      <c r="O988" s="1">
        <f>J988+L988+IF(N988&lt;=I988-SUM($J$954:$J$1009)-SUM($L$954:$L$1009),1,0)</f>
        <v>25</v>
      </c>
    </row>
    <row r="989" spans="1:15">
      <c r="A989" s="1" t="s">
        <v>68</v>
      </c>
      <c r="B989" s="1" t="s">
        <v>70</v>
      </c>
      <c r="C989" s="1" t="s">
        <v>50</v>
      </c>
      <c r="D989" s="1" t="s">
        <v>39</v>
      </c>
      <c r="E989" s="1" t="s">
        <v>45</v>
      </c>
      <c r="F989" s="1" t="s">
        <v>42</v>
      </c>
      <c r="G989" s="1">
        <v>20464</v>
      </c>
      <c r="H989" s="1">
        <f>'1_Departamento_n'!C19</f>
        <v>2765132</v>
      </c>
      <c r="I989" s="1">
        <f>'1_Departamento_n'!H19</f>
        <v>1313</v>
      </c>
      <c r="J989" s="1">
        <f>'0_Parametros'!B7</f>
        <v>10</v>
      </c>
      <c r="K989" s="3">
        <f>(I989-SUM($J$954:$J$1009))*G989/H989</f>
        <v>5.5727509572779885</v>
      </c>
      <c r="L989" s="1">
        <f>INT(K989)</f>
        <v>5</v>
      </c>
      <c r="M989" s="3">
        <f>K989-L989</f>
        <v>0.5727509572779885</v>
      </c>
      <c r="N989" s="1">
        <f>COUNTIF($M$954:$M$1009,"&gt;"&amp;M989)+COUNTIF($M$954:M989,M989)</f>
        <v>27</v>
      </c>
      <c r="O989" s="1">
        <f>J989+L989+IF(N989&lt;=I989-SUM($J$954:$J$1009)-SUM($L$954:$L$1009),1,0)</f>
        <v>16</v>
      </c>
    </row>
    <row r="990" spans="1:15">
      <c r="A990" s="1" t="s">
        <v>68</v>
      </c>
      <c r="B990" s="1" t="s">
        <v>70</v>
      </c>
      <c r="C990" s="1" t="s">
        <v>50</v>
      </c>
      <c r="D990" s="1" t="s">
        <v>39</v>
      </c>
      <c r="E990" s="1" t="s">
        <v>46</v>
      </c>
      <c r="F990" s="1" t="s">
        <v>41</v>
      </c>
      <c r="G990" s="1">
        <v>46172</v>
      </c>
      <c r="H990" s="1">
        <f>'1_Departamento_n'!C19</f>
        <v>2765132</v>
      </c>
      <c r="I990" s="1">
        <f>'1_Departamento_n'!H19</f>
        <v>1313</v>
      </c>
      <c r="J990" s="1">
        <f>'0_Parametros'!B7</f>
        <v>10</v>
      </c>
      <c r="K990" s="3">
        <f>(I990-SUM($J$954:$J$1009))*G990/H990</f>
        <v>12.573546579331476</v>
      </c>
      <c r="L990" s="1">
        <f>INT(K990)</f>
        <v>12</v>
      </c>
      <c r="M990" s="3">
        <f>K990-L990</f>
        <v>0.5735465793314756</v>
      </c>
      <c r="N990" s="1">
        <f>COUNTIF($M$954:$M$1009,"&gt;"&amp;M990)+COUNTIF($M$954:M990,M990)</f>
        <v>26</v>
      </c>
      <c r="O990" s="1">
        <f>J990+L990+IF(N990&lt;=I990-SUM($J$954:$J$1009)-SUM($L$954:$L$1009),1,0)</f>
        <v>23</v>
      </c>
    </row>
    <row r="991" spans="1:15">
      <c r="A991" s="1" t="s">
        <v>68</v>
      </c>
      <c r="B991" s="1" t="s">
        <v>70</v>
      </c>
      <c r="C991" s="1" t="s">
        <v>50</v>
      </c>
      <c r="D991" s="1" t="s">
        <v>39</v>
      </c>
      <c r="E991" s="1" t="s">
        <v>46</v>
      </c>
      <c r="F991" s="1" t="s">
        <v>42</v>
      </c>
      <c r="G991" s="1">
        <v>20805</v>
      </c>
      <c r="H991" s="1">
        <f>'1_Departamento_n'!C19</f>
        <v>2765132</v>
      </c>
      <c r="I991" s="1">
        <f>'1_Departamento_n'!H19</f>
        <v>1313</v>
      </c>
      <c r="J991" s="1">
        <f>'0_Parametros'!B7</f>
        <v>10</v>
      </c>
      <c r="K991" s="3">
        <f>(I991-SUM($J$954:$J$1009))*G991/H991</f>
        <v>5.665611985250614</v>
      </c>
      <c r="L991" s="1">
        <f>INT(K991)</f>
        <v>5</v>
      </c>
      <c r="M991" s="3">
        <f>K991-L991</f>
        <v>0.6656119852506137</v>
      </c>
      <c r="N991" s="1">
        <f>COUNTIF($M$954:$M$1009,"&gt;"&amp;M991)+COUNTIF($M$954:M991,M991)</f>
        <v>21</v>
      </c>
      <c r="O991" s="1">
        <f>J991+L991+IF(N991&lt;=I991-SUM($J$954:$J$1009)-SUM($L$954:$L$1009),1,0)</f>
        <v>16</v>
      </c>
    </row>
    <row r="992" spans="1:15">
      <c r="A992" s="1" t="s">
        <v>68</v>
      </c>
      <c r="B992" s="1" t="s">
        <v>70</v>
      </c>
      <c r="C992" s="1" t="s">
        <v>50</v>
      </c>
      <c r="D992" s="1" t="s">
        <v>39</v>
      </c>
      <c r="E992" s="1" t="s">
        <v>47</v>
      </c>
      <c r="F992" s="1" t="s">
        <v>41</v>
      </c>
      <c r="G992" s="1">
        <v>43979</v>
      </c>
      <c r="H992" s="1">
        <f>'1_Departamento_n'!C19</f>
        <v>2765132</v>
      </c>
      <c r="I992" s="1">
        <f>'1_Departamento_n'!H19</f>
        <v>1313</v>
      </c>
      <c r="J992" s="1">
        <f>'0_Parametros'!B7</f>
        <v>10</v>
      </c>
      <c r="K992" s="3">
        <f>(I992-SUM($J$954:$J$1009))*G992/H992</f>
        <v>11.976349411167352</v>
      </c>
      <c r="L992" s="1">
        <f>INT(K992)</f>
        <v>11</v>
      </c>
      <c r="M992" s="3">
        <f>K992-L992</f>
        <v>0.9763494111673516</v>
      </c>
      <c r="N992" s="1">
        <f>COUNTIF($M$954:$M$1009,"&gt;"&amp;M992)+COUNTIF($M$954:M992,M992)</f>
        <v>1</v>
      </c>
      <c r="O992" s="1">
        <f>J992+L992+IF(N992&lt;=I992-SUM($J$954:$J$1009)-SUM($L$954:$L$1009),1,0)</f>
        <v>22</v>
      </c>
    </row>
    <row r="993" spans="1:15">
      <c r="A993" s="1" t="s">
        <v>68</v>
      </c>
      <c r="B993" s="1" t="s">
        <v>70</v>
      </c>
      <c r="C993" s="1" t="s">
        <v>50</v>
      </c>
      <c r="D993" s="1" t="s">
        <v>39</v>
      </c>
      <c r="E993" s="1" t="s">
        <v>47</v>
      </c>
      <c r="F993" s="1" t="s">
        <v>42</v>
      </c>
      <c r="G993" s="1">
        <v>21012</v>
      </c>
      <c r="H993" s="1">
        <f>'1_Departamento_n'!C19</f>
        <v>2765132</v>
      </c>
      <c r="I993" s="1">
        <f>'1_Departamento_n'!H19</f>
        <v>1313</v>
      </c>
      <c r="J993" s="1">
        <f>'0_Parametros'!B7</f>
        <v>10</v>
      </c>
      <c r="K993" s="3">
        <f>(I993-SUM($J$954:$J$1009))*G993/H993</f>
        <v>5.7219821693864885</v>
      </c>
      <c r="L993" s="1">
        <f>INT(K993)</f>
        <v>5</v>
      </c>
      <c r="M993" s="3">
        <f>K993-L993</f>
        <v>0.7219821693864885</v>
      </c>
      <c r="N993" s="1">
        <f>COUNTIF($M$954:$M$1009,"&gt;"&amp;M993)+COUNTIF($M$954:M993,M993)</f>
        <v>18</v>
      </c>
      <c r="O993" s="1">
        <f>J993+L993+IF(N993&lt;=I993-SUM($J$954:$J$1009)-SUM($L$954:$L$1009),1,0)</f>
        <v>16</v>
      </c>
    </row>
    <row r="994" spans="1:15">
      <c r="A994" s="1" t="s">
        <v>68</v>
      </c>
      <c r="B994" s="1" t="s">
        <v>70</v>
      </c>
      <c r="C994" s="1" t="s">
        <v>50</v>
      </c>
      <c r="D994" s="1" t="s">
        <v>39</v>
      </c>
      <c r="E994" s="1" t="s">
        <v>48</v>
      </c>
      <c r="F994" s="1" t="s">
        <v>41</v>
      </c>
      <c r="G994" s="1">
        <v>69306</v>
      </c>
      <c r="H994" s="1">
        <f>'1_Departamento_n'!C19</f>
        <v>2765132</v>
      </c>
      <c r="I994" s="1">
        <f>'1_Departamento_n'!H19</f>
        <v>1313</v>
      </c>
      <c r="J994" s="1">
        <f>'0_Parametros'!B7</f>
        <v>10</v>
      </c>
      <c r="K994" s="3">
        <f>(I994-SUM($J$954:$J$1009))*G994/H994</f>
        <v>18.873391216043213</v>
      </c>
      <c r="L994" s="1">
        <f>INT(K994)</f>
        <v>18</v>
      </c>
      <c r="M994" s="3">
        <f>K994-L994</f>
        <v>0.8733912160432133</v>
      </c>
      <c r="N994" s="1">
        <f>COUNTIF($M$954:$M$1009,"&gt;"&amp;M994)+COUNTIF($M$954:M994,M994)</f>
        <v>9</v>
      </c>
      <c r="O994" s="1">
        <f>J994+L994+IF(N994&lt;=I994-SUM($J$954:$J$1009)-SUM($L$954:$L$1009),1,0)</f>
        <v>29</v>
      </c>
    </row>
    <row r="995" spans="1:15">
      <c r="A995" s="1" t="s">
        <v>68</v>
      </c>
      <c r="B995" s="1" t="s">
        <v>70</v>
      </c>
      <c r="C995" s="1" t="s">
        <v>50</v>
      </c>
      <c r="D995" s="1" t="s">
        <v>39</v>
      </c>
      <c r="E995" s="1" t="s">
        <v>48</v>
      </c>
      <c r="F995" s="1" t="s">
        <v>42</v>
      </c>
      <c r="G995" s="1">
        <v>40239</v>
      </c>
      <c r="H995" s="1">
        <f>'1_Departamento_n'!C19</f>
        <v>2765132</v>
      </c>
      <c r="I995" s="1">
        <f>'1_Departamento_n'!H19</f>
        <v>1313</v>
      </c>
      <c r="J995" s="1">
        <f>'0_Parametros'!B7</f>
        <v>10</v>
      </c>
      <c r="K995" s="3">
        <f>(I995-SUM($J$954:$J$1009))*G995/H995</f>
        <v>10.957873620499853</v>
      </c>
      <c r="L995" s="1">
        <f>INT(K995)</f>
        <v>10</v>
      </c>
      <c r="M995" s="3">
        <f>K995-L995</f>
        <v>0.9578736204998535</v>
      </c>
      <c r="N995" s="1">
        <f>COUNTIF($M$954:$M$1009,"&gt;"&amp;M995)+COUNTIF($M$954:M995,M995)</f>
        <v>3</v>
      </c>
      <c r="O995" s="1">
        <f>J995+L995+IF(N995&lt;=I995-SUM($J$954:$J$1009)-SUM($L$954:$L$1009),1,0)</f>
        <v>21</v>
      </c>
    </row>
    <row r="996" spans="1:15">
      <c r="A996" s="1" t="s">
        <v>68</v>
      </c>
      <c r="B996" s="1" t="s">
        <v>70</v>
      </c>
      <c r="C996" s="1" t="s">
        <v>50</v>
      </c>
      <c r="D996" s="1" t="s">
        <v>49</v>
      </c>
      <c r="E996" s="1" t="s">
        <v>40</v>
      </c>
      <c r="F996" s="1" t="s">
        <v>41</v>
      </c>
      <c r="G996" s="1">
        <v>45281</v>
      </c>
      <c r="H996" s="1">
        <f>'1_Departamento_n'!C19</f>
        <v>2765132</v>
      </c>
      <c r="I996" s="1">
        <f>'1_Departamento_n'!H19</f>
        <v>1313</v>
      </c>
      <c r="J996" s="1">
        <f>'0_Parametros'!B7</f>
        <v>10</v>
      </c>
      <c r="K996" s="3">
        <f>(I996-SUM($J$954:$J$1009))*G996/H996</f>
        <v>12.3309096997901</v>
      </c>
      <c r="L996" s="1">
        <f>INT(K996)</f>
        <v>12</v>
      </c>
      <c r="M996" s="3">
        <f>K996-L996</f>
        <v>0.33090969979009976</v>
      </c>
      <c r="N996" s="1">
        <f>COUNTIF($M$954:$M$1009,"&gt;"&amp;M996)+COUNTIF($M$954:M996,M996)</f>
        <v>37</v>
      </c>
      <c r="O996" s="1">
        <f>J996+L996+IF(N996&lt;=I996-SUM($J$954:$J$1009)-SUM($L$954:$L$1009),1,0)</f>
        <v>22</v>
      </c>
    </row>
    <row r="997" spans="1:15">
      <c r="A997" s="1" t="s">
        <v>68</v>
      </c>
      <c r="B997" s="1" t="s">
        <v>70</v>
      </c>
      <c r="C997" s="1" t="s">
        <v>50</v>
      </c>
      <c r="D997" s="1" t="s">
        <v>49</v>
      </c>
      <c r="E997" s="1" t="s">
        <v>40</v>
      </c>
      <c r="F997" s="1" t="s">
        <v>42</v>
      </c>
      <c r="G997" s="1">
        <v>20310</v>
      </c>
      <c r="H997" s="1">
        <f>'1_Departamento_n'!C19</f>
        <v>2765132</v>
      </c>
      <c r="I997" s="1">
        <f>'1_Departamento_n'!H19</f>
        <v>1313</v>
      </c>
      <c r="J997" s="1">
        <f>'0_Parametros'!B7</f>
        <v>10</v>
      </c>
      <c r="K997" s="3">
        <f>(I997-SUM($J$954:$J$1009))*G997/H997</f>
        <v>5.530813718838739</v>
      </c>
      <c r="L997" s="1">
        <f>INT(K997)</f>
        <v>5</v>
      </c>
      <c r="M997" s="3">
        <f>K997-L997</f>
        <v>0.530813718838739</v>
      </c>
      <c r="N997" s="1">
        <f>COUNTIF($M$954:$M$1009,"&gt;"&amp;M997)+COUNTIF($M$954:M997,M997)</f>
        <v>29</v>
      </c>
      <c r="O997" s="1">
        <f>J997+L997+IF(N997&lt;=I997-SUM($J$954:$J$1009)-SUM($L$954:$L$1009),1,0)</f>
        <v>16</v>
      </c>
    </row>
    <row r="998" spans="1:15">
      <c r="A998" s="1" t="s">
        <v>68</v>
      </c>
      <c r="B998" s="1" t="s">
        <v>70</v>
      </c>
      <c r="C998" s="1" t="s">
        <v>50</v>
      </c>
      <c r="D998" s="1" t="s">
        <v>49</v>
      </c>
      <c r="E998" s="1" t="s">
        <v>43</v>
      </c>
      <c r="F998" s="1" t="s">
        <v>41</v>
      </c>
      <c r="G998" s="1">
        <v>53822</v>
      </c>
      <c r="H998" s="1">
        <f>'1_Departamento_n'!C19</f>
        <v>2765132</v>
      </c>
      <c r="I998" s="1">
        <f>'1_Departamento_n'!H19</f>
        <v>1313</v>
      </c>
      <c r="J998" s="1">
        <f>'0_Parametros'!B7</f>
        <v>10</v>
      </c>
      <c r="K998" s="3">
        <f>(I998-SUM($J$954:$J$1009))*G998/H998</f>
        <v>14.656792514787721</v>
      </c>
      <c r="L998" s="1">
        <f>INT(K998)</f>
        <v>14</v>
      </c>
      <c r="M998" s="3">
        <f>K998-L998</f>
        <v>0.6567925147877212</v>
      </c>
      <c r="N998" s="1">
        <f>COUNTIF($M$954:$M$1009,"&gt;"&amp;M998)+COUNTIF($M$954:M998,M998)</f>
        <v>22</v>
      </c>
      <c r="O998" s="1">
        <f>J998+L998+IF(N998&lt;=I998-SUM($J$954:$J$1009)-SUM($L$954:$L$1009),1,0)</f>
        <v>25</v>
      </c>
    </row>
    <row r="999" spans="1:15">
      <c r="A999" s="1" t="s">
        <v>68</v>
      </c>
      <c r="B999" s="1" t="s">
        <v>70</v>
      </c>
      <c r="C999" s="1" t="s">
        <v>50</v>
      </c>
      <c r="D999" s="1" t="s">
        <v>49</v>
      </c>
      <c r="E999" s="1" t="s">
        <v>43</v>
      </c>
      <c r="F999" s="1" t="s">
        <v>42</v>
      </c>
      <c r="G999" s="1">
        <v>26099</v>
      </c>
      <c r="H999" s="1">
        <f>'1_Departamento_n'!C19</f>
        <v>2765132</v>
      </c>
      <c r="I999" s="1">
        <f>'1_Departamento_n'!H19</f>
        <v>1313</v>
      </c>
      <c r="J999" s="1">
        <f>'0_Parametros'!B7</f>
        <v>10</v>
      </c>
      <c r="K999" s="3">
        <f>(I999-SUM($J$954:$J$1009))*G999/H999</f>
        <v>7.107272636532361</v>
      </c>
      <c r="L999" s="1">
        <f>INT(K999)</f>
        <v>7</v>
      </c>
      <c r="M999" s="3">
        <f>K999-L999</f>
        <v>0.10727263653236108</v>
      </c>
      <c r="N999" s="1">
        <f>COUNTIF($M$954:$M$1009,"&gt;"&amp;M999)+COUNTIF($M$954:M999,M999)</f>
        <v>49</v>
      </c>
      <c r="O999" s="1">
        <f>J999+L999+IF(N999&lt;=I999-SUM($J$954:$J$1009)-SUM($L$954:$L$1009),1,0)</f>
        <v>17</v>
      </c>
    </row>
    <row r="1000" spans="1:15">
      <c r="A1000" s="1" t="s">
        <v>68</v>
      </c>
      <c r="B1000" s="1" t="s">
        <v>70</v>
      </c>
      <c r="C1000" s="1" t="s">
        <v>50</v>
      </c>
      <c r="D1000" s="1" t="s">
        <v>49</v>
      </c>
      <c r="E1000" s="1" t="s">
        <v>44</v>
      </c>
      <c r="F1000" s="1" t="s">
        <v>41</v>
      </c>
      <c r="G1000" s="1">
        <v>58111</v>
      </c>
      <c r="H1000" s="1">
        <f>'1_Departamento_n'!C19</f>
        <v>2765132</v>
      </c>
      <c r="I1000" s="1">
        <f>'1_Departamento_n'!H19</f>
        <v>1313</v>
      </c>
      <c r="J1000" s="1">
        <f>'0_Parametros'!B7</f>
        <v>10</v>
      </c>
      <c r="K1000" s="3">
        <f>(I1000-SUM($J$954:$J$1009))*G1000/H1000</f>
        <v>15.824771837293843</v>
      </c>
      <c r="L1000" s="1">
        <f>INT(K1000)</f>
        <v>15</v>
      </c>
      <c r="M1000" s="3">
        <f>K1000-L1000</f>
        <v>0.8247718372938433</v>
      </c>
      <c r="N1000" s="1">
        <f>COUNTIF($M$954:$M$1009,"&gt;"&amp;M1000)+COUNTIF($M$954:M1000,M1000)</f>
        <v>15</v>
      </c>
      <c r="O1000" s="1">
        <f>J1000+L1000+IF(N1000&lt;=I1000-SUM($J$954:$J$1009)-SUM($L$954:$L$1009),1,0)</f>
        <v>26</v>
      </c>
    </row>
    <row r="1001" spans="1:15">
      <c r="A1001" s="1" t="s">
        <v>68</v>
      </c>
      <c r="B1001" s="1" t="s">
        <v>70</v>
      </c>
      <c r="C1001" s="1" t="s">
        <v>50</v>
      </c>
      <c r="D1001" s="1" t="s">
        <v>49</v>
      </c>
      <c r="E1001" s="1" t="s">
        <v>44</v>
      </c>
      <c r="F1001" s="1" t="s">
        <v>42</v>
      </c>
      <c r="G1001" s="1">
        <v>21789</v>
      </c>
      <c r="H1001" s="1">
        <f>'1_Departamento_n'!C19</f>
        <v>2765132</v>
      </c>
      <c r="I1001" s="1">
        <f>'1_Departamento_n'!H19</f>
        <v>1313</v>
      </c>
      <c r="J1001" s="1">
        <f>'0_Parametros'!B7</f>
        <v>10</v>
      </c>
      <c r="K1001" s="3">
        <f>(I1001-SUM($J$954:$J$1009))*G1001/H1001</f>
        <v>5.933574599693613</v>
      </c>
      <c r="L1001" s="1">
        <f>INT(K1001)</f>
        <v>5</v>
      </c>
      <c r="M1001" s="3">
        <f>K1001-L1001</f>
        <v>0.9335745996936131</v>
      </c>
      <c r="N1001" s="1">
        <f>COUNTIF($M$954:$M$1009,"&gt;"&amp;M1001)+COUNTIF($M$954:M1001,M1001)</f>
        <v>7</v>
      </c>
      <c r="O1001" s="1">
        <f>J1001+L1001+IF(N1001&lt;=I1001-SUM($J$954:$J$1009)-SUM($L$954:$L$1009),1,0)</f>
        <v>16</v>
      </c>
    </row>
    <row r="1002" spans="1:15">
      <c r="A1002" s="1" t="s">
        <v>68</v>
      </c>
      <c r="B1002" s="1" t="s">
        <v>70</v>
      </c>
      <c r="C1002" s="1" t="s">
        <v>50</v>
      </c>
      <c r="D1002" s="1" t="s">
        <v>49</v>
      </c>
      <c r="E1002" s="1" t="s">
        <v>45</v>
      </c>
      <c r="F1002" s="1" t="s">
        <v>41</v>
      </c>
      <c r="G1002" s="1">
        <v>48025</v>
      </c>
      <c r="H1002" s="1">
        <f>'1_Departamento_n'!C19</f>
        <v>2765132</v>
      </c>
      <c r="I1002" s="1">
        <f>'1_Departamento_n'!H19</f>
        <v>1313</v>
      </c>
      <c r="J1002" s="1">
        <f>'0_Parametros'!B7</f>
        <v>10</v>
      </c>
      <c r="K1002" s="3">
        <f>(I1002-SUM($J$954:$J$1009))*G1002/H1002</f>
        <v>13.0781550392531</v>
      </c>
      <c r="L1002" s="1">
        <f>INT(K1002)</f>
        <v>13</v>
      </c>
      <c r="M1002" s="3">
        <f>K1002-L1002</f>
        <v>0.07815503925309919</v>
      </c>
      <c r="N1002" s="1">
        <f>COUNTIF($M$954:$M$1009,"&gt;"&amp;M1002)+COUNTIF($M$954:M1002,M1002)</f>
        <v>50</v>
      </c>
      <c r="O1002" s="1">
        <f>J1002+L1002+IF(N1002&lt;=I1002-SUM($J$954:$J$1009)-SUM($L$954:$L$1009),1,0)</f>
        <v>23</v>
      </c>
    </row>
    <row r="1003" spans="1:15">
      <c r="A1003" s="1" t="s">
        <v>68</v>
      </c>
      <c r="B1003" s="1" t="s">
        <v>70</v>
      </c>
      <c r="C1003" s="1" t="s">
        <v>50</v>
      </c>
      <c r="D1003" s="1" t="s">
        <v>49</v>
      </c>
      <c r="E1003" s="1" t="s">
        <v>45</v>
      </c>
      <c r="F1003" s="1" t="s">
        <v>42</v>
      </c>
      <c r="G1003" s="1">
        <v>18558</v>
      </c>
      <c r="H1003" s="1">
        <f>'1_Departamento_n'!C19</f>
        <v>2765132</v>
      </c>
      <c r="I1003" s="1">
        <f>'1_Departamento_n'!H19</f>
        <v>1313</v>
      </c>
      <c r="J1003" s="1">
        <f>'0_Parametros'!B7</f>
        <v>10</v>
      </c>
      <c r="K1003" s="3">
        <f>(I1003-SUM($J$954:$J$1009))*G1003/H1003</f>
        <v>5.05370955165974</v>
      </c>
      <c r="L1003" s="1">
        <f>INT(K1003)</f>
        <v>5</v>
      </c>
      <c r="M1003" s="3">
        <f>K1003-L1003</f>
        <v>0.053709551659739674</v>
      </c>
      <c r="N1003" s="1">
        <f>COUNTIF($M$954:$M$1009,"&gt;"&amp;M1003)+COUNTIF($M$954:M1003,M1003)</f>
        <v>52</v>
      </c>
      <c r="O1003" s="1">
        <f>J1003+L1003+IF(N1003&lt;=I1003-SUM($J$954:$J$1009)-SUM($L$954:$L$1009),1,0)</f>
        <v>15</v>
      </c>
    </row>
    <row r="1004" spans="1:15">
      <c r="A1004" s="1" t="s">
        <v>68</v>
      </c>
      <c r="B1004" s="1" t="s">
        <v>70</v>
      </c>
      <c r="C1004" s="1" t="s">
        <v>50</v>
      </c>
      <c r="D1004" s="1" t="s">
        <v>49</v>
      </c>
      <c r="E1004" s="1" t="s">
        <v>46</v>
      </c>
      <c r="F1004" s="1" t="s">
        <v>41</v>
      </c>
      <c r="G1004" s="1">
        <v>39773</v>
      </c>
      <c r="H1004" s="1">
        <f>'1_Departamento_n'!C19</f>
        <v>2765132</v>
      </c>
      <c r="I1004" s="1">
        <f>'1_Departamento_n'!H19</f>
        <v>1313</v>
      </c>
      <c r="J1004" s="1">
        <f>'0_Parametros'!B7</f>
        <v>10</v>
      </c>
      <c r="K1004" s="3">
        <f>(I1004-SUM($J$954:$J$1009))*G1004/H1004</f>
        <v>10.830972626261604</v>
      </c>
      <c r="L1004" s="1">
        <f>INT(K1004)</f>
        <v>10</v>
      </c>
      <c r="M1004" s="3">
        <f>K1004-L1004</f>
        <v>0.8309726262616035</v>
      </c>
      <c r="N1004" s="1">
        <f>COUNTIF($M$954:$M$1009,"&gt;"&amp;M1004)+COUNTIF($M$954:M1004,M1004)</f>
        <v>14</v>
      </c>
      <c r="O1004" s="1">
        <f>J1004+L1004+IF(N1004&lt;=I1004-SUM($J$954:$J$1009)-SUM($L$954:$L$1009),1,0)</f>
        <v>21</v>
      </c>
    </row>
    <row r="1005" spans="1:15">
      <c r="A1005" s="1" t="s">
        <v>68</v>
      </c>
      <c r="B1005" s="1" t="s">
        <v>70</v>
      </c>
      <c r="C1005" s="1" t="s">
        <v>50</v>
      </c>
      <c r="D1005" s="1" t="s">
        <v>49</v>
      </c>
      <c r="E1005" s="1" t="s">
        <v>46</v>
      </c>
      <c r="F1005" s="1" t="s">
        <v>42</v>
      </c>
      <c r="G1005" s="1">
        <v>19050</v>
      </c>
      <c r="H1005" s="1">
        <f>'1_Departamento_n'!C19</f>
        <v>2765132</v>
      </c>
      <c r="I1005" s="1">
        <f>'1_Departamento_n'!H19</f>
        <v>1313</v>
      </c>
      <c r="J1005" s="1">
        <f>'0_Parametros'!B7</f>
        <v>10</v>
      </c>
      <c r="K1005" s="3">
        <f>(I1005-SUM($J$954:$J$1009))*G1005/H1005</f>
        <v>5.18769085888124</v>
      </c>
      <c r="L1005" s="1">
        <f>INT(K1005)</f>
        <v>5</v>
      </c>
      <c r="M1005" s="3">
        <f>K1005-L1005</f>
        <v>0.18769085888123982</v>
      </c>
      <c r="N1005" s="1">
        <f>COUNTIF($M$954:$M$1009,"&gt;"&amp;M1005)+COUNTIF($M$954:M1005,M1005)</f>
        <v>48</v>
      </c>
      <c r="O1005" s="1">
        <f>J1005+L1005+IF(N1005&lt;=I1005-SUM($J$954:$J$1009)-SUM($L$954:$L$1009),1,0)</f>
        <v>15</v>
      </c>
    </row>
    <row r="1006" spans="1:15">
      <c r="A1006" s="1" t="s">
        <v>68</v>
      </c>
      <c r="B1006" s="1" t="s">
        <v>70</v>
      </c>
      <c r="C1006" s="1" t="s">
        <v>50</v>
      </c>
      <c r="D1006" s="1" t="s">
        <v>49</v>
      </c>
      <c r="E1006" s="1" t="s">
        <v>47</v>
      </c>
      <c r="F1006" s="1" t="s">
        <v>41</v>
      </c>
      <c r="G1006" s="1">
        <v>38055</v>
      </c>
      <c r="H1006" s="1">
        <f>'1_Departamento_n'!C19</f>
        <v>2765132</v>
      </c>
      <c r="I1006" s="1">
        <f>'1_Departamento_n'!H19</f>
        <v>1313</v>
      </c>
      <c r="J1006" s="1">
        <f>'0_Parametros'!B7</f>
        <v>10</v>
      </c>
      <c r="K1006" s="3">
        <f>(I1006-SUM($J$954:$J$1009))*G1006/H1006</f>
        <v>10.363127329906854</v>
      </c>
      <c r="L1006" s="1">
        <f>INT(K1006)</f>
        <v>10</v>
      </c>
      <c r="M1006" s="3">
        <f>K1006-L1006</f>
        <v>0.36312732990685426</v>
      </c>
      <c r="N1006" s="1">
        <f>COUNTIF($M$954:$M$1009,"&gt;"&amp;M1006)+COUNTIF($M$954:M1006,M1006)</f>
        <v>35</v>
      </c>
      <c r="O1006" s="1">
        <f>J1006+L1006+IF(N1006&lt;=I1006-SUM($J$954:$J$1009)-SUM($L$954:$L$1009),1,0)</f>
        <v>20</v>
      </c>
    </row>
    <row r="1007" spans="1:15">
      <c r="A1007" s="1" t="s">
        <v>68</v>
      </c>
      <c r="B1007" s="1" t="s">
        <v>70</v>
      </c>
      <c r="C1007" s="1" t="s">
        <v>50</v>
      </c>
      <c r="D1007" s="1" t="s">
        <v>49</v>
      </c>
      <c r="E1007" s="1" t="s">
        <v>47</v>
      </c>
      <c r="F1007" s="1" t="s">
        <v>42</v>
      </c>
      <c r="G1007" s="1">
        <v>22190</v>
      </c>
      <c r="H1007" s="1">
        <f>'1_Departamento_n'!C19</f>
        <v>2765132</v>
      </c>
      <c r="I1007" s="1">
        <f>'1_Departamento_n'!H19</f>
        <v>1313</v>
      </c>
      <c r="J1007" s="1">
        <f>'0_Parametros'!B7</f>
        <v>10</v>
      </c>
      <c r="K1007" s="3">
        <f>(I1007-SUM($J$954:$J$1009))*G1007/H1007</f>
        <v>6.042774811473738</v>
      </c>
      <c r="L1007" s="1">
        <f>INT(K1007)</f>
        <v>6</v>
      </c>
      <c r="M1007" s="3">
        <f>K1007-L1007</f>
        <v>0.04277481147373763</v>
      </c>
      <c r="N1007" s="1">
        <f>COUNTIF($M$954:$M$1009,"&gt;"&amp;M1007)+COUNTIF($M$954:M1007,M1007)</f>
        <v>54</v>
      </c>
      <c r="O1007" s="1">
        <f>J1007+L1007+IF(N1007&lt;=I1007-SUM($J$954:$J$1009)-SUM($L$954:$L$1009),1,0)</f>
        <v>16</v>
      </c>
    </row>
    <row r="1008" spans="1:15">
      <c r="A1008" s="1" t="s">
        <v>68</v>
      </c>
      <c r="B1008" s="1" t="s">
        <v>70</v>
      </c>
      <c r="C1008" s="1" t="s">
        <v>50</v>
      </c>
      <c r="D1008" s="1" t="s">
        <v>49</v>
      </c>
      <c r="E1008" s="1" t="s">
        <v>48</v>
      </c>
      <c r="F1008" s="1" t="s">
        <v>41</v>
      </c>
      <c r="G1008" s="1">
        <v>59535</v>
      </c>
      <c r="H1008" s="1">
        <f>'1_Departamento_n'!C19</f>
        <v>2765132</v>
      </c>
      <c r="I1008" s="1">
        <f>'1_Departamento_n'!H19</f>
        <v>1313</v>
      </c>
      <c r="J1008" s="1">
        <f>'0_Parametros'!B7</f>
        <v>10</v>
      </c>
      <c r="K1008" s="3">
        <f>(I1008-SUM($J$954:$J$1009))*G1008/H1008</f>
        <v>16.21255513299184</v>
      </c>
      <c r="L1008" s="1">
        <f>INT(K1008)</f>
        <v>16</v>
      </c>
      <c r="M1008" s="3">
        <f>K1008-L1008</f>
        <v>0.2125551329918416</v>
      </c>
      <c r="N1008" s="1">
        <f>COUNTIF($M$954:$M$1009,"&gt;"&amp;M1008)+COUNTIF($M$954:M1008,M1008)</f>
        <v>46</v>
      </c>
      <c r="O1008" s="1">
        <f>J1008+L1008+IF(N1008&lt;=I1008-SUM($J$954:$J$1009)-SUM($L$954:$L$1009),1,0)</f>
        <v>26</v>
      </c>
    </row>
    <row r="1009" spans="1:15">
      <c r="A1009" s="1" t="s">
        <v>68</v>
      </c>
      <c r="B1009" s="1" t="s">
        <v>70</v>
      </c>
      <c r="C1009" s="1" t="s">
        <v>50</v>
      </c>
      <c r="D1009" s="1" t="s">
        <v>49</v>
      </c>
      <c r="E1009" s="1" t="s">
        <v>48</v>
      </c>
      <c r="F1009" s="1" t="s">
        <v>42</v>
      </c>
      <c r="G1009" s="1">
        <v>44240</v>
      </c>
      <c r="H1009" s="1">
        <f>'1_Departamento_n'!C19</f>
        <v>2765132</v>
      </c>
      <c r="I1009" s="1">
        <f>'1_Departamento_n'!H19</f>
        <v>1313</v>
      </c>
      <c r="J1009" s="1">
        <f>'0_Parametros'!B7</f>
        <v>10</v>
      </c>
      <c r="K1009" s="3">
        <f>(I1009-SUM($J$954:$J$1009))*G1009/H1009</f>
        <v>12.047424860729976</v>
      </c>
      <c r="L1009" s="1">
        <f>INT(K1009)</f>
        <v>12</v>
      </c>
      <c r="M1009" s="3">
        <f>K1009-L1009</f>
        <v>0.04742486072997565</v>
      </c>
      <c r="N1009" s="1">
        <f>COUNTIF($M$954:$M$1009,"&gt;"&amp;M1009)+COUNTIF($M$954:M1009,M1009)</f>
        <v>53</v>
      </c>
      <c r="O1009" s="1">
        <f>J1009+L1009+IF(N1009&lt;=I1009-SUM($J$954:$J$1009)-SUM($L$954:$L$1009),1,0)</f>
        <v>22</v>
      </c>
    </row>
    <row r="1010" spans="1:15">
      <c r="A1010" s="1" t="s">
        <v>68</v>
      </c>
      <c r="B1010" s="1" t="s">
        <v>71</v>
      </c>
      <c r="C1010" s="1" t="s">
        <v>38</v>
      </c>
      <c r="D1010" s="1" t="s">
        <v>39</v>
      </c>
      <c r="E1010" s="1" t="s">
        <v>40</v>
      </c>
      <c r="F1010" s="1" t="s">
        <v>41</v>
      </c>
      <c r="G1010" s="1">
        <v>20878</v>
      </c>
      <c r="H1010" s="1">
        <f>'1_Departamento_n'!C20</f>
        <v>1080475</v>
      </c>
      <c r="I1010" s="1">
        <f>'1_Departamento_n'!H20</f>
        <v>1312</v>
      </c>
      <c r="J1010" s="1">
        <f>'0_Parametros'!B7</f>
        <v>10</v>
      </c>
      <c r="K1010" s="3">
        <f>(I1010-SUM($J$1010:$J$1065))*G1010/H1010</f>
        <v>14.530883176380758</v>
      </c>
      <c r="L1010" s="1">
        <f>INT(K1010)</f>
        <v>14</v>
      </c>
      <c r="M1010" s="3">
        <f>K1010-L1010</f>
        <v>0.5308831763807582</v>
      </c>
      <c r="N1010" s="1">
        <f>COUNTIF($M$1010:$M$1065,"&gt;"&amp;M1010)+COUNTIF($M$1010:M1010,M1010)</f>
        <v>24</v>
      </c>
      <c r="O1010" s="1">
        <f>J1010+L1010+IF(N1010&lt;=I1010-SUM($J$1010:$J$1065)-SUM($L$1010:$L$1065),1,0)</f>
        <v>25</v>
      </c>
    </row>
    <row r="1011" spans="1:15">
      <c r="A1011" s="1" t="s">
        <v>68</v>
      </c>
      <c r="B1011" s="1" t="s">
        <v>71</v>
      </c>
      <c r="C1011" s="1" t="s">
        <v>38</v>
      </c>
      <c r="D1011" s="1" t="s">
        <v>39</v>
      </c>
      <c r="E1011" s="1" t="s">
        <v>40</v>
      </c>
      <c r="F1011" s="1" t="s">
        <v>42</v>
      </c>
      <c r="G1011" s="1">
        <v>2914</v>
      </c>
      <c r="H1011" s="1">
        <f>'1_Departamento_n'!C20</f>
        <v>1080475</v>
      </c>
      <c r="I1011" s="1">
        <f>'1_Departamento_n'!H20</f>
        <v>1312</v>
      </c>
      <c r="J1011" s="1">
        <f>'0_Parametros'!B7</f>
        <v>10</v>
      </c>
      <c r="K1011" s="3">
        <f>(I1011-SUM($J$1010:$J$1065))*G1011/H1011</f>
        <v>2.028115412202966</v>
      </c>
      <c r="L1011" s="1">
        <f>INT(K1011)</f>
        <v>2</v>
      </c>
      <c r="M1011" s="3">
        <f>K1011-L1011</f>
        <v>0.028115412202966095</v>
      </c>
      <c r="N1011" s="1">
        <f>COUNTIF($M$1010:$M$1065,"&gt;"&amp;M1011)+COUNTIF($M$1010:M1011,M1011)</f>
        <v>54</v>
      </c>
      <c r="O1011" s="1">
        <f>J1011+L1011+IF(N1011&lt;=I1011-SUM($J$1010:$J$1065)-SUM($L$1010:$L$1065),1,0)</f>
        <v>12</v>
      </c>
    </row>
    <row r="1012" spans="1:15">
      <c r="A1012" s="1" t="s">
        <v>68</v>
      </c>
      <c r="B1012" s="1" t="s">
        <v>71</v>
      </c>
      <c r="C1012" s="1" t="s">
        <v>38</v>
      </c>
      <c r="D1012" s="1" t="s">
        <v>39</v>
      </c>
      <c r="E1012" s="1" t="s">
        <v>43</v>
      </c>
      <c r="F1012" s="1" t="s">
        <v>41</v>
      </c>
      <c r="G1012" s="1">
        <v>28070</v>
      </c>
      <c r="H1012" s="1">
        <f>'1_Departamento_n'!C20</f>
        <v>1080475</v>
      </c>
      <c r="I1012" s="1">
        <f>'1_Departamento_n'!H20</f>
        <v>1312</v>
      </c>
      <c r="J1012" s="1">
        <f>'0_Parametros'!B7</f>
        <v>10</v>
      </c>
      <c r="K1012" s="3">
        <f>(I1012-SUM($J$1010:$J$1065))*G1012/H1012</f>
        <v>19.536444619264675</v>
      </c>
      <c r="L1012" s="1">
        <f>INT(K1012)</f>
        <v>19</v>
      </c>
      <c r="M1012" s="3">
        <f>K1012-L1012</f>
        <v>0.5364446192646746</v>
      </c>
      <c r="N1012" s="1">
        <f>COUNTIF($M$1010:$M$1065,"&gt;"&amp;M1012)+COUNTIF($M$1010:M1012,M1012)</f>
        <v>22</v>
      </c>
      <c r="O1012" s="1">
        <f>J1012+L1012+IF(N1012&lt;=I1012-SUM($J$1010:$J$1065)-SUM($L$1010:$L$1065),1,0)</f>
        <v>30</v>
      </c>
    </row>
    <row r="1013" spans="1:15">
      <c r="A1013" s="1" t="s">
        <v>68</v>
      </c>
      <c r="B1013" s="1" t="s">
        <v>71</v>
      </c>
      <c r="C1013" s="1" t="s">
        <v>38</v>
      </c>
      <c r="D1013" s="1" t="s">
        <v>39</v>
      </c>
      <c r="E1013" s="1" t="s">
        <v>43</v>
      </c>
      <c r="F1013" s="1" t="s">
        <v>42</v>
      </c>
      <c r="G1013" s="1">
        <v>2914</v>
      </c>
      <c r="H1013" s="1">
        <f>'1_Departamento_n'!C20</f>
        <v>1080475</v>
      </c>
      <c r="I1013" s="1">
        <f>'1_Departamento_n'!H20</f>
        <v>1312</v>
      </c>
      <c r="J1013" s="1">
        <f>'0_Parametros'!B7</f>
        <v>10</v>
      </c>
      <c r="K1013" s="3">
        <f>(I1013-SUM($J$1010:$J$1065))*G1013/H1013</f>
        <v>2.028115412202966</v>
      </c>
      <c r="L1013" s="1">
        <f>INT(K1013)</f>
        <v>2</v>
      </c>
      <c r="M1013" s="3">
        <f>K1013-L1013</f>
        <v>0.028115412202966095</v>
      </c>
      <c r="N1013" s="1">
        <f>COUNTIF($M$1010:$M$1065,"&gt;"&amp;M1013)+COUNTIF($M$1010:M1013,M1013)</f>
        <v>55</v>
      </c>
      <c r="O1013" s="1">
        <f>J1013+L1013+IF(N1013&lt;=I1013-SUM($J$1010:$J$1065)-SUM($L$1010:$L$1065),1,0)</f>
        <v>12</v>
      </c>
    </row>
    <row r="1014" spans="1:15">
      <c r="A1014" s="1" t="s">
        <v>68</v>
      </c>
      <c r="B1014" s="1" t="s">
        <v>71</v>
      </c>
      <c r="C1014" s="1" t="s">
        <v>38</v>
      </c>
      <c r="D1014" s="1" t="s">
        <v>39</v>
      </c>
      <c r="E1014" s="1" t="s">
        <v>44</v>
      </c>
      <c r="F1014" s="1" t="s">
        <v>41</v>
      </c>
      <c r="G1014" s="1">
        <v>32039</v>
      </c>
      <c r="H1014" s="1">
        <f>'1_Departamento_n'!C20</f>
        <v>1080475</v>
      </c>
      <c r="I1014" s="1">
        <f>'1_Departamento_n'!H20</f>
        <v>1312</v>
      </c>
      <c r="J1014" s="1">
        <f>'0_Parametros'!B7</f>
        <v>10</v>
      </c>
      <c r="K1014" s="3">
        <f>(I1014-SUM($J$1010:$J$1065))*G1014/H1014</f>
        <v>22.298829681390128</v>
      </c>
      <c r="L1014" s="1">
        <f>INT(K1014)</f>
        <v>22</v>
      </c>
      <c r="M1014" s="3">
        <f>K1014-L1014</f>
        <v>0.2988296813901279</v>
      </c>
      <c r="N1014" s="1">
        <f>COUNTIF($M$1010:$M$1065,"&gt;"&amp;M1014)+COUNTIF($M$1010:M1014,M1014)</f>
        <v>37</v>
      </c>
      <c r="O1014" s="1">
        <f>J1014+L1014+IF(N1014&lt;=I1014-SUM($J$1010:$J$1065)-SUM($L$1010:$L$1065),1,0)</f>
        <v>32</v>
      </c>
    </row>
    <row r="1015" spans="1:15">
      <c r="A1015" s="1" t="s">
        <v>68</v>
      </c>
      <c r="B1015" s="1" t="s">
        <v>71</v>
      </c>
      <c r="C1015" s="1" t="s">
        <v>38</v>
      </c>
      <c r="D1015" s="1" t="s">
        <v>39</v>
      </c>
      <c r="E1015" s="1" t="s">
        <v>44</v>
      </c>
      <c r="F1015" s="1" t="s">
        <v>42</v>
      </c>
      <c r="G1015" s="1">
        <v>3852</v>
      </c>
      <c r="H1015" s="1">
        <f>'1_Departamento_n'!C20</f>
        <v>1080475</v>
      </c>
      <c r="I1015" s="1">
        <f>'1_Departamento_n'!H20</f>
        <v>1312</v>
      </c>
      <c r="J1015" s="1">
        <f>'0_Parametros'!B7</f>
        <v>10</v>
      </c>
      <c r="K1015" s="3">
        <f>(I1015-SUM($J$1010:$J$1065))*G1015/H1015</f>
        <v>2.6809542099539554</v>
      </c>
      <c r="L1015" s="1">
        <f>INT(K1015)</f>
        <v>2</v>
      </c>
      <c r="M1015" s="3">
        <f>K1015-L1015</f>
        <v>0.6809542099539554</v>
      </c>
      <c r="N1015" s="1">
        <f>COUNTIF($M$1010:$M$1065,"&gt;"&amp;M1015)+COUNTIF($M$1010:M1015,M1015)</f>
        <v>16</v>
      </c>
      <c r="O1015" s="1">
        <f>J1015+L1015+IF(N1015&lt;=I1015-SUM($J$1010:$J$1065)-SUM($L$1010:$L$1065),1,0)</f>
        <v>13</v>
      </c>
    </row>
    <row r="1016" spans="1:15">
      <c r="A1016" s="1" t="s">
        <v>68</v>
      </c>
      <c r="B1016" s="1" t="s">
        <v>71</v>
      </c>
      <c r="C1016" s="1" t="s">
        <v>38</v>
      </c>
      <c r="D1016" s="1" t="s">
        <v>39</v>
      </c>
      <c r="E1016" s="1" t="s">
        <v>45</v>
      </c>
      <c r="F1016" s="1" t="s">
        <v>41</v>
      </c>
      <c r="G1016" s="1">
        <v>37920</v>
      </c>
      <c r="H1016" s="1">
        <f>'1_Departamento_n'!C20</f>
        <v>1080475</v>
      </c>
      <c r="I1016" s="1">
        <f>'1_Departamento_n'!H20</f>
        <v>1312</v>
      </c>
      <c r="J1016" s="1">
        <f>'0_Parametros'!B7</f>
        <v>10</v>
      </c>
      <c r="K1016" s="3">
        <f>(I1016-SUM($J$1010:$J$1065))*G1016/H1016</f>
        <v>26.39194798583956</v>
      </c>
      <c r="L1016" s="1">
        <f>INT(K1016)</f>
        <v>26</v>
      </c>
      <c r="M1016" s="3">
        <f>K1016-L1016</f>
        <v>0.39194798583956114</v>
      </c>
      <c r="N1016" s="1">
        <f>COUNTIF($M$1010:$M$1065,"&gt;"&amp;M1016)+COUNTIF($M$1010:M1016,M1016)</f>
        <v>34</v>
      </c>
      <c r="O1016" s="1">
        <f>J1016+L1016+IF(N1016&lt;=I1016-SUM($J$1010:$J$1065)-SUM($L$1010:$L$1065),1,0)</f>
        <v>36</v>
      </c>
    </row>
    <row r="1017" spans="1:15">
      <c r="A1017" s="1" t="s">
        <v>68</v>
      </c>
      <c r="B1017" s="1" t="s">
        <v>71</v>
      </c>
      <c r="C1017" s="1" t="s">
        <v>38</v>
      </c>
      <c r="D1017" s="1" t="s">
        <v>39</v>
      </c>
      <c r="E1017" s="1" t="s">
        <v>45</v>
      </c>
      <c r="F1017" s="1" t="s">
        <v>42</v>
      </c>
      <c r="G1017" s="1">
        <v>3768</v>
      </c>
      <c r="H1017" s="1">
        <f>'1_Departamento_n'!C20</f>
        <v>1080475</v>
      </c>
      <c r="I1017" s="1">
        <f>'1_Departamento_n'!H20</f>
        <v>1312</v>
      </c>
      <c r="J1017" s="1">
        <f>'0_Parametros'!B7</f>
        <v>10</v>
      </c>
      <c r="K1017" s="3">
        <f>(I1017-SUM($J$1010:$J$1065))*G1017/H1017</f>
        <v>2.6224910340359564</v>
      </c>
      <c r="L1017" s="1">
        <f>INT(K1017)</f>
        <v>2</v>
      </c>
      <c r="M1017" s="3">
        <f>K1017-L1017</f>
        <v>0.6224910340359564</v>
      </c>
      <c r="N1017" s="1">
        <f>COUNTIF($M$1010:$M$1065,"&gt;"&amp;M1017)+COUNTIF($M$1010:M1017,M1017)</f>
        <v>17</v>
      </c>
      <c r="O1017" s="1">
        <f>J1017+L1017+IF(N1017&lt;=I1017-SUM($J$1010:$J$1065)-SUM($L$1010:$L$1065),1,0)</f>
        <v>13</v>
      </c>
    </row>
    <row r="1018" spans="1:15">
      <c r="A1018" s="1" t="s">
        <v>68</v>
      </c>
      <c r="B1018" s="1" t="s">
        <v>71</v>
      </c>
      <c r="C1018" s="1" t="s">
        <v>38</v>
      </c>
      <c r="D1018" s="1" t="s">
        <v>39</v>
      </c>
      <c r="E1018" s="1" t="s">
        <v>46</v>
      </c>
      <c r="F1018" s="1" t="s">
        <v>41</v>
      </c>
      <c r="G1018" s="1">
        <v>30678</v>
      </c>
      <c r="H1018" s="1">
        <f>'1_Departamento_n'!C20</f>
        <v>1080475</v>
      </c>
      <c r="I1018" s="1">
        <f>'1_Departamento_n'!H20</f>
        <v>1312</v>
      </c>
      <c r="J1018" s="1">
        <f>'0_Parametros'!B7</f>
        <v>10</v>
      </c>
      <c r="K1018" s="3">
        <f>(I1018-SUM($J$1010:$J$1065))*G1018/H1018</f>
        <v>21.351587033480644</v>
      </c>
      <c r="L1018" s="1">
        <f>INT(K1018)</f>
        <v>21</v>
      </c>
      <c r="M1018" s="3">
        <f>K1018-L1018</f>
        <v>0.35158703348064435</v>
      </c>
      <c r="N1018" s="1">
        <f>COUNTIF($M$1010:$M$1065,"&gt;"&amp;M1018)+COUNTIF($M$1010:M1018,M1018)</f>
        <v>35</v>
      </c>
      <c r="O1018" s="1">
        <f>J1018+L1018+IF(N1018&lt;=I1018-SUM($J$1010:$J$1065)-SUM($L$1010:$L$1065),1,0)</f>
        <v>31</v>
      </c>
    </row>
    <row r="1019" spans="1:15">
      <c r="A1019" s="1" t="s">
        <v>68</v>
      </c>
      <c r="B1019" s="1" t="s">
        <v>71</v>
      </c>
      <c r="C1019" s="1" t="s">
        <v>38</v>
      </c>
      <c r="D1019" s="1" t="s">
        <v>39</v>
      </c>
      <c r="E1019" s="1" t="s">
        <v>46</v>
      </c>
      <c r="F1019" s="1" t="s">
        <v>42</v>
      </c>
      <c r="G1019" s="1">
        <v>2468</v>
      </c>
      <c r="H1019" s="1">
        <f>'1_Departamento_n'!C20</f>
        <v>1080475</v>
      </c>
      <c r="I1019" s="1">
        <f>'1_Departamento_n'!H20</f>
        <v>1312</v>
      </c>
      <c r="J1019" s="1">
        <f>'0_Parametros'!B7</f>
        <v>10</v>
      </c>
      <c r="K1019" s="3">
        <f>(I1019-SUM($J$1010:$J$1065))*G1019/H1019</f>
        <v>1.7177037876859715</v>
      </c>
      <c r="L1019" s="1">
        <f>INT(K1019)</f>
        <v>1</v>
      </c>
      <c r="M1019" s="3">
        <f>K1019-L1019</f>
        <v>0.7177037876859715</v>
      </c>
      <c r="N1019" s="1">
        <f>COUNTIF($M$1010:$M$1065,"&gt;"&amp;M1019)+COUNTIF($M$1010:M1019,M1019)</f>
        <v>12</v>
      </c>
      <c r="O1019" s="1">
        <f>J1019+L1019+IF(N1019&lt;=I1019-SUM($J$1010:$J$1065)-SUM($L$1010:$L$1065),1,0)</f>
        <v>12</v>
      </c>
    </row>
    <row r="1020" spans="1:15">
      <c r="A1020" s="1" t="s">
        <v>68</v>
      </c>
      <c r="B1020" s="1" t="s">
        <v>71</v>
      </c>
      <c r="C1020" s="1" t="s">
        <v>38</v>
      </c>
      <c r="D1020" s="1" t="s">
        <v>39</v>
      </c>
      <c r="E1020" s="1" t="s">
        <v>47</v>
      </c>
      <c r="F1020" s="1" t="s">
        <v>41</v>
      </c>
      <c r="G1020" s="1">
        <v>21868</v>
      </c>
      <c r="H1020" s="1">
        <f>'1_Departamento_n'!C20</f>
        <v>1080475</v>
      </c>
      <c r="I1020" s="1">
        <f>'1_Departamento_n'!H20</f>
        <v>1312</v>
      </c>
      <c r="J1020" s="1">
        <f>'0_Parametros'!B7</f>
        <v>10</v>
      </c>
      <c r="K1020" s="3">
        <f>(I1020-SUM($J$1010:$J$1065))*G1020/H1020</f>
        <v>15.219913463985748</v>
      </c>
      <c r="L1020" s="1">
        <f>INT(K1020)</f>
        <v>15</v>
      </c>
      <c r="M1020" s="3">
        <f>K1020-L1020</f>
        <v>0.21991346398574763</v>
      </c>
      <c r="N1020" s="1">
        <f>COUNTIF($M$1010:$M$1065,"&gt;"&amp;M1020)+COUNTIF($M$1010:M1020,M1020)</f>
        <v>45</v>
      </c>
      <c r="O1020" s="1">
        <f>J1020+L1020+IF(N1020&lt;=I1020-SUM($J$1010:$J$1065)-SUM($L$1010:$L$1065),1,0)</f>
        <v>25</v>
      </c>
    </row>
    <row r="1021" spans="1:15">
      <c r="A1021" s="1" t="s">
        <v>68</v>
      </c>
      <c r="B1021" s="1" t="s">
        <v>71</v>
      </c>
      <c r="C1021" s="1" t="s">
        <v>38</v>
      </c>
      <c r="D1021" s="1" t="s">
        <v>39</v>
      </c>
      <c r="E1021" s="1" t="s">
        <v>47</v>
      </c>
      <c r="F1021" s="1" t="s">
        <v>42</v>
      </c>
      <c r="G1021" s="1">
        <v>1483</v>
      </c>
      <c r="H1021" s="1">
        <f>'1_Departamento_n'!C20</f>
        <v>1080475</v>
      </c>
      <c r="I1021" s="1">
        <f>'1_Departamento_n'!H20</f>
        <v>1312</v>
      </c>
      <c r="J1021" s="1">
        <f>'0_Parametros'!B7</f>
        <v>10</v>
      </c>
      <c r="K1021" s="3">
        <f>(I1021-SUM($J$1010:$J$1065))*G1021/H1021</f>
        <v>1.0321534510284829</v>
      </c>
      <c r="L1021" s="1">
        <f>INT(K1021)</f>
        <v>1</v>
      </c>
      <c r="M1021" s="3">
        <f>K1021-L1021</f>
        <v>0.03215345102848288</v>
      </c>
      <c r="N1021" s="1">
        <f>COUNTIF($M$1010:$M$1065,"&gt;"&amp;M1021)+COUNTIF($M$1010:M1021,M1021)</f>
        <v>53</v>
      </c>
      <c r="O1021" s="1">
        <f>J1021+L1021+IF(N1021&lt;=I1021-SUM($J$1010:$J$1065)-SUM($L$1010:$L$1065),1,0)</f>
        <v>11</v>
      </c>
    </row>
    <row r="1022" spans="1:15">
      <c r="A1022" s="1" t="s">
        <v>68</v>
      </c>
      <c r="B1022" s="1" t="s">
        <v>71</v>
      </c>
      <c r="C1022" s="1" t="s">
        <v>38</v>
      </c>
      <c r="D1022" s="1" t="s">
        <v>39</v>
      </c>
      <c r="E1022" s="1" t="s">
        <v>48</v>
      </c>
      <c r="F1022" s="1" t="s">
        <v>41</v>
      </c>
      <c r="G1022" s="1">
        <v>29994</v>
      </c>
      <c r="H1022" s="1">
        <f>'1_Departamento_n'!C20</f>
        <v>1080475</v>
      </c>
      <c r="I1022" s="1">
        <f>'1_Departamento_n'!H20</f>
        <v>1312</v>
      </c>
      <c r="J1022" s="1">
        <f>'0_Parametros'!B7</f>
        <v>10</v>
      </c>
      <c r="K1022" s="3">
        <f>(I1022-SUM($J$1010:$J$1065))*G1022/H1022</f>
        <v>20.875529743862653</v>
      </c>
      <c r="L1022" s="1">
        <f>INT(K1022)</f>
        <v>20</v>
      </c>
      <c r="M1022" s="3">
        <f>K1022-L1022</f>
        <v>0.8755297438626535</v>
      </c>
      <c r="N1022" s="1">
        <f>COUNTIF($M$1010:$M$1065,"&gt;"&amp;M1022)+COUNTIF($M$1010:M1022,M1022)</f>
        <v>6</v>
      </c>
      <c r="O1022" s="1">
        <f>J1022+L1022+IF(N1022&lt;=I1022-SUM($J$1010:$J$1065)-SUM($L$1010:$L$1065),1,0)</f>
        <v>31</v>
      </c>
    </row>
    <row r="1023" spans="1:15">
      <c r="A1023" s="1" t="s">
        <v>68</v>
      </c>
      <c r="B1023" s="1" t="s">
        <v>71</v>
      </c>
      <c r="C1023" s="1" t="s">
        <v>38</v>
      </c>
      <c r="D1023" s="1" t="s">
        <v>39</v>
      </c>
      <c r="E1023" s="1" t="s">
        <v>48</v>
      </c>
      <c r="F1023" s="1" t="s">
        <v>42</v>
      </c>
      <c r="G1023" s="1">
        <v>1333</v>
      </c>
      <c r="H1023" s="1">
        <f>'1_Departamento_n'!C20</f>
        <v>1080475</v>
      </c>
      <c r="I1023" s="1">
        <f>'1_Departamento_n'!H20</f>
        <v>1312</v>
      </c>
      <c r="J1023" s="1">
        <f>'0_Parametros'!B7</f>
        <v>10</v>
      </c>
      <c r="K1023" s="3">
        <f>(I1023-SUM($J$1010:$J$1065))*G1023/H1023</f>
        <v>0.9277549226034846</v>
      </c>
      <c r="L1023" s="1">
        <f>INT(K1023)</f>
        <v>0</v>
      </c>
      <c r="M1023" s="3">
        <f>K1023-L1023</f>
        <v>0.9277549226034846</v>
      </c>
      <c r="N1023" s="1">
        <f>COUNTIF($M$1010:$M$1065,"&gt;"&amp;M1023)+COUNTIF($M$1010:M1023,M1023)</f>
        <v>2</v>
      </c>
      <c r="O1023" s="1">
        <f>J1023+L1023+IF(N1023&lt;=I1023-SUM($J$1010:$J$1065)-SUM($L$1010:$L$1065),1,0)</f>
        <v>11</v>
      </c>
    </row>
    <row r="1024" spans="1:15">
      <c r="A1024" s="1" t="s">
        <v>68</v>
      </c>
      <c r="B1024" s="1" t="s">
        <v>71</v>
      </c>
      <c r="C1024" s="1" t="s">
        <v>38</v>
      </c>
      <c r="D1024" s="1" t="s">
        <v>49</v>
      </c>
      <c r="E1024" s="1" t="s">
        <v>40</v>
      </c>
      <c r="F1024" s="1" t="s">
        <v>41</v>
      </c>
      <c r="G1024" s="1">
        <v>21907</v>
      </c>
      <c r="H1024" s="1">
        <f>'1_Departamento_n'!C20</f>
        <v>1080475</v>
      </c>
      <c r="I1024" s="1">
        <f>'1_Departamento_n'!H20</f>
        <v>1312</v>
      </c>
      <c r="J1024" s="1">
        <f>'0_Parametros'!B7</f>
        <v>10</v>
      </c>
      <c r="K1024" s="3">
        <f>(I1024-SUM($J$1010:$J$1065))*G1024/H1024</f>
        <v>15.247057081376246</v>
      </c>
      <c r="L1024" s="1">
        <f>INT(K1024)</f>
        <v>15</v>
      </c>
      <c r="M1024" s="3">
        <f>K1024-L1024</f>
        <v>0.24705708137624605</v>
      </c>
      <c r="N1024" s="1">
        <f>COUNTIF($M$1010:$M$1065,"&gt;"&amp;M1024)+COUNTIF($M$1010:M1024,M1024)</f>
        <v>42</v>
      </c>
      <c r="O1024" s="1">
        <f>J1024+L1024+IF(N1024&lt;=I1024-SUM($J$1010:$J$1065)-SUM($L$1010:$L$1065),1,0)</f>
        <v>25</v>
      </c>
    </row>
    <row r="1025" spans="1:15">
      <c r="A1025" s="1" t="s">
        <v>68</v>
      </c>
      <c r="B1025" s="1" t="s">
        <v>71</v>
      </c>
      <c r="C1025" s="1" t="s">
        <v>38</v>
      </c>
      <c r="D1025" s="1" t="s">
        <v>49</v>
      </c>
      <c r="E1025" s="1" t="s">
        <v>40</v>
      </c>
      <c r="F1025" s="1" t="s">
        <v>42</v>
      </c>
      <c r="G1025" s="1">
        <v>3087</v>
      </c>
      <c r="H1025" s="1">
        <f>'1_Departamento_n'!C20</f>
        <v>1080475</v>
      </c>
      <c r="I1025" s="1">
        <f>'1_Departamento_n'!H20</f>
        <v>1312</v>
      </c>
      <c r="J1025" s="1">
        <f>'0_Parametros'!B7</f>
        <v>10</v>
      </c>
      <c r="K1025" s="3">
        <f>(I1025-SUM($J$1010:$J$1065))*G1025/H1025</f>
        <v>2.1485217149864644</v>
      </c>
      <c r="L1025" s="1">
        <f>INT(K1025)</f>
        <v>2</v>
      </c>
      <c r="M1025" s="3">
        <f>K1025-L1025</f>
        <v>0.14852171498646438</v>
      </c>
      <c r="N1025" s="1">
        <f>COUNTIF($M$1010:$M$1065,"&gt;"&amp;M1025)+COUNTIF($M$1010:M1025,M1025)</f>
        <v>49</v>
      </c>
      <c r="O1025" s="1">
        <f>J1025+L1025+IF(N1025&lt;=I1025-SUM($J$1010:$J$1065)-SUM($L$1010:$L$1065),1,0)</f>
        <v>12</v>
      </c>
    </row>
    <row r="1026" spans="1:15">
      <c r="A1026" s="1" t="s">
        <v>68</v>
      </c>
      <c r="B1026" s="1" t="s">
        <v>71</v>
      </c>
      <c r="C1026" s="1" t="s">
        <v>38</v>
      </c>
      <c r="D1026" s="1" t="s">
        <v>49</v>
      </c>
      <c r="E1026" s="1" t="s">
        <v>43</v>
      </c>
      <c r="F1026" s="1" t="s">
        <v>41</v>
      </c>
      <c r="G1026" s="1">
        <v>29564</v>
      </c>
      <c r="H1026" s="1">
        <f>'1_Departamento_n'!C20</f>
        <v>1080475</v>
      </c>
      <c r="I1026" s="1">
        <f>'1_Departamento_n'!H20</f>
        <v>1312</v>
      </c>
      <c r="J1026" s="1">
        <f>'0_Parametros'!B7</f>
        <v>10</v>
      </c>
      <c r="K1026" s="3">
        <f>(I1026-SUM($J$1010:$J$1065))*G1026/H1026</f>
        <v>20.57625396237766</v>
      </c>
      <c r="L1026" s="1">
        <f>INT(K1026)</f>
        <v>20</v>
      </c>
      <c r="M1026" s="3">
        <f>K1026-L1026</f>
        <v>0.5762539623776597</v>
      </c>
      <c r="N1026" s="1">
        <f>COUNTIF($M$1010:$M$1065,"&gt;"&amp;M1026)+COUNTIF($M$1010:M1026,M1026)</f>
        <v>20</v>
      </c>
      <c r="O1026" s="1">
        <f>J1026+L1026+IF(N1026&lt;=I1026-SUM($J$1010:$J$1065)-SUM($L$1010:$L$1065),1,0)</f>
        <v>31</v>
      </c>
    </row>
    <row r="1027" spans="1:15">
      <c r="A1027" s="1" t="s">
        <v>68</v>
      </c>
      <c r="B1027" s="1" t="s">
        <v>71</v>
      </c>
      <c r="C1027" s="1" t="s">
        <v>38</v>
      </c>
      <c r="D1027" s="1" t="s">
        <v>49</v>
      </c>
      <c r="E1027" s="1" t="s">
        <v>43</v>
      </c>
      <c r="F1027" s="1" t="s">
        <v>42</v>
      </c>
      <c r="G1027" s="1">
        <v>3188</v>
      </c>
      <c r="H1027" s="1">
        <f>'1_Departamento_n'!C20</f>
        <v>1080475</v>
      </c>
      <c r="I1027" s="1">
        <f>'1_Departamento_n'!H20</f>
        <v>1312</v>
      </c>
      <c r="J1027" s="1">
        <f>'0_Parametros'!B7</f>
        <v>10</v>
      </c>
      <c r="K1027" s="3">
        <f>(I1027-SUM($J$1010:$J$1065))*G1027/H1027</f>
        <v>2.218816724125963</v>
      </c>
      <c r="L1027" s="1">
        <f>INT(K1027)</f>
        <v>2</v>
      </c>
      <c r="M1027" s="3">
        <f>K1027-L1027</f>
        <v>0.2188167241259631</v>
      </c>
      <c r="N1027" s="1">
        <f>COUNTIF($M$1010:$M$1065,"&gt;"&amp;M1027)+COUNTIF($M$1010:M1027,M1027)</f>
        <v>46</v>
      </c>
      <c r="O1027" s="1">
        <f>J1027+L1027+IF(N1027&lt;=I1027-SUM($J$1010:$J$1065)-SUM($L$1010:$L$1065),1,0)</f>
        <v>12</v>
      </c>
    </row>
    <row r="1028" spans="1:15">
      <c r="A1028" s="1" t="s">
        <v>68</v>
      </c>
      <c r="B1028" s="1" t="s">
        <v>71</v>
      </c>
      <c r="C1028" s="1" t="s">
        <v>38</v>
      </c>
      <c r="D1028" s="1" t="s">
        <v>49</v>
      </c>
      <c r="E1028" s="1" t="s">
        <v>44</v>
      </c>
      <c r="F1028" s="1" t="s">
        <v>41</v>
      </c>
      <c r="G1028" s="1">
        <v>35698</v>
      </c>
      <c r="H1028" s="1">
        <f>'1_Departamento_n'!C20</f>
        <v>1080475</v>
      </c>
      <c r="I1028" s="1">
        <f>'1_Departamento_n'!H20</f>
        <v>1312</v>
      </c>
      <c r="J1028" s="1">
        <f>'0_Parametros'!B7</f>
        <v>10</v>
      </c>
      <c r="K1028" s="3">
        <f>(I1028-SUM($J$1010:$J$1065))*G1028/H1028</f>
        <v>24.845457784770588</v>
      </c>
      <c r="L1028" s="1">
        <f>INT(K1028)</f>
        <v>24</v>
      </c>
      <c r="M1028" s="3">
        <f>K1028-L1028</f>
        <v>0.8454577847705878</v>
      </c>
      <c r="N1028" s="1">
        <f>COUNTIF($M$1010:$M$1065,"&gt;"&amp;M1028)+COUNTIF($M$1010:M1028,M1028)</f>
        <v>8</v>
      </c>
      <c r="O1028" s="1">
        <f>J1028+L1028+IF(N1028&lt;=I1028-SUM($J$1010:$J$1065)-SUM($L$1010:$L$1065),1,0)</f>
        <v>35</v>
      </c>
    </row>
    <row r="1029" spans="1:15">
      <c r="A1029" s="1" t="s">
        <v>68</v>
      </c>
      <c r="B1029" s="1" t="s">
        <v>71</v>
      </c>
      <c r="C1029" s="1" t="s">
        <v>38</v>
      </c>
      <c r="D1029" s="1" t="s">
        <v>49</v>
      </c>
      <c r="E1029" s="1" t="s">
        <v>44</v>
      </c>
      <c r="F1029" s="1" t="s">
        <v>42</v>
      </c>
      <c r="G1029" s="1">
        <v>6350</v>
      </c>
      <c r="H1029" s="1">
        <f>'1_Departamento_n'!C20</f>
        <v>1080475</v>
      </c>
      <c r="I1029" s="1">
        <f>'1_Departamento_n'!H20</f>
        <v>1312</v>
      </c>
      <c r="J1029" s="1">
        <f>'0_Parametros'!B7</f>
        <v>10</v>
      </c>
      <c r="K1029" s="3">
        <f>(I1029-SUM($J$1010:$J$1065))*G1029/H1029</f>
        <v>4.419537703324926</v>
      </c>
      <c r="L1029" s="1">
        <f>INT(K1029)</f>
        <v>4</v>
      </c>
      <c r="M1029" s="3">
        <f>K1029-L1029</f>
        <v>0.41953770332492635</v>
      </c>
      <c r="N1029" s="1">
        <f>COUNTIF($M$1010:$M$1065,"&gt;"&amp;M1029)+COUNTIF($M$1010:M1029,M1029)</f>
        <v>31</v>
      </c>
      <c r="O1029" s="1">
        <f>J1029+L1029+IF(N1029&lt;=I1029-SUM($J$1010:$J$1065)-SUM($L$1010:$L$1065),1,0)</f>
        <v>14</v>
      </c>
    </row>
    <row r="1030" spans="1:15">
      <c r="A1030" s="1" t="s">
        <v>68</v>
      </c>
      <c r="B1030" s="1" t="s">
        <v>71</v>
      </c>
      <c r="C1030" s="1" t="s">
        <v>38</v>
      </c>
      <c r="D1030" s="1" t="s">
        <v>49</v>
      </c>
      <c r="E1030" s="1" t="s">
        <v>45</v>
      </c>
      <c r="F1030" s="1" t="s">
        <v>41</v>
      </c>
      <c r="G1030" s="1">
        <v>39894</v>
      </c>
      <c r="H1030" s="1">
        <f>'1_Departamento_n'!C20</f>
        <v>1080475</v>
      </c>
      <c r="I1030" s="1">
        <f>'1_Departamento_n'!H20</f>
        <v>1312</v>
      </c>
      <c r="J1030" s="1">
        <f>'0_Parametros'!B7</f>
        <v>10</v>
      </c>
      <c r="K1030" s="3">
        <f>(I1030-SUM($J$1010:$J$1065))*G1030/H1030</f>
        <v>27.765832619912537</v>
      </c>
      <c r="L1030" s="1">
        <f>INT(K1030)</f>
        <v>27</v>
      </c>
      <c r="M1030" s="3">
        <f>K1030-L1030</f>
        <v>0.7658326199125369</v>
      </c>
      <c r="N1030" s="1">
        <f>COUNTIF($M$1010:$M$1065,"&gt;"&amp;M1030)+COUNTIF($M$1010:M1030,M1030)</f>
        <v>10</v>
      </c>
      <c r="O1030" s="1">
        <f>J1030+L1030+IF(N1030&lt;=I1030-SUM($J$1010:$J$1065)-SUM($L$1010:$L$1065),1,0)</f>
        <v>38</v>
      </c>
    </row>
    <row r="1031" spans="1:15">
      <c r="A1031" s="1" t="s">
        <v>68</v>
      </c>
      <c r="B1031" s="1" t="s">
        <v>71</v>
      </c>
      <c r="C1031" s="1" t="s">
        <v>38</v>
      </c>
      <c r="D1031" s="1" t="s">
        <v>49</v>
      </c>
      <c r="E1031" s="1" t="s">
        <v>45</v>
      </c>
      <c r="F1031" s="1" t="s">
        <v>42</v>
      </c>
      <c r="G1031" s="1">
        <v>6117</v>
      </c>
      <c r="H1031" s="1">
        <f>'1_Departamento_n'!C20</f>
        <v>1080475</v>
      </c>
      <c r="I1031" s="1">
        <f>'1_Departamento_n'!H20</f>
        <v>1312</v>
      </c>
      <c r="J1031" s="1">
        <f>'0_Parametros'!B7</f>
        <v>10</v>
      </c>
      <c r="K1031" s="3">
        <f>(I1031-SUM($J$1010:$J$1065))*G1031/H1031</f>
        <v>4.257371989171429</v>
      </c>
      <c r="L1031" s="1">
        <f>INT(K1031)</f>
        <v>4</v>
      </c>
      <c r="M1031" s="3">
        <f>K1031-L1031</f>
        <v>0.2573719891714292</v>
      </c>
      <c r="N1031" s="1">
        <f>COUNTIF($M$1010:$M$1065,"&gt;"&amp;M1031)+COUNTIF($M$1010:M1031,M1031)</f>
        <v>41</v>
      </c>
      <c r="O1031" s="1">
        <f>J1031+L1031+IF(N1031&lt;=I1031-SUM($J$1010:$J$1065)-SUM($L$1010:$L$1065),1,0)</f>
        <v>14</v>
      </c>
    </row>
    <row r="1032" spans="1:15">
      <c r="A1032" s="1" t="s">
        <v>68</v>
      </c>
      <c r="B1032" s="1" t="s">
        <v>71</v>
      </c>
      <c r="C1032" s="1" t="s">
        <v>38</v>
      </c>
      <c r="D1032" s="1" t="s">
        <v>49</v>
      </c>
      <c r="E1032" s="1" t="s">
        <v>46</v>
      </c>
      <c r="F1032" s="1" t="s">
        <v>41</v>
      </c>
      <c r="G1032" s="1">
        <v>32911</v>
      </c>
      <c r="H1032" s="1">
        <f>'1_Departamento_n'!C20</f>
        <v>1080475</v>
      </c>
      <c r="I1032" s="1">
        <f>'1_Departamento_n'!H20</f>
        <v>1312</v>
      </c>
      <c r="J1032" s="1">
        <f>'0_Parametros'!B7</f>
        <v>10</v>
      </c>
      <c r="K1032" s="3">
        <f>(I1032-SUM($J$1010:$J$1065))*G1032/H1032</f>
        <v>22.905733126634118</v>
      </c>
      <c r="L1032" s="1">
        <f>INT(K1032)</f>
        <v>22</v>
      </c>
      <c r="M1032" s="3">
        <f>K1032-L1032</f>
        <v>0.905733126634118</v>
      </c>
      <c r="N1032" s="1">
        <f>COUNTIF($M$1010:$M$1065,"&gt;"&amp;M1032)+COUNTIF($M$1010:M1032,M1032)</f>
        <v>3</v>
      </c>
      <c r="O1032" s="1">
        <f>J1032+L1032+IF(N1032&lt;=I1032-SUM($J$1010:$J$1065)-SUM($L$1010:$L$1065),1,0)</f>
        <v>33</v>
      </c>
    </row>
    <row r="1033" spans="1:15">
      <c r="A1033" s="1" t="s">
        <v>68</v>
      </c>
      <c r="B1033" s="1" t="s">
        <v>71</v>
      </c>
      <c r="C1033" s="1" t="s">
        <v>38</v>
      </c>
      <c r="D1033" s="1" t="s">
        <v>49</v>
      </c>
      <c r="E1033" s="1" t="s">
        <v>46</v>
      </c>
      <c r="F1033" s="1" t="s">
        <v>42</v>
      </c>
      <c r="G1033" s="1">
        <v>4144</v>
      </c>
      <c r="H1033" s="1">
        <f>'1_Departamento_n'!C20</f>
        <v>1080475</v>
      </c>
      <c r="I1033" s="1">
        <f>'1_Departamento_n'!H20</f>
        <v>1312</v>
      </c>
      <c r="J1033" s="1">
        <f>'0_Parametros'!B7</f>
        <v>10</v>
      </c>
      <c r="K1033" s="3">
        <f>(I1033-SUM($J$1010:$J$1065))*G1033/H1033</f>
        <v>2.884183345287952</v>
      </c>
      <c r="L1033" s="1">
        <f>INT(K1033)</f>
        <v>2</v>
      </c>
      <c r="M1033" s="3">
        <f>K1033-L1033</f>
        <v>0.8841833452879522</v>
      </c>
      <c r="N1033" s="1">
        <f>COUNTIF($M$1010:$M$1065,"&gt;"&amp;M1033)+COUNTIF($M$1010:M1033,M1033)</f>
        <v>5</v>
      </c>
      <c r="O1033" s="1">
        <f>J1033+L1033+IF(N1033&lt;=I1033-SUM($J$1010:$J$1065)-SUM($L$1010:$L$1065),1,0)</f>
        <v>13</v>
      </c>
    </row>
    <row r="1034" spans="1:15">
      <c r="A1034" s="1" t="s">
        <v>68</v>
      </c>
      <c r="B1034" s="1" t="s">
        <v>71</v>
      </c>
      <c r="C1034" s="1" t="s">
        <v>38</v>
      </c>
      <c r="D1034" s="1" t="s">
        <v>49</v>
      </c>
      <c r="E1034" s="1" t="s">
        <v>47</v>
      </c>
      <c r="F1034" s="1" t="s">
        <v>41</v>
      </c>
      <c r="G1034" s="1">
        <v>23343</v>
      </c>
      <c r="H1034" s="1">
        <f>'1_Departamento_n'!C20</f>
        <v>1080475</v>
      </c>
      <c r="I1034" s="1">
        <f>'1_Departamento_n'!H20</f>
        <v>1312</v>
      </c>
      <c r="J1034" s="1">
        <f>'0_Parametros'!B7</f>
        <v>10</v>
      </c>
      <c r="K1034" s="3">
        <f>(I1034-SUM($J$1010:$J$1065))*G1034/H1034</f>
        <v>16.24649899349823</v>
      </c>
      <c r="L1034" s="1">
        <f>INT(K1034)</f>
        <v>16</v>
      </c>
      <c r="M1034" s="3">
        <f>K1034-L1034</f>
        <v>0.24649899349822846</v>
      </c>
      <c r="N1034" s="1">
        <f>COUNTIF($M$1010:$M$1065,"&gt;"&amp;M1034)+COUNTIF($M$1010:M1034,M1034)</f>
        <v>43</v>
      </c>
      <c r="O1034" s="1">
        <f>J1034+L1034+IF(N1034&lt;=I1034-SUM($J$1010:$J$1065)-SUM($L$1010:$L$1065),1,0)</f>
        <v>26</v>
      </c>
    </row>
    <row r="1035" spans="1:15">
      <c r="A1035" s="1" t="s">
        <v>68</v>
      </c>
      <c r="B1035" s="1" t="s">
        <v>71</v>
      </c>
      <c r="C1035" s="1" t="s">
        <v>38</v>
      </c>
      <c r="D1035" s="1" t="s">
        <v>49</v>
      </c>
      <c r="E1035" s="1" t="s">
        <v>47</v>
      </c>
      <c r="F1035" s="1" t="s">
        <v>42</v>
      </c>
      <c r="G1035" s="1">
        <v>2731</v>
      </c>
      <c r="H1035" s="1">
        <f>'1_Departamento_n'!C20</f>
        <v>1080475</v>
      </c>
      <c r="I1035" s="1">
        <f>'1_Departamento_n'!H20</f>
        <v>1312</v>
      </c>
      <c r="J1035" s="1">
        <f>'0_Parametros'!B7</f>
        <v>10</v>
      </c>
      <c r="K1035" s="3">
        <f>(I1035-SUM($J$1010:$J$1065))*G1035/H1035</f>
        <v>1.9007492075244683</v>
      </c>
      <c r="L1035" s="1">
        <f>INT(K1035)</f>
        <v>1</v>
      </c>
      <c r="M1035" s="3">
        <f>K1035-L1035</f>
        <v>0.9007492075244683</v>
      </c>
      <c r="N1035" s="1">
        <f>COUNTIF($M$1010:$M$1065,"&gt;"&amp;M1035)+COUNTIF($M$1010:M1035,M1035)</f>
        <v>4</v>
      </c>
      <c r="O1035" s="1">
        <f>J1035+L1035+IF(N1035&lt;=I1035-SUM($J$1010:$J$1065)-SUM($L$1010:$L$1065),1,0)</f>
        <v>12</v>
      </c>
    </row>
    <row r="1036" spans="1:15">
      <c r="A1036" s="1" t="s">
        <v>68</v>
      </c>
      <c r="B1036" s="1" t="s">
        <v>71</v>
      </c>
      <c r="C1036" s="1" t="s">
        <v>38</v>
      </c>
      <c r="D1036" s="1" t="s">
        <v>49</v>
      </c>
      <c r="E1036" s="1" t="s">
        <v>48</v>
      </c>
      <c r="F1036" s="1" t="s">
        <v>41</v>
      </c>
      <c r="G1036" s="1">
        <v>27651</v>
      </c>
      <c r="H1036" s="1">
        <f>'1_Departamento_n'!C20</f>
        <v>1080475</v>
      </c>
      <c r="I1036" s="1">
        <f>'1_Departamento_n'!H20</f>
        <v>1312</v>
      </c>
      <c r="J1036" s="1">
        <f>'0_Parametros'!B7</f>
        <v>10</v>
      </c>
      <c r="K1036" s="3">
        <f>(I1036-SUM($J$1010:$J$1065))*G1036/H1036</f>
        <v>19.24482472986418</v>
      </c>
      <c r="L1036" s="1">
        <f>INT(K1036)</f>
        <v>19</v>
      </c>
      <c r="M1036" s="3">
        <f>K1036-L1036</f>
        <v>0.24482472986418102</v>
      </c>
      <c r="N1036" s="1">
        <f>COUNTIF($M$1010:$M$1065,"&gt;"&amp;M1036)+COUNTIF($M$1010:M1036,M1036)</f>
        <v>44</v>
      </c>
      <c r="O1036" s="1">
        <f>J1036+L1036+IF(N1036&lt;=I1036-SUM($J$1010:$J$1065)-SUM($L$1010:$L$1065),1,0)</f>
        <v>29</v>
      </c>
    </row>
    <row r="1037" spans="1:15">
      <c r="A1037" s="1" t="s">
        <v>68</v>
      </c>
      <c r="B1037" s="1" t="s">
        <v>71</v>
      </c>
      <c r="C1037" s="1" t="s">
        <v>38</v>
      </c>
      <c r="D1037" s="1" t="s">
        <v>49</v>
      </c>
      <c r="E1037" s="1" t="s">
        <v>48</v>
      </c>
      <c r="F1037" s="1" t="s">
        <v>42</v>
      </c>
      <c r="G1037" s="1">
        <v>2053</v>
      </c>
      <c r="H1037" s="1">
        <f>'1_Departamento_n'!C20</f>
        <v>1080475</v>
      </c>
      <c r="I1037" s="1">
        <f>'1_Departamento_n'!H20</f>
        <v>1312</v>
      </c>
      <c r="J1037" s="1">
        <f>'0_Parametros'!B7</f>
        <v>10</v>
      </c>
      <c r="K1037" s="3">
        <f>(I1037-SUM($J$1010:$J$1065))*G1037/H1037</f>
        <v>1.4288678590434762</v>
      </c>
      <c r="L1037" s="1">
        <f>INT(K1037)</f>
        <v>1</v>
      </c>
      <c r="M1037" s="3">
        <f>K1037-L1037</f>
        <v>0.42886785904347624</v>
      </c>
      <c r="N1037" s="1">
        <f>COUNTIF($M$1010:$M$1065,"&gt;"&amp;M1037)+COUNTIF($M$1010:M1037,M1037)</f>
        <v>30</v>
      </c>
      <c r="O1037" s="1">
        <f>J1037+L1037+IF(N1037&lt;=I1037-SUM($J$1010:$J$1065)-SUM($L$1010:$L$1065),1,0)</f>
        <v>11</v>
      </c>
    </row>
    <row r="1038" spans="1:15">
      <c r="A1038" s="1" t="s">
        <v>68</v>
      </c>
      <c r="B1038" s="1" t="s">
        <v>71</v>
      </c>
      <c r="C1038" s="1" t="s">
        <v>50</v>
      </c>
      <c r="D1038" s="1" t="s">
        <v>39</v>
      </c>
      <c r="E1038" s="1" t="s">
        <v>40</v>
      </c>
      <c r="F1038" s="1" t="s">
        <v>41</v>
      </c>
      <c r="G1038" s="1">
        <v>29518</v>
      </c>
      <c r="H1038" s="1">
        <f>'1_Departamento_n'!C20</f>
        <v>1080475</v>
      </c>
      <c r="I1038" s="1">
        <f>'1_Departamento_n'!H20</f>
        <v>1312</v>
      </c>
      <c r="J1038" s="1">
        <f>'0_Parametros'!B7</f>
        <v>10</v>
      </c>
      <c r="K1038" s="3">
        <f>(I1038-SUM($J$1010:$J$1065))*G1038/H1038</f>
        <v>20.544238413660658</v>
      </c>
      <c r="L1038" s="1">
        <f>INT(K1038)</f>
        <v>20</v>
      </c>
      <c r="M1038" s="3">
        <f>K1038-L1038</f>
        <v>0.5442384136606577</v>
      </c>
      <c r="N1038" s="1">
        <f>COUNTIF($M$1010:$M$1065,"&gt;"&amp;M1038)+COUNTIF($M$1010:M1038,M1038)</f>
        <v>21</v>
      </c>
      <c r="O1038" s="1">
        <f>J1038+L1038+IF(N1038&lt;=I1038-SUM($J$1010:$J$1065)-SUM($L$1010:$L$1065),1,0)</f>
        <v>31</v>
      </c>
    </row>
    <row r="1039" spans="1:15">
      <c r="A1039" s="1" t="s">
        <v>68</v>
      </c>
      <c r="B1039" s="1" t="s">
        <v>71</v>
      </c>
      <c r="C1039" s="1" t="s">
        <v>50</v>
      </c>
      <c r="D1039" s="1" t="s">
        <v>39</v>
      </c>
      <c r="E1039" s="1" t="s">
        <v>40</v>
      </c>
      <c r="F1039" s="1" t="s">
        <v>42</v>
      </c>
      <c r="G1039" s="1">
        <v>13792</v>
      </c>
      <c r="H1039" s="1">
        <f>'1_Departamento_n'!C20</f>
        <v>1080475</v>
      </c>
      <c r="I1039" s="1">
        <f>'1_Departamento_n'!H20</f>
        <v>1312</v>
      </c>
      <c r="J1039" s="1">
        <f>'0_Parametros'!B7</f>
        <v>10</v>
      </c>
      <c r="K1039" s="3">
        <f>(I1039-SUM($J$1010:$J$1065))*G1039/H1039</f>
        <v>9.59909669358384</v>
      </c>
      <c r="L1039" s="1">
        <f>INT(K1039)</f>
        <v>9</v>
      </c>
      <c r="M1039" s="3">
        <f>K1039-L1039</f>
        <v>0.5990966935838404</v>
      </c>
      <c r="N1039" s="1">
        <f>COUNTIF($M$1010:$M$1065,"&gt;"&amp;M1039)+COUNTIF($M$1010:M1039,M1039)</f>
        <v>18</v>
      </c>
      <c r="O1039" s="1">
        <f>J1039+L1039+IF(N1039&lt;=I1039-SUM($J$1010:$J$1065)-SUM($L$1010:$L$1065),1,0)</f>
        <v>20</v>
      </c>
    </row>
    <row r="1040" spans="1:15">
      <c r="A1040" s="1" t="s">
        <v>68</v>
      </c>
      <c r="B1040" s="1" t="s">
        <v>71</v>
      </c>
      <c r="C1040" s="1" t="s">
        <v>50</v>
      </c>
      <c r="D1040" s="1" t="s">
        <v>39</v>
      </c>
      <c r="E1040" s="1" t="s">
        <v>43</v>
      </c>
      <c r="F1040" s="1" t="s">
        <v>41</v>
      </c>
      <c r="G1040" s="1">
        <v>37983</v>
      </c>
      <c r="H1040" s="1">
        <f>'1_Departamento_n'!C20</f>
        <v>1080475</v>
      </c>
      <c r="I1040" s="1">
        <f>'1_Departamento_n'!H20</f>
        <v>1312</v>
      </c>
      <c r="J1040" s="1">
        <f>'0_Parametros'!B7</f>
        <v>10</v>
      </c>
      <c r="K1040" s="3">
        <f>(I1040-SUM($J$1010:$J$1065))*G1040/H1040</f>
        <v>26.43579536777806</v>
      </c>
      <c r="L1040" s="1">
        <f>INT(K1040)</f>
        <v>26</v>
      </c>
      <c r="M1040" s="3">
        <f>K1040-L1040</f>
        <v>0.4357953677780593</v>
      </c>
      <c r="N1040" s="1">
        <f>COUNTIF($M$1010:$M$1065,"&gt;"&amp;M1040)+COUNTIF($M$1010:M1040,M1040)</f>
        <v>28</v>
      </c>
      <c r="O1040" s="1">
        <f>J1040+L1040+IF(N1040&lt;=I1040-SUM($J$1010:$J$1065)-SUM($L$1010:$L$1065),1,0)</f>
        <v>36</v>
      </c>
    </row>
    <row r="1041" spans="1:15">
      <c r="A1041" s="1" t="s">
        <v>68</v>
      </c>
      <c r="B1041" s="1" t="s">
        <v>71</v>
      </c>
      <c r="C1041" s="1" t="s">
        <v>50</v>
      </c>
      <c r="D1041" s="1" t="s">
        <v>39</v>
      </c>
      <c r="E1041" s="1" t="s">
        <v>43</v>
      </c>
      <c r="F1041" s="1" t="s">
        <v>42</v>
      </c>
      <c r="G1041" s="1">
        <v>15064</v>
      </c>
      <c r="H1041" s="1">
        <f>'1_Departamento_n'!C20</f>
        <v>1080475</v>
      </c>
      <c r="I1041" s="1">
        <f>'1_Departamento_n'!H20</f>
        <v>1312</v>
      </c>
      <c r="J1041" s="1">
        <f>'0_Parametros'!B7</f>
        <v>10</v>
      </c>
      <c r="K1041" s="3">
        <f>(I1041-SUM($J$1010:$J$1065))*G1041/H1041</f>
        <v>10.484396214627825</v>
      </c>
      <c r="L1041" s="1">
        <f>INT(K1041)</f>
        <v>10</v>
      </c>
      <c r="M1041" s="3">
        <f>K1041-L1041</f>
        <v>0.4843962146278251</v>
      </c>
      <c r="N1041" s="1">
        <f>COUNTIF($M$1010:$M$1065,"&gt;"&amp;M1041)+COUNTIF($M$1010:M1041,M1041)</f>
        <v>25</v>
      </c>
      <c r="O1041" s="1">
        <f>J1041+L1041+IF(N1041&lt;=I1041-SUM($J$1010:$J$1065)-SUM($L$1010:$L$1065),1,0)</f>
        <v>21</v>
      </c>
    </row>
    <row r="1042" spans="1:15">
      <c r="A1042" s="1" t="s">
        <v>68</v>
      </c>
      <c r="B1042" s="1" t="s">
        <v>71</v>
      </c>
      <c r="C1042" s="1" t="s">
        <v>50</v>
      </c>
      <c r="D1042" s="1" t="s">
        <v>39</v>
      </c>
      <c r="E1042" s="1" t="s">
        <v>44</v>
      </c>
      <c r="F1042" s="1" t="s">
        <v>41</v>
      </c>
      <c r="G1042" s="1">
        <v>40497</v>
      </c>
      <c r="H1042" s="1">
        <f>'1_Departamento_n'!C20</f>
        <v>1080475</v>
      </c>
      <c r="I1042" s="1">
        <f>'1_Departamento_n'!H20</f>
        <v>1312</v>
      </c>
      <c r="J1042" s="1">
        <f>'0_Parametros'!B7</f>
        <v>10</v>
      </c>
      <c r="K1042" s="3">
        <f>(I1042-SUM($J$1010:$J$1065))*G1042/H1042</f>
        <v>28.18551470418103</v>
      </c>
      <c r="L1042" s="1">
        <f>INT(K1042)</f>
        <v>28</v>
      </c>
      <c r="M1042" s="3">
        <f>K1042-L1042</f>
        <v>0.18551470418103122</v>
      </c>
      <c r="N1042" s="1">
        <f>COUNTIF($M$1010:$M$1065,"&gt;"&amp;M1042)+COUNTIF($M$1010:M1042,M1042)</f>
        <v>48</v>
      </c>
      <c r="O1042" s="1">
        <f>J1042+L1042+IF(N1042&lt;=I1042-SUM($J$1010:$J$1065)-SUM($L$1010:$L$1065),1,0)</f>
        <v>38</v>
      </c>
    </row>
    <row r="1043" spans="1:15">
      <c r="A1043" s="1" t="s">
        <v>68</v>
      </c>
      <c r="B1043" s="1" t="s">
        <v>71</v>
      </c>
      <c r="C1043" s="1" t="s">
        <v>50</v>
      </c>
      <c r="D1043" s="1" t="s">
        <v>39</v>
      </c>
      <c r="E1043" s="1" t="s">
        <v>44</v>
      </c>
      <c r="F1043" s="1" t="s">
        <v>42</v>
      </c>
      <c r="G1043" s="1">
        <v>13622</v>
      </c>
      <c r="H1043" s="1">
        <f>'1_Departamento_n'!C20</f>
        <v>1080475</v>
      </c>
      <c r="I1043" s="1">
        <f>'1_Departamento_n'!H20</f>
        <v>1312</v>
      </c>
      <c r="J1043" s="1">
        <f>'0_Parametros'!B7</f>
        <v>10</v>
      </c>
      <c r="K1043" s="3">
        <f>(I1043-SUM($J$1010:$J$1065))*G1043/H1043</f>
        <v>9.480778361368843</v>
      </c>
      <c r="L1043" s="1">
        <f>INT(K1043)</f>
        <v>9</v>
      </c>
      <c r="M1043" s="3">
        <f>K1043-L1043</f>
        <v>0.4807783613688432</v>
      </c>
      <c r="N1043" s="1">
        <f>COUNTIF($M$1010:$M$1065,"&gt;"&amp;M1043)+COUNTIF($M$1010:M1043,M1043)</f>
        <v>26</v>
      </c>
      <c r="O1043" s="1">
        <f>J1043+L1043+IF(N1043&lt;=I1043-SUM($J$1010:$J$1065)-SUM($L$1010:$L$1065),1,0)</f>
        <v>20</v>
      </c>
    </row>
    <row r="1044" spans="1:15">
      <c r="A1044" s="1" t="s">
        <v>68</v>
      </c>
      <c r="B1044" s="1" t="s">
        <v>71</v>
      </c>
      <c r="C1044" s="1" t="s">
        <v>50</v>
      </c>
      <c r="D1044" s="1" t="s">
        <v>39</v>
      </c>
      <c r="E1044" s="1" t="s">
        <v>45</v>
      </c>
      <c r="F1044" s="1" t="s">
        <v>41</v>
      </c>
      <c r="G1044" s="1">
        <v>35868</v>
      </c>
      <c r="H1044" s="1">
        <f>'1_Departamento_n'!C20</f>
        <v>1080475</v>
      </c>
      <c r="I1044" s="1">
        <f>'1_Departamento_n'!H20</f>
        <v>1312</v>
      </c>
      <c r="J1044" s="1">
        <f>'0_Parametros'!B7</f>
        <v>10</v>
      </c>
      <c r="K1044" s="3">
        <f>(I1044-SUM($J$1010:$J$1065))*G1044/H1044</f>
        <v>24.963776116985585</v>
      </c>
      <c r="L1044" s="1">
        <f>INT(K1044)</f>
        <v>24</v>
      </c>
      <c r="M1044" s="3">
        <f>K1044-L1044</f>
        <v>0.963776116985585</v>
      </c>
      <c r="N1044" s="1">
        <f>COUNTIF($M$1010:$M$1065,"&gt;"&amp;M1044)+COUNTIF($M$1010:M1044,M1044)</f>
        <v>1</v>
      </c>
      <c r="O1044" s="1">
        <f>J1044+L1044+IF(N1044&lt;=I1044-SUM($J$1010:$J$1065)-SUM($L$1010:$L$1065),1,0)</f>
        <v>35</v>
      </c>
    </row>
    <row r="1045" spans="1:15">
      <c r="A1045" s="1" t="s">
        <v>68</v>
      </c>
      <c r="B1045" s="1" t="s">
        <v>71</v>
      </c>
      <c r="C1045" s="1" t="s">
        <v>50</v>
      </c>
      <c r="D1045" s="1" t="s">
        <v>39</v>
      </c>
      <c r="E1045" s="1" t="s">
        <v>45</v>
      </c>
      <c r="F1045" s="1" t="s">
        <v>42</v>
      </c>
      <c r="G1045" s="1">
        <v>11146</v>
      </c>
      <c r="H1045" s="1">
        <f>'1_Departamento_n'!C20</f>
        <v>1080475</v>
      </c>
      <c r="I1045" s="1">
        <f>'1_Departamento_n'!H20</f>
        <v>1312</v>
      </c>
      <c r="J1045" s="1">
        <f>'0_Parametros'!B7</f>
        <v>10</v>
      </c>
      <c r="K1045" s="3">
        <f>(I1045-SUM($J$1010:$J$1065))*G1045/H1045</f>
        <v>7.757506652166871</v>
      </c>
      <c r="L1045" s="1">
        <f>INT(K1045)</f>
        <v>7</v>
      </c>
      <c r="M1045" s="3">
        <f>K1045-L1045</f>
        <v>0.757506652166871</v>
      </c>
      <c r="N1045" s="1">
        <f>COUNTIF($M$1010:$M$1065,"&gt;"&amp;M1045)+COUNTIF($M$1010:M1045,M1045)</f>
        <v>11</v>
      </c>
      <c r="O1045" s="1">
        <f>J1045+L1045+IF(N1045&lt;=I1045-SUM($J$1010:$J$1065)-SUM($L$1010:$L$1065),1,0)</f>
        <v>18</v>
      </c>
    </row>
    <row r="1046" spans="1:15">
      <c r="A1046" s="1" t="s">
        <v>68</v>
      </c>
      <c r="B1046" s="1" t="s">
        <v>71</v>
      </c>
      <c r="C1046" s="1" t="s">
        <v>50</v>
      </c>
      <c r="D1046" s="1" t="s">
        <v>39</v>
      </c>
      <c r="E1046" s="1" t="s">
        <v>46</v>
      </c>
      <c r="F1046" s="1" t="s">
        <v>41</v>
      </c>
      <c r="G1046" s="1">
        <v>30941</v>
      </c>
      <c r="H1046" s="1">
        <f>'1_Departamento_n'!C20</f>
        <v>1080475</v>
      </c>
      <c r="I1046" s="1">
        <f>'1_Departamento_n'!H20</f>
        <v>1312</v>
      </c>
      <c r="J1046" s="1">
        <f>'0_Parametros'!B7</f>
        <v>10</v>
      </c>
      <c r="K1046" s="3">
        <f>(I1046-SUM($J$1010:$J$1065))*G1046/H1046</f>
        <v>21.53463245331914</v>
      </c>
      <c r="L1046" s="1">
        <f>INT(K1046)</f>
        <v>21</v>
      </c>
      <c r="M1046" s="3">
        <f>K1046-L1046</f>
        <v>0.5346324533191407</v>
      </c>
      <c r="N1046" s="1">
        <f>COUNTIF($M$1010:$M$1065,"&gt;"&amp;M1046)+COUNTIF($M$1010:M1046,M1046)</f>
        <v>23</v>
      </c>
      <c r="O1046" s="1">
        <f>J1046+L1046+IF(N1046&lt;=I1046-SUM($J$1010:$J$1065)-SUM($L$1010:$L$1065),1,0)</f>
        <v>32</v>
      </c>
    </row>
    <row r="1047" spans="1:15">
      <c r="A1047" s="1" t="s">
        <v>68</v>
      </c>
      <c r="B1047" s="1" t="s">
        <v>71</v>
      </c>
      <c r="C1047" s="1" t="s">
        <v>50</v>
      </c>
      <c r="D1047" s="1" t="s">
        <v>39</v>
      </c>
      <c r="E1047" s="1" t="s">
        <v>46</v>
      </c>
      <c r="F1047" s="1" t="s">
        <v>42</v>
      </c>
      <c r="G1047" s="1">
        <v>9454</v>
      </c>
      <c r="H1047" s="1">
        <f>'1_Departamento_n'!C20</f>
        <v>1080475</v>
      </c>
      <c r="I1047" s="1">
        <f>'1_Departamento_n'!H20</f>
        <v>1312</v>
      </c>
      <c r="J1047" s="1">
        <f>'0_Parametros'!B7</f>
        <v>10</v>
      </c>
      <c r="K1047" s="3">
        <f>(I1047-SUM($J$1010:$J$1065))*G1047/H1047</f>
        <v>6.5798912515328905</v>
      </c>
      <c r="L1047" s="1">
        <f>INT(K1047)</f>
        <v>6</v>
      </c>
      <c r="M1047" s="3">
        <f>K1047-L1047</f>
        <v>0.5798912515328905</v>
      </c>
      <c r="N1047" s="1">
        <f>COUNTIF($M$1010:$M$1065,"&gt;"&amp;M1047)+COUNTIF($M$1010:M1047,M1047)</f>
        <v>19</v>
      </c>
      <c r="O1047" s="1">
        <f>J1047+L1047+IF(N1047&lt;=I1047-SUM($J$1010:$J$1065)-SUM($L$1010:$L$1065),1,0)</f>
        <v>17</v>
      </c>
    </row>
    <row r="1048" spans="1:15">
      <c r="A1048" s="1" t="s">
        <v>68</v>
      </c>
      <c r="B1048" s="1" t="s">
        <v>71</v>
      </c>
      <c r="C1048" s="1" t="s">
        <v>50</v>
      </c>
      <c r="D1048" s="1" t="s">
        <v>39</v>
      </c>
      <c r="E1048" s="1" t="s">
        <v>47</v>
      </c>
      <c r="F1048" s="1" t="s">
        <v>41</v>
      </c>
      <c r="G1048" s="1">
        <v>27083</v>
      </c>
      <c r="H1048" s="1">
        <f>'1_Departamento_n'!C20</f>
        <v>1080475</v>
      </c>
      <c r="I1048" s="1">
        <f>'1_Departamento_n'!H20</f>
        <v>1312</v>
      </c>
      <c r="J1048" s="1">
        <f>'0_Parametros'!B7</f>
        <v>10</v>
      </c>
      <c r="K1048" s="3">
        <f>(I1048-SUM($J$1010:$J$1065))*G1048/H1048</f>
        <v>18.849502302228185</v>
      </c>
      <c r="L1048" s="1">
        <f>INT(K1048)</f>
        <v>18</v>
      </c>
      <c r="M1048" s="3">
        <f>K1048-L1048</f>
        <v>0.8495023022281849</v>
      </c>
      <c r="N1048" s="1">
        <f>COUNTIF($M$1010:$M$1065,"&gt;"&amp;M1048)+COUNTIF($M$1010:M1048,M1048)</f>
        <v>7</v>
      </c>
      <c r="O1048" s="1">
        <f>J1048+L1048+IF(N1048&lt;=I1048-SUM($J$1010:$J$1065)-SUM($L$1010:$L$1065),1,0)</f>
        <v>29</v>
      </c>
    </row>
    <row r="1049" spans="1:15">
      <c r="A1049" s="1" t="s">
        <v>68</v>
      </c>
      <c r="B1049" s="1" t="s">
        <v>71</v>
      </c>
      <c r="C1049" s="1" t="s">
        <v>50</v>
      </c>
      <c r="D1049" s="1" t="s">
        <v>39</v>
      </c>
      <c r="E1049" s="1" t="s">
        <v>47</v>
      </c>
      <c r="F1049" s="1" t="s">
        <v>42</v>
      </c>
      <c r="G1049" s="1">
        <v>7748</v>
      </c>
      <c r="H1049" s="1">
        <f>'1_Departamento_n'!C20</f>
        <v>1080475</v>
      </c>
      <c r="I1049" s="1">
        <f>'1_Departamento_n'!H20</f>
        <v>1312</v>
      </c>
      <c r="J1049" s="1">
        <f>'0_Parametros'!B7</f>
        <v>10</v>
      </c>
      <c r="K1049" s="3">
        <f>(I1049-SUM($J$1010:$J$1065))*G1049/H1049</f>
        <v>5.39253198824591</v>
      </c>
      <c r="L1049" s="1">
        <f>INT(K1049)</f>
        <v>5</v>
      </c>
      <c r="M1049" s="3">
        <f>K1049-L1049</f>
        <v>0.39253198824590996</v>
      </c>
      <c r="N1049" s="1">
        <f>COUNTIF($M$1010:$M$1065,"&gt;"&amp;M1049)+COUNTIF($M$1010:M1049,M1049)</f>
        <v>33</v>
      </c>
      <c r="O1049" s="1">
        <f>J1049+L1049+IF(N1049&lt;=I1049-SUM($J$1010:$J$1065)-SUM($L$1010:$L$1065),1,0)</f>
        <v>15</v>
      </c>
    </row>
    <row r="1050" spans="1:15">
      <c r="A1050" s="1" t="s">
        <v>68</v>
      </c>
      <c r="B1050" s="1" t="s">
        <v>71</v>
      </c>
      <c r="C1050" s="1" t="s">
        <v>50</v>
      </c>
      <c r="D1050" s="1" t="s">
        <v>39</v>
      </c>
      <c r="E1050" s="1" t="s">
        <v>48</v>
      </c>
      <c r="F1050" s="1" t="s">
        <v>41</v>
      </c>
      <c r="G1050" s="1">
        <v>36543</v>
      </c>
      <c r="H1050" s="1">
        <f>'1_Departamento_n'!C20</f>
        <v>1080475</v>
      </c>
      <c r="I1050" s="1">
        <f>'1_Departamento_n'!H20</f>
        <v>1312</v>
      </c>
      <c r="J1050" s="1">
        <f>'0_Parametros'!B7</f>
        <v>10</v>
      </c>
      <c r="K1050" s="3">
        <f>(I1050-SUM($J$1010:$J$1065))*G1050/H1050</f>
        <v>25.433569494898077</v>
      </c>
      <c r="L1050" s="1">
        <f>INT(K1050)</f>
        <v>25</v>
      </c>
      <c r="M1050" s="3">
        <f>K1050-L1050</f>
        <v>0.4335694948980766</v>
      </c>
      <c r="N1050" s="1">
        <f>COUNTIF($M$1010:$M$1065,"&gt;"&amp;M1050)+COUNTIF($M$1010:M1050,M1050)</f>
        <v>29</v>
      </c>
      <c r="O1050" s="1">
        <f>J1050+L1050+IF(N1050&lt;=I1050-SUM($J$1010:$J$1065)-SUM($L$1010:$L$1065),1,0)</f>
        <v>35</v>
      </c>
    </row>
    <row r="1051" spans="1:15">
      <c r="A1051" s="1" t="s">
        <v>68</v>
      </c>
      <c r="B1051" s="1" t="s">
        <v>71</v>
      </c>
      <c r="C1051" s="1" t="s">
        <v>50</v>
      </c>
      <c r="D1051" s="1" t="s">
        <v>39</v>
      </c>
      <c r="E1051" s="1" t="s">
        <v>48</v>
      </c>
      <c r="F1051" s="1" t="s">
        <v>42</v>
      </c>
      <c r="G1051" s="1">
        <v>9601</v>
      </c>
      <c r="H1051" s="1">
        <f>'1_Departamento_n'!C20</f>
        <v>1080475</v>
      </c>
      <c r="I1051" s="1">
        <f>'1_Departamento_n'!H20</f>
        <v>1312</v>
      </c>
      <c r="J1051" s="1">
        <f>'0_Parametros'!B7</f>
        <v>10</v>
      </c>
      <c r="K1051" s="3">
        <f>(I1051-SUM($J$1010:$J$1065))*G1051/H1051</f>
        <v>6.682201809389389</v>
      </c>
      <c r="L1051" s="1">
        <f>INT(K1051)</f>
        <v>6</v>
      </c>
      <c r="M1051" s="3">
        <f>K1051-L1051</f>
        <v>0.6822018093893893</v>
      </c>
      <c r="N1051" s="1">
        <f>COUNTIF($M$1010:$M$1065,"&gt;"&amp;M1051)+COUNTIF($M$1010:M1051,M1051)</f>
        <v>15</v>
      </c>
      <c r="O1051" s="1">
        <f>J1051+L1051+IF(N1051&lt;=I1051-SUM($J$1010:$J$1065)-SUM($L$1010:$L$1065),1,0)</f>
        <v>17</v>
      </c>
    </row>
    <row r="1052" spans="1:15">
      <c r="A1052" s="1" t="s">
        <v>68</v>
      </c>
      <c r="B1052" s="1" t="s">
        <v>71</v>
      </c>
      <c r="C1052" s="1" t="s">
        <v>50</v>
      </c>
      <c r="D1052" s="1" t="s">
        <v>49</v>
      </c>
      <c r="E1052" s="1" t="s">
        <v>40</v>
      </c>
      <c r="F1052" s="1" t="s">
        <v>41</v>
      </c>
      <c r="G1052" s="1">
        <v>31333</v>
      </c>
      <c r="H1052" s="1">
        <f>'1_Departamento_n'!C20</f>
        <v>1080475</v>
      </c>
      <c r="I1052" s="1">
        <f>'1_Departamento_n'!H20</f>
        <v>1312</v>
      </c>
      <c r="J1052" s="1">
        <f>'0_Parametros'!B7</f>
        <v>10</v>
      </c>
      <c r="K1052" s="3">
        <f>(I1052-SUM($J$1010:$J$1065))*G1052/H1052</f>
        <v>21.807460607603137</v>
      </c>
      <c r="L1052" s="1">
        <f>INT(K1052)</f>
        <v>21</v>
      </c>
      <c r="M1052" s="3">
        <f>K1052-L1052</f>
        <v>0.8074606076031365</v>
      </c>
      <c r="N1052" s="1">
        <f>COUNTIF($M$1010:$M$1065,"&gt;"&amp;M1052)+COUNTIF($M$1010:M1052,M1052)</f>
        <v>9</v>
      </c>
      <c r="O1052" s="1">
        <f>J1052+L1052+IF(N1052&lt;=I1052-SUM($J$1010:$J$1065)-SUM($L$1010:$L$1065),1,0)</f>
        <v>32</v>
      </c>
    </row>
    <row r="1053" spans="1:15">
      <c r="A1053" s="1" t="s">
        <v>68</v>
      </c>
      <c r="B1053" s="1" t="s">
        <v>71</v>
      </c>
      <c r="C1053" s="1" t="s">
        <v>50</v>
      </c>
      <c r="D1053" s="1" t="s">
        <v>49</v>
      </c>
      <c r="E1053" s="1" t="s">
        <v>40</v>
      </c>
      <c r="F1053" s="1" t="s">
        <v>42</v>
      </c>
      <c r="G1053" s="1">
        <v>14750</v>
      </c>
      <c r="H1053" s="1">
        <f>'1_Departamento_n'!C20</f>
        <v>1080475</v>
      </c>
      <c r="I1053" s="1">
        <f>'1_Departamento_n'!H20</f>
        <v>1312</v>
      </c>
      <c r="J1053" s="1">
        <f>'0_Parametros'!B7</f>
        <v>10</v>
      </c>
      <c r="K1053" s="3">
        <f>(I1053-SUM($J$1010:$J$1065))*G1053/H1053</f>
        <v>10.26585529512483</v>
      </c>
      <c r="L1053" s="1">
        <f>INT(K1053)</f>
        <v>10</v>
      </c>
      <c r="M1053" s="3">
        <f>K1053-L1053</f>
        <v>0.26585529512482964</v>
      </c>
      <c r="N1053" s="1">
        <f>COUNTIF($M$1010:$M$1065,"&gt;"&amp;M1053)+COUNTIF($M$1010:M1053,M1053)</f>
        <v>40</v>
      </c>
      <c r="O1053" s="1">
        <f>J1053+L1053+IF(N1053&lt;=I1053-SUM($J$1010:$J$1065)-SUM($L$1010:$L$1065),1,0)</f>
        <v>20</v>
      </c>
    </row>
    <row r="1054" spans="1:15">
      <c r="A1054" s="1" t="s">
        <v>68</v>
      </c>
      <c r="B1054" s="1" t="s">
        <v>71</v>
      </c>
      <c r="C1054" s="1" t="s">
        <v>50</v>
      </c>
      <c r="D1054" s="1" t="s">
        <v>49</v>
      </c>
      <c r="E1054" s="1" t="s">
        <v>43</v>
      </c>
      <c r="F1054" s="1" t="s">
        <v>41</v>
      </c>
      <c r="G1054" s="1">
        <v>38923</v>
      </c>
      <c r="H1054" s="1">
        <f>'1_Departamento_n'!C20</f>
        <v>1080475</v>
      </c>
      <c r="I1054" s="1">
        <f>'1_Departamento_n'!H20</f>
        <v>1312</v>
      </c>
      <c r="J1054" s="1">
        <f>'0_Parametros'!B7</f>
        <v>10</v>
      </c>
      <c r="K1054" s="3">
        <f>(I1054-SUM($J$1010:$J$1065))*G1054/H1054</f>
        <v>27.09002614590805</v>
      </c>
      <c r="L1054" s="1">
        <f>INT(K1054)</f>
        <v>27</v>
      </c>
      <c r="M1054" s="3">
        <f>K1054-L1054</f>
        <v>0.09002614590804825</v>
      </c>
      <c r="N1054" s="1">
        <f>COUNTIF($M$1010:$M$1065,"&gt;"&amp;M1054)+COUNTIF($M$1010:M1054,M1054)</f>
        <v>52</v>
      </c>
      <c r="O1054" s="1">
        <f>J1054+L1054+IF(N1054&lt;=I1054-SUM($J$1010:$J$1065)-SUM($L$1010:$L$1065),1,0)</f>
        <v>37</v>
      </c>
    </row>
    <row r="1055" spans="1:15">
      <c r="A1055" s="1" t="s">
        <v>68</v>
      </c>
      <c r="B1055" s="1" t="s">
        <v>71</v>
      </c>
      <c r="C1055" s="1" t="s">
        <v>50</v>
      </c>
      <c r="D1055" s="1" t="s">
        <v>49</v>
      </c>
      <c r="E1055" s="1" t="s">
        <v>43</v>
      </c>
      <c r="F1055" s="1" t="s">
        <v>42</v>
      </c>
      <c r="G1055" s="1">
        <v>14765</v>
      </c>
      <c r="H1055" s="1">
        <f>'1_Departamento_n'!C20</f>
        <v>1080475</v>
      </c>
      <c r="I1055" s="1">
        <f>'1_Departamento_n'!H20</f>
        <v>1312</v>
      </c>
      <c r="J1055" s="1">
        <f>'0_Parametros'!B7</f>
        <v>10</v>
      </c>
      <c r="K1055" s="3">
        <f>(I1055-SUM($J$1010:$J$1065))*G1055/H1055</f>
        <v>10.276295147967328</v>
      </c>
      <c r="L1055" s="1">
        <f>INT(K1055)</f>
        <v>10</v>
      </c>
      <c r="M1055" s="3">
        <f>K1055-L1055</f>
        <v>0.27629514796732835</v>
      </c>
      <c r="N1055" s="1">
        <f>COUNTIF($M$1010:$M$1065,"&gt;"&amp;M1055)+COUNTIF($M$1010:M1055,M1055)</f>
        <v>38</v>
      </c>
      <c r="O1055" s="1">
        <f>J1055+L1055+IF(N1055&lt;=I1055-SUM($J$1010:$J$1065)-SUM($L$1010:$L$1065),1,0)</f>
        <v>20</v>
      </c>
    </row>
    <row r="1056" spans="1:15">
      <c r="A1056" s="1" t="s">
        <v>68</v>
      </c>
      <c r="B1056" s="1" t="s">
        <v>71</v>
      </c>
      <c r="C1056" s="1" t="s">
        <v>50</v>
      </c>
      <c r="D1056" s="1" t="s">
        <v>49</v>
      </c>
      <c r="E1056" s="1" t="s">
        <v>44</v>
      </c>
      <c r="F1056" s="1" t="s">
        <v>41</v>
      </c>
      <c r="G1056" s="1">
        <v>34781</v>
      </c>
      <c r="H1056" s="1">
        <f>'1_Departamento_n'!C20</f>
        <v>1080475</v>
      </c>
      <c r="I1056" s="1">
        <f>'1_Departamento_n'!H20</f>
        <v>1312</v>
      </c>
      <c r="J1056" s="1">
        <f>'0_Parametros'!B7</f>
        <v>10</v>
      </c>
      <c r="K1056" s="3">
        <f>(I1056-SUM($J$1010:$J$1065))*G1056/H1056</f>
        <v>24.207234780999098</v>
      </c>
      <c r="L1056" s="1">
        <f>INT(K1056)</f>
        <v>24</v>
      </c>
      <c r="M1056" s="3">
        <f>K1056-L1056</f>
        <v>0.20723478099909798</v>
      </c>
      <c r="N1056" s="1">
        <f>COUNTIF($M$1010:$M$1065,"&gt;"&amp;M1056)+COUNTIF($M$1010:M1056,M1056)</f>
        <v>47</v>
      </c>
      <c r="O1056" s="1">
        <f>J1056+L1056+IF(N1056&lt;=I1056-SUM($J$1010:$J$1065)-SUM($L$1010:$L$1065),1,0)</f>
        <v>34</v>
      </c>
    </row>
    <row r="1057" spans="1:15">
      <c r="A1057" s="1" t="s">
        <v>68</v>
      </c>
      <c r="B1057" s="1" t="s">
        <v>71</v>
      </c>
      <c r="C1057" s="1" t="s">
        <v>50</v>
      </c>
      <c r="D1057" s="1" t="s">
        <v>49</v>
      </c>
      <c r="E1057" s="1" t="s">
        <v>44</v>
      </c>
      <c r="F1057" s="1" t="s">
        <v>42</v>
      </c>
      <c r="G1057" s="1">
        <v>11506</v>
      </c>
      <c r="H1057" s="1">
        <f>'1_Departamento_n'!C20</f>
        <v>1080475</v>
      </c>
      <c r="I1057" s="1">
        <f>'1_Departamento_n'!H20</f>
        <v>1312</v>
      </c>
      <c r="J1057" s="1">
        <f>'0_Parametros'!B7</f>
        <v>10</v>
      </c>
      <c r="K1057" s="3">
        <f>(I1057-SUM($J$1010:$J$1065))*G1057/H1057</f>
        <v>8.008063120386867</v>
      </c>
      <c r="L1057" s="1">
        <f>INT(K1057)</f>
        <v>8</v>
      </c>
      <c r="M1057" s="3">
        <f>K1057-L1057</f>
        <v>0.008063120386866629</v>
      </c>
      <c r="N1057" s="1">
        <f>COUNTIF($M$1010:$M$1065,"&gt;"&amp;M1057)+COUNTIF($M$1010:M1057,M1057)</f>
        <v>56</v>
      </c>
      <c r="O1057" s="1">
        <f>J1057+L1057+IF(N1057&lt;=I1057-SUM($J$1010:$J$1065)-SUM($L$1010:$L$1065),1,0)</f>
        <v>18</v>
      </c>
    </row>
    <row r="1058" spans="1:15">
      <c r="A1058" s="1" t="s">
        <v>68</v>
      </c>
      <c r="B1058" s="1" t="s">
        <v>71</v>
      </c>
      <c r="C1058" s="1" t="s">
        <v>50</v>
      </c>
      <c r="D1058" s="1" t="s">
        <v>49</v>
      </c>
      <c r="E1058" s="1" t="s">
        <v>45</v>
      </c>
      <c r="F1058" s="1" t="s">
        <v>41</v>
      </c>
      <c r="G1058" s="1">
        <v>31171</v>
      </c>
      <c r="H1058" s="1">
        <f>'1_Departamento_n'!C20</f>
        <v>1080475</v>
      </c>
      <c r="I1058" s="1">
        <f>'1_Departamento_n'!H20</f>
        <v>1312</v>
      </c>
      <c r="J1058" s="1">
        <f>'0_Parametros'!B7</f>
        <v>10</v>
      </c>
      <c r="K1058" s="3">
        <f>(I1058-SUM($J$1010:$J$1065))*G1058/H1058</f>
        <v>21.69471019690414</v>
      </c>
      <c r="L1058" s="1">
        <f>INT(K1058)</f>
        <v>21</v>
      </c>
      <c r="M1058" s="3">
        <f>K1058-L1058</f>
        <v>0.6947101969041398</v>
      </c>
      <c r="N1058" s="1">
        <f>COUNTIF($M$1010:$M$1065,"&gt;"&amp;M1058)+COUNTIF($M$1010:M1058,M1058)</f>
        <v>14</v>
      </c>
      <c r="O1058" s="1">
        <f>J1058+L1058+IF(N1058&lt;=I1058-SUM($J$1010:$J$1065)-SUM($L$1010:$L$1065),1,0)</f>
        <v>32</v>
      </c>
    </row>
    <row r="1059" spans="1:15">
      <c r="A1059" s="1" t="s">
        <v>68</v>
      </c>
      <c r="B1059" s="1" t="s">
        <v>71</v>
      </c>
      <c r="C1059" s="1" t="s">
        <v>50</v>
      </c>
      <c r="D1059" s="1" t="s">
        <v>49</v>
      </c>
      <c r="E1059" s="1" t="s">
        <v>45</v>
      </c>
      <c r="F1059" s="1" t="s">
        <v>42</v>
      </c>
      <c r="G1059" s="1">
        <v>10211</v>
      </c>
      <c r="H1059" s="1">
        <f>'1_Departamento_n'!C20</f>
        <v>1080475</v>
      </c>
      <c r="I1059" s="1">
        <f>'1_Departamento_n'!H20</f>
        <v>1312</v>
      </c>
      <c r="J1059" s="1">
        <f>'0_Parametros'!B7</f>
        <v>10</v>
      </c>
      <c r="K1059" s="3">
        <f>(I1059-SUM($J$1010:$J$1065))*G1059/H1059</f>
        <v>7.106755824984382</v>
      </c>
      <c r="L1059" s="1">
        <f>INT(K1059)</f>
        <v>7</v>
      </c>
      <c r="M1059" s="3">
        <f>K1059-L1059</f>
        <v>0.10675582498438185</v>
      </c>
      <c r="N1059" s="1">
        <f>COUNTIF($M$1010:$M$1065,"&gt;"&amp;M1059)+COUNTIF($M$1010:M1059,M1059)</f>
        <v>51</v>
      </c>
      <c r="O1059" s="1">
        <f>J1059+L1059+IF(N1059&lt;=I1059-SUM($J$1010:$J$1065)-SUM($L$1010:$L$1065),1,0)</f>
        <v>17</v>
      </c>
    </row>
    <row r="1060" spans="1:15">
      <c r="A1060" s="1" t="s">
        <v>68</v>
      </c>
      <c r="B1060" s="1" t="s">
        <v>71</v>
      </c>
      <c r="C1060" s="1" t="s">
        <v>50</v>
      </c>
      <c r="D1060" s="1" t="s">
        <v>49</v>
      </c>
      <c r="E1060" s="1" t="s">
        <v>46</v>
      </c>
      <c r="F1060" s="1" t="s">
        <v>41</v>
      </c>
      <c r="G1060" s="1">
        <v>26449</v>
      </c>
      <c r="H1060" s="1">
        <f>'1_Departamento_n'!C20</f>
        <v>1080475</v>
      </c>
      <c r="I1060" s="1">
        <f>'1_Departamento_n'!H20</f>
        <v>1312</v>
      </c>
      <c r="J1060" s="1">
        <f>'0_Parametros'!B7</f>
        <v>10</v>
      </c>
      <c r="K1060" s="3">
        <f>(I1060-SUM($J$1010:$J$1065))*G1060/H1060</f>
        <v>18.408244522085194</v>
      </c>
      <c r="L1060" s="1">
        <f>INT(K1060)</f>
        <v>18</v>
      </c>
      <c r="M1060" s="3">
        <f>K1060-L1060</f>
        <v>0.40824452208519446</v>
      </c>
      <c r="N1060" s="1">
        <f>COUNTIF($M$1010:$M$1065,"&gt;"&amp;M1060)+COUNTIF($M$1010:M1060,M1060)</f>
        <v>32</v>
      </c>
      <c r="O1060" s="1">
        <f>J1060+L1060+IF(N1060&lt;=I1060-SUM($J$1010:$J$1065)-SUM($L$1010:$L$1065),1,0)</f>
        <v>28</v>
      </c>
    </row>
    <row r="1061" spans="1:15">
      <c r="A1061" s="1" t="s">
        <v>68</v>
      </c>
      <c r="B1061" s="1" t="s">
        <v>71</v>
      </c>
      <c r="C1061" s="1" t="s">
        <v>50</v>
      </c>
      <c r="D1061" s="1" t="s">
        <v>49</v>
      </c>
      <c r="E1061" s="1" t="s">
        <v>46</v>
      </c>
      <c r="F1061" s="1" t="s">
        <v>42</v>
      </c>
      <c r="G1061" s="1">
        <v>9008</v>
      </c>
      <c r="H1061" s="1">
        <f>'1_Departamento_n'!C20</f>
        <v>1080475</v>
      </c>
      <c r="I1061" s="1">
        <f>'1_Departamento_n'!H20</f>
        <v>1312</v>
      </c>
      <c r="J1061" s="1">
        <f>'0_Parametros'!B7</f>
        <v>10</v>
      </c>
      <c r="K1061" s="3">
        <f>(I1061-SUM($J$1010:$J$1065))*G1061/H1061</f>
        <v>6.269479627015896</v>
      </c>
      <c r="L1061" s="1">
        <f>INT(K1061)</f>
        <v>6</v>
      </c>
      <c r="M1061" s="3">
        <f>K1061-L1061</f>
        <v>0.2694796270158957</v>
      </c>
      <c r="N1061" s="1">
        <f>COUNTIF($M$1010:$M$1065,"&gt;"&amp;M1061)+COUNTIF($M$1010:M1061,M1061)</f>
        <v>39</v>
      </c>
      <c r="O1061" s="1">
        <f>J1061+L1061+IF(N1061&lt;=I1061-SUM($J$1010:$J$1065)-SUM($L$1010:$L$1065),1,0)</f>
        <v>16</v>
      </c>
    </row>
    <row r="1062" spans="1:15">
      <c r="A1062" s="1" t="s">
        <v>68</v>
      </c>
      <c r="B1062" s="1" t="s">
        <v>71</v>
      </c>
      <c r="C1062" s="1" t="s">
        <v>50</v>
      </c>
      <c r="D1062" s="1" t="s">
        <v>49</v>
      </c>
      <c r="E1062" s="1" t="s">
        <v>47</v>
      </c>
      <c r="F1062" s="1" t="s">
        <v>41</v>
      </c>
      <c r="G1062" s="1">
        <v>23658</v>
      </c>
      <c r="H1062" s="1">
        <f>'1_Departamento_n'!C20</f>
        <v>1080475</v>
      </c>
      <c r="I1062" s="1">
        <f>'1_Departamento_n'!H20</f>
        <v>1312</v>
      </c>
      <c r="J1062" s="1">
        <f>'0_Parametros'!B7</f>
        <v>10</v>
      </c>
      <c r="K1062" s="3">
        <f>(I1062-SUM($J$1010:$J$1065))*G1062/H1062</f>
        <v>16.465735903190726</v>
      </c>
      <c r="L1062" s="1">
        <f>INT(K1062)</f>
        <v>16</v>
      </c>
      <c r="M1062" s="3">
        <f>K1062-L1062</f>
        <v>0.4657359031907262</v>
      </c>
      <c r="N1062" s="1">
        <f>COUNTIF($M$1010:$M$1065,"&gt;"&amp;M1062)+COUNTIF($M$1010:M1062,M1062)</f>
        <v>27</v>
      </c>
      <c r="O1062" s="1">
        <f>J1062+L1062+IF(N1062&lt;=I1062-SUM($J$1010:$J$1065)-SUM($L$1010:$L$1065),1,0)</f>
        <v>26</v>
      </c>
    </row>
    <row r="1063" spans="1:15">
      <c r="A1063" s="1" t="s">
        <v>68</v>
      </c>
      <c r="B1063" s="1" t="s">
        <v>71</v>
      </c>
      <c r="C1063" s="1" t="s">
        <v>50</v>
      </c>
      <c r="D1063" s="1" t="s">
        <v>49</v>
      </c>
      <c r="E1063" s="1" t="s">
        <v>47</v>
      </c>
      <c r="F1063" s="1" t="s">
        <v>42</v>
      </c>
      <c r="G1063" s="1">
        <v>8806</v>
      </c>
      <c r="H1063" s="1">
        <f>'1_Departamento_n'!C20</f>
        <v>1080475</v>
      </c>
      <c r="I1063" s="1">
        <f>'1_Departamento_n'!H20</f>
        <v>1312</v>
      </c>
      <c r="J1063" s="1">
        <f>'0_Parametros'!B7</f>
        <v>10</v>
      </c>
      <c r="K1063" s="3">
        <f>(I1063-SUM($J$1010:$J$1065))*G1063/H1063</f>
        <v>6.128889608736898</v>
      </c>
      <c r="L1063" s="1">
        <f>INT(K1063)</f>
        <v>6</v>
      </c>
      <c r="M1063" s="3">
        <f>K1063-L1063</f>
        <v>0.12888960873689825</v>
      </c>
      <c r="N1063" s="1">
        <f>COUNTIF($M$1010:$M$1065,"&gt;"&amp;M1063)+COUNTIF($M$1010:M1063,M1063)</f>
        <v>50</v>
      </c>
      <c r="O1063" s="1">
        <f>J1063+L1063+IF(N1063&lt;=I1063-SUM($J$1010:$J$1065)-SUM($L$1010:$L$1065),1,0)</f>
        <v>16</v>
      </c>
    </row>
    <row r="1064" spans="1:15">
      <c r="A1064" s="1" t="s">
        <v>68</v>
      </c>
      <c r="B1064" s="1" t="s">
        <v>71</v>
      </c>
      <c r="C1064" s="1" t="s">
        <v>50</v>
      </c>
      <c r="D1064" s="1" t="s">
        <v>49</v>
      </c>
      <c r="E1064" s="1" t="s">
        <v>48</v>
      </c>
      <c r="F1064" s="1" t="s">
        <v>41</v>
      </c>
      <c r="G1064" s="1">
        <v>34057</v>
      </c>
      <c r="H1064" s="1">
        <f>'1_Departamento_n'!C20</f>
        <v>1080475</v>
      </c>
      <c r="I1064" s="1">
        <f>'1_Departamento_n'!H20</f>
        <v>1312</v>
      </c>
      <c r="J1064" s="1">
        <f>'0_Parametros'!B7</f>
        <v>10</v>
      </c>
      <c r="K1064" s="3">
        <f>(I1064-SUM($J$1010:$J$1065))*G1064/H1064</f>
        <v>23.703337883801105</v>
      </c>
      <c r="L1064" s="1">
        <f>INT(K1064)</f>
        <v>23</v>
      </c>
      <c r="M1064" s="3">
        <f>K1064-L1064</f>
        <v>0.7033378838011046</v>
      </c>
      <c r="N1064" s="1">
        <f>COUNTIF($M$1010:$M$1065,"&gt;"&amp;M1064)+COUNTIF($M$1010:M1064,M1064)</f>
        <v>13</v>
      </c>
      <c r="O1064" s="1">
        <f>J1064+L1064+IF(N1064&lt;=I1064-SUM($J$1010:$J$1065)-SUM($L$1010:$L$1065),1,0)</f>
        <v>34</v>
      </c>
    </row>
    <row r="1065" spans="1:15">
      <c r="A1065" s="1" t="s">
        <v>68</v>
      </c>
      <c r="B1065" s="1" t="s">
        <v>71</v>
      </c>
      <c r="C1065" s="1" t="s">
        <v>50</v>
      </c>
      <c r="D1065" s="1" t="s">
        <v>49</v>
      </c>
      <c r="E1065" s="1" t="s">
        <v>48</v>
      </c>
      <c r="F1065" s="1" t="s">
        <v>42</v>
      </c>
      <c r="G1065" s="1">
        <v>13380</v>
      </c>
      <c r="H1065" s="1">
        <f>'1_Departamento_n'!C20</f>
        <v>1080475</v>
      </c>
      <c r="I1065" s="1">
        <f>'1_Departamento_n'!H20</f>
        <v>1312</v>
      </c>
      <c r="J1065" s="1">
        <f>'0_Parametros'!B7</f>
        <v>10</v>
      </c>
      <c r="K1065" s="3">
        <f>(I1065-SUM($J$1010:$J$1065))*G1065/H1065</f>
        <v>9.312348735509845</v>
      </c>
      <c r="L1065" s="1">
        <f>INT(K1065)</f>
        <v>9</v>
      </c>
      <c r="M1065" s="3">
        <f>K1065-L1065</f>
        <v>0.3123487355098451</v>
      </c>
      <c r="N1065" s="1">
        <f>COUNTIF($M$1010:$M$1065,"&gt;"&amp;M1065)+COUNTIF($M$1010:M1065,M1065)</f>
        <v>36</v>
      </c>
      <c r="O1065" s="1">
        <f>J1065+L1065+IF(N1065&lt;=I1065-SUM($J$1010:$J$1065)-SUM($L$1010:$L$1065),1,0)</f>
        <v>19</v>
      </c>
    </row>
    <row r="1066" spans="1:15">
      <c r="A1066" s="1" t="s">
        <v>68</v>
      </c>
      <c r="B1066" s="1" t="s">
        <v>72</v>
      </c>
      <c r="C1066" s="1" t="s">
        <v>38</v>
      </c>
      <c r="D1066" s="1" t="s">
        <v>39</v>
      </c>
      <c r="E1066" s="1" t="s">
        <v>40</v>
      </c>
      <c r="F1066" s="1" t="s">
        <v>41</v>
      </c>
      <c r="G1066" s="1">
        <v>18142</v>
      </c>
      <c r="H1066" s="1">
        <f>'1_Departamento_n'!C21</f>
        <v>1746638</v>
      </c>
      <c r="I1066" s="1">
        <f>'1_Departamento_n'!H21</f>
        <v>1312</v>
      </c>
      <c r="J1066" s="1">
        <f>'0_Parametros'!B7</f>
        <v>10</v>
      </c>
      <c r="K1066" s="3">
        <f>(I1066-SUM($J$1066:$J$1121))*G1066/H1066</f>
        <v>7.810882392344607</v>
      </c>
      <c r="L1066" s="1">
        <f>INT(K1066)</f>
        <v>7</v>
      </c>
      <c r="M1066" s="3">
        <f>K1066-L1066</f>
        <v>0.8108823923446069</v>
      </c>
      <c r="N1066" s="1">
        <f>COUNTIF($M$1066:$M$1121,"&gt;"&amp;M1066)+COUNTIF($M$1066:M1066,M1066)</f>
        <v>12</v>
      </c>
      <c r="O1066" s="1">
        <f>J1066+L1066+IF(N1066&lt;=I1066-SUM($J$1066:$J$1121)-SUM($L$1066:$L$1121),1,0)</f>
        <v>18</v>
      </c>
    </row>
    <row r="1067" spans="1:15">
      <c r="A1067" s="1" t="s">
        <v>68</v>
      </c>
      <c r="B1067" s="1" t="s">
        <v>72</v>
      </c>
      <c r="C1067" s="1" t="s">
        <v>38</v>
      </c>
      <c r="D1067" s="1" t="s">
        <v>39</v>
      </c>
      <c r="E1067" s="1" t="s">
        <v>40</v>
      </c>
      <c r="F1067" s="1" t="s">
        <v>42</v>
      </c>
      <c r="G1067" s="1">
        <v>2255</v>
      </c>
      <c r="H1067" s="1">
        <f>'1_Departamento_n'!C21</f>
        <v>1746638</v>
      </c>
      <c r="I1067" s="1">
        <f>'1_Departamento_n'!H21</f>
        <v>1312</v>
      </c>
      <c r="J1067" s="1">
        <f>'0_Parametros'!B7</f>
        <v>10</v>
      </c>
      <c r="K1067" s="3">
        <f>(I1067-SUM($J$1066:$J$1121))*G1067/H1067</f>
        <v>0.9708708959727201</v>
      </c>
      <c r="L1067" s="1">
        <f>INT(K1067)</f>
        <v>0</v>
      </c>
      <c r="M1067" s="3">
        <f>K1067-L1067</f>
        <v>0.9708708959727201</v>
      </c>
      <c r="N1067" s="1">
        <f>COUNTIF($M$1066:$M$1121,"&gt;"&amp;M1067)+COUNTIF($M$1066:M1067,M1067)</f>
        <v>5</v>
      </c>
      <c r="O1067" s="1">
        <f>J1067+L1067+IF(N1067&lt;=I1067-SUM($J$1066:$J$1121)-SUM($L$1066:$L$1121),1,0)</f>
        <v>11</v>
      </c>
    </row>
    <row r="1068" spans="1:15">
      <c r="A1068" s="1" t="s">
        <v>68</v>
      </c>
      <c r="B1068" s="1" t="s">
        <v>72</v>
      </c>
      <c r="C1068" s="1" t="s">
        <v>38</v>
      </c>
      <c r="D1068" s="1" t="s">
        <v>39</v>
      </c>
      <c r="E1068" s="1" t="s">
        <v>43</v>
      </c>
      <c r="F1068" s="1" t="s">
        <v>41</v>
      </c>
      <c r="G1068" s="1">
        <v>24031</v>
      </c>
      <c r="H1068" s="1">
        <f>'1_Departamento_n'!C21</f>
        <v>1746638</v>
      </c>
      <c r="I1068" s="1">
        <f>'1_Departamento_n'!H21</f>
        <v>1312</v>
      </c>
      <c r="J1068" s="1">
        <f>'0_Parametros'!B7</f>
        <v>10</v>
      </c>
      <c r="K1068" s="3">
        <f>(I1068-SUM($J$1066:$J$1121))*G1068/H1068</f>
        <v>10.346340798723032</v>
      </c>
      <c r="L1068" s="1">
        <f>INT(K1068)</f>
        <v>10</v>
      </c>
      <c r="M1068" s="3">
        <f>K1068-L1068</f>
        <v>0.34634079872303225</v>
      </c>
      <c r="N1068" s="1">
        <f>COUNTIF($M$1066:$M$1121,"&gt;"&amp;M1068)+COUNTIF($M$1066:M1068,M1068)</f>
        <v>40</v>
      </c>
      <c r="O1068" s="1">
        <f>J1068+L1068+IF(N1068&lt;=I1068-SUM($J$1066:$J$1121)-SUM($L$1066:$L$1121),1,0)</f>
        <v>20</v>
      </c>
    </row>
    <row r="1069" spans="1:15">
      <c r="A1069" s="1" t="s">
        <v>68</v>
      </c>
      <c r="B1069" s="1" t="s">
        <v>72</v>
      </c>
      <c r="C1069" s="1" t="s">
        <v>38</v>
      </c>
      <c r="D1069" s="1" t="s">
        <v>39</v>
      </c>
      <c r="E1069" s="1" t="s">
        <v>43</v>
      </c>
      <c r="F1069" s="1" t="s">
        <v>42</v>
      </c>
      <c r="G1069" s="1">
        <v>1769</v>
      </c>
      <c r="H1069" s="1">
        <f>'1_Departamento_n'!C21</f>
        <v>1746638</v>
      </c>
      <c r="I1069" s="1">
        <f>'1_Departamento_n'!H21</f>
        <v>1312</v>
      </c>
      <c r="J1069" s="1">
        <f>'0_Parametros'!B7</f>
        <v>10</v>
      </c>
      <c r="K1069" s="3">
        <f>(I1069-SUM($J$1066:$J$1121))*G1069/H1069</f>
        <v>0.7616277671732781</v>
      </c>
      <c r="L1069" s="1">
        <f>INT(K1069)</f>
        <v>0</v>
      </c>
      <c r="M1069" s="3">
        <f>K1069-L1069</f>
        <v>0.7616277671732781</v>
      </c>
      <c r="N1069" s="1">
        <f>COUNTIF($M$1066:$M$1121,"&gt;"&amp;M1069)+COUNTIF($M$1066:M1069,M1069)</f>
        <v>16</v>
      </c>
      <c r="O1069" s="1">
        <f>J1069+L1069+IF(N1069&lt;=I1069-SUM($J$1066:$J$1121)-SUM($L$1066:$L$1121),1,0)</f>
        <v>11</v>
      </c>
    </row>
    <row r="1070" spans="1:15">
      <c r="A1070" s="1" t="s">
        <v>68</v>
      </c>
      <c r="B1070" s="1" t="s">
        <v>72</v>
      </c>
      <c r="C1070" s="1" t="s">
        <v>38</v>
      </c>
      <c r="D1070" s="1" t="s">
        <v>39</v>
      </c>
      <c r="E1070" s="1" t="s">
        <v>44</v>
      </c>
      <c r="F1070" s="1" t="s">
        <v>41</v>
      </c>
      <c r="G1070" s="1">
        <v>30842</v>
      </c>
      <c r="H1070" s="1">
        <f>'1_Departamento_n'!C21</f>
        <v>1746638</v>
      </c>
      <c r="I1070" s="1">
        <f>'1_Departamento_n'!H21</f>
        <v>1312</v>
      </c>
      <c r="J1070" s="1">
        <f>'0_Parametros'!B7</f>
        <v>10</v>
      </c>
      <c r="K1070" s="3">
        <f>(I1070-SUM($J$1066:$J$1121))*G1070/H1070</f>
        <v>13.278758391836202</v>
      </c>
      <c r="L1070" s="1">
        <f>INT(K1070)</f>
        <v>13</v>
      </c>
      <c r="M1070" s="3">
        <f>K1070-L1070</f>
        <v>0.27875839183620243</v>
      </c>
      <c r="N1070" s="1">
        <f>COUNTIF($M$1066:$M$1121,"&gt;"&amp;M1070)+COUNTIF($M$1066:M1070,M1070)</f>
        <v>41</v>
      </c>
      <c r="O1070" s="1">
        <f>J1070+L1070+IF(N1070&lt;=I1070-SUM($J$1066:$J$1121)-SUM($L$1066:$L$1121),1,0)</f>
        <v>23</v>
      </c>
    </row>
    <row r="1071" spans="1:15">
      <c r="A1071" s="1" t="s">
        <v>68</v>
      </c>
      <c r="B1071" s="1" t="s">
        <v>72</v>
      </c>
      <c r="C1071" s="1" t="s">
        <v>38</v>
      </c>
      <c r="D1071" s="1" t="s">
        <v>39</v>
      </c>
      <c r="E1071" s="1" t="s">
        <v>44</v>
      </c>
      <c r="F1071" s="1" t="s">
        <v>42</v>
      </c>
      <c r="G1071" s="1">
        <v>4739</v>
      </c>
      <c r="H1071" s="1">
        <f>'1_Departamento_n'!C21</f>
        <v>1746638</v>
      </c>
      <c r="I1071" s="1">
        <f>'1_Departamento_n'!H21</f>
        <v>1312</v>
      </c>
      <c r="J1071" s="1">
        <f>'0_Parametros'!B7</f>
        <v>10</v>
      </c>
      <c r="K1071" s="3">
        <f>(I1071-SUM($J$1066:$J$1121))*G1071/H1071</f>
        <v>2.040335776503202</v>
      </c>
      <c r="L1071" s="1">
        <f>INT(K1071)</f>
        <v>2</v>
      </c>
      <c r="M1071" s="3">
        <f>K1071-L1071</f>
        <v>0.04033577650320197</v>
      </c>
      <c r="N1071" s="1">
        <f>COUNTIF($M$1066:$M$1121,"&gt;"&amp;M1071)+COUNTIF($M$1066:M1071,M1071)</f>
        <v>54</v>
      </c>
      <c r="O1071" s="1">
        <f>J1071+L1071+IF(N1071&lt;=I1071-SUM($J$1066:$J$1121)-SUM($L$1066:$L$1121),1,0)</f>
        <v>12</v>
      </c>
    </row>
    <row r="1072" spans="1:15">
      <c r="A1072" s="1" t="s">
        <v>68</v>
      </c>
      <c r="B1072" s="1" t="s">
        <v>72</v>
      </c>
      <c r="C1072" s="1" t="s">
        <v>38</v>
      </c>
      <c r="D1072" s="1" t="s">
        <v>39</v>
      </c>
      <c r="E1072" s="1" t="s">
        <v>45</v>
      </c>
      <c r="F1072" s="1" t="s">
        <v>41</v>
      </c>
      <c r="G1072" s="1">
        <v>37128</v>
      </c>
      <c r="H1072" s="1">
        <f>'1_Departamento_n'!C21</f>
        <v>1746638</v>
      </c>
      <c r="I1072" s="1">
        <f>'1_Departamento_n'!H21</f>
        <v>1312</v>
      </c>
      <c r="J1072" s="1">
        <f>'0_Parametros'!B7</f>
        <v>10</v>
      </c>
      <c r="K1072" s="3">
        <f>(I1072-SUM($J$1066:$J$1121))*G1072/H1072</f>
        <v>15.9851417408759</v>
      </c>
      <c r="L1072" s="1">
        <f>INT(K1072)</f>
        <v>15</v>
      </c>
      <c r="M1072" s="3">
        <f>K1072-L1072</f>
        <v>0.9851417408758998</v>
      </c>
      <c r="N1072" s="1">
        <f>COUNTIF($M$1066:$M$1121,"&gt;"&amp;M1072)+COUNTIF($M$1066:M1072,M1072)</f>
        <v>3</v>
      </c>
      <c r="O1072" s="1">
        <f>J1072+L1072+IF(N1072&lt;=I1072-SUM($J$1066:$J$1121)-SUM($L$1066:$L$1121),1,0)</f>
        <v>26</v>
      </c>
    </row>
    <row r="1073" spans="1:15">
      <c r="A1073" s="1" t="s">
        <v>68</v>
      </c>
      <c r="B1073" s="1" t="s">
        <v>72</v>
      </c>
      <c r="C1073" s="1" t="s">
        <v>38</v>
      </c>
      <c r="D1073" s="1" t="s">
        <v>39</v>
      </c>
      <c r="E1073" s="1" t="s">
        <v>45</v>
      </c>
      <c r="F1073" s="1" t="s">
        <v>42</v>
      </c>
      <c r="G1073" s="1">
        <v>3626</v>
      </c>
      <c r="H1073" s="1">
        <f>'1_Departamento_n'!C21</f>
        <v>1746638</v>
      </c>
      <c r="I1073" s="1">
        <f>'1_Departamento_n'!H21</f>
        <v>1312</v>
      </c>
      <c r="J1073" s="1">
        <f>'0_Parametros'!B7</f>
        <v>10</v>
      </c>
      <c r="K1073" s="3">
        <f>(I1073-SUM($J$1066:$J$1121))*G1073/H1073</f>
        <v>1.5611431790674426</v>
      </c>
      <c r="L1073" s="1">
        <f>INT(K1073)</f>
        <v>1</v>
      </c>
      <c r="M1073" s="3">
        <f>K1073-L1073</f>
        <v>0.5611431790674426</v>
      </c>
      <c r="N1073" s="1">
        <f>COUNTIF($M$1066:$M$1121,"&gt;"&amp;M1073)+COUNTIF($M$1066:M1073,M1073)</f>
        <v>25</v>
      </c>
      <c r="O1073" s="1">
        <f>J1073+L1073+IF(N1073&lt;=I1073-SUM($J$1066:$J$1121)-SUM($L$1066:$L$1121),1,0)</f>
        <v>12</v>
      </c>
    </row>
    <row r="1074" spans="1:15">
      <c r="A1074" s="1" t="s">
        <v>68</v>
      </c>
      <c r="B1074" s="1" t="s">
        <v>72</v>
      </c>
      <c r="C1074" s="1" t="s">
        <v>38</v>
      </c>
      <c r="D1074" s="1" t="s">
        <v>39</v>
      </c>
      <c r="E1074" s="1" t="s">
        <v>46</v>
      </c>
      <c r="F1074" s="1" t="s">
        <v>41</v>
      </c>
      <c r="G1074" s="1">
        <v>30619</v>
      </c>
      <c r="H1074" s="1">
        <f>'1_Departamento_n'!C21</f>
        <v>1746638</v>
      </c>
      <c r="I1074" s="1">
        <f>'1_Departamento_n'!H21</f>
        <v>1312</v>
      </c>
      <c r="J1074" s="1">
        <f>'0_Parametros'!B7</f>
        <v>10</v>
      </c>
      <c r="K1074" s="3">
        <f>(I1074-SUM($J$1066:$J$1121))*G1074/H1074</f>
        <v>13.182747655782137</v>
      </c>
      <c r="L1074" s="1">
        <f>INT(K1074)</f>
        <v>13</v>
      </c>
      <c r="M1074" s="3">
        <f>K1074-L1074</f>
        <v>0.18274765578213703</v>
      </c>
      <c r="N1074" s="1">
        <f>COUNTIF($M$1066:$M$1121,"&gt;"&amp;M1074)+COUNTIF($M$1066:M1074,M1074)</f>
        <v>46</v>
      </c>
      <c r="O1074" s="1">
        <f>J1074+L1074+IF(N1074&lt;=I1074-SUM($J$1066:$J$1121)-SUM($L$1066:$L$1121),1,0)</f>
        <v>23</v>
      </c>
    </row>
    <row r="1075" spans="1:15">
      <c r="A1075" s="1" t="s">
        <v>68</v>
      </c>
      <c r="B1075" s="1" t="s">
        <v>72</v>
      </c>
      <c r="C1075" s="1" t="s">
        <v>38</v>
      </c>
      <c r="D1075" s="1" t="s">
        <v>39</v>
      </c>
      <c r="E1075" s="1" t="s">
        <v>46</v>
      </c>
      <c r="F1075" s="1" t="s">
        <v>42</v>
      </c>
      <c r="G1075" s="1">
        <v>2019</v>
      </c>
      <c r="H1075" s="1">
        <f>'1_Departamento_n'!C21</f>
        <v>1746638</v>
      </c>
      <c r="I1075" s="1">
        <f>'1_Departamento_n'!H21</f>
        <v>1312</v>
      </c>
      <c r="J1075" s="1">
        <f>'0_Parametros'!B7</f>
        <v>10</v>
      </c>
      <c r="K1075" s="3">
        <f>(I1075-SUM($J$1066:$J$1121))*G1075/H1075</f>
        <v>0.8692631214939787</v>
      </c>
      <c r="L1075" s="1">
        <f>INT(K1075)</f>
        <v>0</v>
      </c>
      <c r="M1075" s="3">
        <f>K1075-L1075</f>
        <v>0.8692631214939787</v>
      </c>
      <c r="N1075" s="1">
        <f>COUNTIF($M$1066:$M$1121,"&gt;"&amp;M1075)+COUNTIF($M$1066:M1075,M1075)</f>
        <v>8</v>
      </c>
      <c r="O1075" s="1">
        <f>J1075+L1075+IF(N1075&lt;=I1075-SUM($J$1066:$J$1121)-SUM($L$1066:$L$1121),1,0)</f>
        <v>11</v>
      </c>
    </row>
    <row r="1076" spans="1:15">
      <c r="A1076" s="1" t="s">
        <v>68</v>
      </c>
      <c r="B1076" s="1" t="s">
        <v>72</v>
      </c>
      <c r="C1076" s="1" t="s">
        <v>38</v>
      </c>
      <c r="D1076" s="1" t="s">
        <v>39</v>
      </c>
      <c r="E1076" s="1" t="s">
        <v>47</v>
      </c>
      <c r="F1076" s="1" t="s">
        <v>41</v>
      </c>
      <c r="G1076" s="1">
        <v>22951</v>
      </c>
      <c r="H1076" s="1">
        <f>'1_Departamento_n'!C21</f>
        <v>1746638</v>
      </c>
      <c r="I1076" s="1">
        <f>'1_Departamento_n'!H21</f>
        <v>1312</v>
      </c>
      <c r="J1076" s="1">
        <f>'0_Parametros'!B7</f>
        <v>10</v>
      </c>
      <c r="K1076" s="3">
        <f>(I1076-SUM($J$1066:$J$1121))*G1076/H1076</f>
        <v>9.881356068057606</v>
      </c>
      <c r="L1076" s="1">
        <f>INT(K1076)</f>
        <v>9</v>
      </c>
      <c r="M1076" s="3">
        <f>K1076-L1076</f>
        <v>0.881356068057606</v>
      </c>
      <c r="N1076" s="1">
        <f>COUNTIF($M$1066:$M$1121,"&gt;"&amp;M1076)+COUNTIF($M$1066:M1076,M1076)</f>
        <v>7</v>
      </c>
      <c r="O1076" s="1">
        <f>J1076+L1076+IF(N1076&lt;=I1076-SUM($J$1066:$J$1121)-SUM($L$1066:$L$1121),1,0)</f>
        <v>20</v>
      </c>
    </row>
    <row r="1077" spans="1:15">
      <c r="A1077" s="1" t="s">
        <v>68</v>
      </c>
      <c r="B1077" s="1" t="s">
        <v>72</v>
      </c>
      <c r="C1077" s="1" t="s">
        <v>38</v>
      </c>
      <c r="D1077" s="1" t="s">
        <v>39</v>
      </c>
      <c r="E1077" s="1" t="s">
        <v>47</v>
      </c>
      <c r="F1077" s="1" t="s">
        <v>42</v>
      </c>
      <c r="G1077" s="1">
        <v>1080</v>
      </c>
      <c r="H1077" s="1">
        <f>'1_Departamento_n'!C21</f>
        <v>1746638</v>
      </c>
      <c r="I1077" s="1">
        <f>'1_Departamento_n'!H21</f>
        <v>1312</v>
      </c>
      <c r="J1077" s="1">
        <f>'0_Parametros'!B7</f>
        <v>10</v>
      </c>
      <c r="K1077" s="3">
        <f>(I1077-SUM($J$1066:$J$1121))*G1077/H1077</f>
        <v>0.46498473066542695</v>
      </c>
      <c r="L1077" s="1">
        <f>INT(K1077)</f>
        <v>0</v>
      </c>
      <c r="M1077" s="3">
        <f>K1077-L1077</f>
        <v>0.46498473066542695</v>
      </c>
      <c r="N1077" s="1">
        <f>COUNTIF($M$1066:$M$1121,"&gt;"&amp;M1077)+COUNTIF($M$1066:M1077,M1077)</f>
        <v>33</v>
      </c>
      <c r="O1077" s="1">
        <f>J1077+L1077+IF(N1077&lt;=I1077-SUM($J$1066:$J$1121)-SUM($L$1066:$L$1121),1,0)</f>
        <v>10</v>
      </c>
    </row>
    <row r="1078" spans="1:15">
      <c r="A1078" s="1" t="s">
        <v>68</v>
      </c>
      <c r="B1078" s="1" t="s">
        <v>72</v>
      </c>
      <c r="C1078" s="1" t="s">
        <v>38</v>
      </c>
      <c r="D1078" s="1" t="s">
        <v>39</v>
      </c>
      <c r="E1078" s="1" t="s">
        <v>48</v>
      </c>
      <c r="F1078" s="1" t="s">
        <v>41</v>
      </c>
      <c r="G1078" s="1">
        <v>38372</v>
      </c>
      <c r="H1078" s="1">
        <f>'1_Departamento_n'!C21</f>
        <v>1746638</v>
      </c>
      <c r="I1078" s="1">
        <f>'1_Departamento_n'!H21</f>
        <v>1312</v>
      </c>
      <c r="J1078" s="1">
        <f>'0_Parametros'!B7</f>
        <v>10</v>
      </c>
      <c r="K1078" s="3">
        <f>(I1078-SUM($J$1066:$J$1121))*G1078/H1078</f>
        <v>16.520735263975705</v>
      </c>
      <c r="L1078" s="1">
        <f>INT(K1078)</f>
        <v>16</v>
      </c>
      <c r="M1078" s="3">
        <f>K1078-L1078</f>
        <v>0.5207352639757055</v>
      </c>
      <c r="N1078" s="1">
        <f>COUNTIF($M$1066:$M$1121,"&gt;"&amp;M1078)+COUNTIF($M$1066:M1078,M1078)</f>
        <v>29</v>
      </c>
      <c r="O1078" s="1">
        <f>J1078+L1078+IF(N1078&lt;=I1078-SUM($J$1066:$J$1121)-SUM($L$1066:$L$1121),1,0)</f>
        <v>27</v>
      </c>
    </row>
    <row r="1079" spans="1:15">
      <c r="A1079" s="1" t="s">
        <v>68</v>
      </c>
      <c r="B1079" s="1" t="s">
        <v>72</v>
      </c>
      <c r="C1079" s="1" t="s">
        <v>38</v>
      </c>
      <c r="D1079" s="1" t="s">
        <v>39</v>
      </c>
      <c r="E1079" s="1" t="s">
        <v>48</v>
      </c>
      <c r="F1079" s="1" t="s">
        <v>42</v>
      </c>
      <c r="G1079" s="1">
        <v>1028</v>
      </c>
      <c r="H1079" s="1">
        <f>'1_Departamento_n'!C21</f>
        <v>1746638</v>
      </c>
      <c r="I1079" s="1">
        <f>'1_Departamento_n'!H21</f>
        <v>1312</v>
      </c>
      <c r="J1079" s="1">
        <f>'0_Parametros'!B7</f>
        <v>10</v>
      </c>
      <c r="K1079" s="3">
        <f>(I1079-SUM($J$1066:$J$1121))*G1079/H1079</f>
        <v>0.4425965769667212</v>
      </c>
      <c r="L1079" s="1">
        <f>INT(K1079)</f>
        <v>0</v>
      </c>
      <c r="M1079" s="3">
        <f>K1079-L1079</f>
        <v>0.4425965769667212</v>
      </c>
      <c r="N1079" s="1">
        <f>COUNTIF($M$1066:$M$1121,"&gt;"&amp;M1079)+COUNTIF($M$1066:M1079,M1079)</f>
        <v>35</v>
      </c>
      <c r="O1079" s="1">
        <f>J1079+L1079+IF(N1079&lt;=I1079-SUM($J$1066:$J$1121)-SUM($L$1066:$L$1121),1,0)</f>
        <v>10</v>
      </c>
    </row>
    <row r="1080" spans="1:15">
      <c r="A1080" s="1" t="s">
        <v>68</v>
      </c>
      <c r="B1080" s="1" t="s">
        <v>72</v>
      </c>
      <c r="C1080" s="1" t="s">
        <v>38</v>
      </c>
      <c r="D1080" s="1" t="s">
        <v>49</v>
      </c>
      <c r="E1080" s="1" t="s">
        <v>40</v>
      </c>
      <c r="F1080" s="1" t="s">
        <v>41</v>
      </c>
      <c r="G1080" s="1">
        <v>19094</v>
      </c>
      <c r="H1080" s="1">
        <f>'1_Departamento_n'!C21</f>
        <v>1746638</v>
      </c>
      <c r="I1080" s="1">
        <f>'1_Departamento_n'!H21</f>
        <v>1312</v>
      </c>
      <c r="J1080" s="1">
        <f>'0_Parametros'!B7</f>
        <v>10</v>
      </c>
      <c r="K1080" s="3">
        <f>(I1080-SUM($J$1066:$J$1121))*G1080/H1080</f>
        <v>8.220757821597836</v>
      </c>
      <c r="L1080" s="1">
        <f>INT(K1080)</f>
        <v>8</v>
      </c>
      <c r="M1080" s="3">
        <f>K1080-L1080</f>
        <v>0.22075782159783586</v>
      </c>
      <c r="N1080" s="1">
        <f>COUNTIF($M$1066:$M$1121,"&gt;"&amp;M1080)+COUNTIF($M$1066:M1080,M1080)</f>
        <v>45</v>
      </c>
      <c r="O1080" s="1">
        <f>J1080+L1080+IF(N1080&lt;=I1080-SUM($J$1066:$J$1121)-SUM($L$1066:$L$1121),1,0)</f>
        <v>18</v>
      </c>
    </row>
    <row r="1081" spans="1:15">
      <c r="A1081" s="1" t="s">
        <v>68</v>
      </c>
      <c r="B1081" s="1" t="s">
        <v>72</v>
      </c>
      <c r="C1081" s="1" t="s">
        <v>38</v>
      </c>
      <c r="D1081" s="1" t="s">
        <v>49</v>
      </c>
      <c r="E1081" s="1" t="s">
        <v>40</v>
      </c>
      <c r="F1081" s="1" t="s">
        <v>42</v>
      </c>
      <c r="G1081" s="1">
        <v>2327</v>
      </c>
      <c r="H1081" s="1">
        <f>'1_Departamento_n'!C21</f>
        <v>1746638</v>
      </c>
      <c r="I1081" s="1">
        <f>'1_Departamento_n'!H21</f>
        <v>1312</v>
      </c>
      <c r="J1081" s="1">
        <f>'0_Parametros'!B7</f>
        <v>10</v>
      </c>
      <c r="K1081" s="3">
        <f>(I1081-SUM($J$1066:$J$1121))*G1081/H1081</f>
        <v>1.001869878017082</v>
      </c>
      <c r="L1081" s="1">
        <f>INT(K1081)</f>
        <v>1</v>
      </c>
      <c r="M1081" s="3">
        <f>K1081-L1081</f>
        <v>0.0018698780170820495</v>
      </c>
      <c r="N1081" s="1">
        <f>COUNTIF($M$1066:$M$1121,"&gt;"&amp;M1081)+COUNTIF($M$1066:M1081,M1081)</f>
        <v>55</v>
      </c>
      <c r="O1081" s="1">
        <f>J1081+L1081+IF(N1081&lt;=I1081-SUM($J$1066:$J$1121)-SUM($L$1066:$L$1121),1,0)</f>
        <v>11</v>
      </c>
    </row>
    <row r="1082" spans="1:15">
      <c r="A1082" s="1" t="s">
        <v>68</v>
      </c>
      <c r="B1082" s="1" t="s">
        <v>72</v>
      </c>
      <c r="C1082" s="1" t="s">
        <v>38</v>
      </c>
      <c r="D1082" s="1" t="s">
        <v>49</v>
      </c>
      <c r="E1082" s="1" t="s">
        <v>43</v>
      </c>
      <c r="F1082" s="1" t="s">
        <v>41</v>
      </c>
      <c r="G1082" s="1">
        <v>24921</v>
      </c>
      <c r="H1082" s="1">
        <f>'1_Departamento_n'!C21</f>
        <v>1746638</v>
      </c>
      <c r="I1082" s="1">
        <f>'1_Departamento_n'!H21</f>
        <v>1312</v>
      </c>
      <c r="J1082" s="1">
        <f>'0_Parametros'!B7</f>
        <v>10</v>
      </c>
      <c r="K1082" s="3">
        <f>(I1082-SUM($J$1066:$J$1121))*G1082/H1082</f>
        <v>10.729522660104728</v>
      </c>
      <c r="L1082" s="1">
        <f>INT(K1082)</f>
        <v>10</v>
      </c>
      <c r="M1082" s="3">
        <f>K1082-L1082</f>
        <v>0.7295226601047275</v>
      </c>
      <c r="N1082" s="1">
        <f>COUNTIF($M$1066:$M$1121,"&gt;"&amp;M1082)+COUNTIF($M$1066:M1082,M1082)</f>
        <v>17</v>
      </c>
      <c r="O1082" s="1">
        <f>J1082+L1082+IF(N1082&lt;=I1082-SUM($J$1066:$J$1121)-SUM($L$1066:$L$1121),1,0)</f>
        <v>21</v>
      </c>
    </row>
    <row r="1083" spans="1:15">
      <c r="A1083" s="1" t="s">
        <v>68</v>
      </c>
      <c r="B1083" s="1" t="s">
        <v>72</v>
      </c>
      <c r="C1083" s="1" t="s">
        <v>38</v>
      </c>
      <c r="D1083" s="1" t="s">
        <v>49</v>
      </c>
      <c r="E1083" s="1" t="s">
        <v>43</v>
      </c>
      <c r="F1083" s="1" t="s">
        <v>42</v>
      </c>
      <c r="G1083" s="1">
        <v>1934</v>
      </c>
      <c r="H1083" s="1">
        <f>'1_Departamento_n'!C21</f>
        <v>1746638</v>
      </c>
      <c r="I1083" s="1">
        <f>'1_Departamento_n'!H21</f>
        <v>1312</v>
      </c>
      <c r="J1083" s="1">
        <f>'0_Parametros'!B7</f>
        <v>10</v>
      </c>
      <c r="K1083" s="3">
        <f>(I1083-SUM($J$1066:$J$1121))*G1083/H1083</f>
        <v>0.8326671010249405</v>
      </c>
      <c r="L1083" s="1">
        <f>INT(K1083)</f>
        <v>0</v>
      </c>
      <c r="M1083" s="3">
        <f>K1083-L1083</f>
        <v>0.8326671010249405</v>
      </c>
      <c r="N1083" s="1">
        <f>COUNTIF($M$1066:$M$1121,"&gt;"&amp;M1083)+COUNTIF($M$1066:M1083,M1083)</f>
        <v>11</v>
      </c>
      <c r="O1083" s="1">
        <f>J1083+L1083+IF(N1083&lt;=I1083-SUM($J$1066:$J$1121)-SUM($L$1066:$L$1121),1,0)</f>
        <v>11</v>
      </c>
    </row>
    <row r="1084" spans="1:15">
      <c r="A1084" s="1" t="s">
        <v>68</v>
      </c>
      <c r="B1084" s="1" t="s">
        <v>72</v>
      </c>
      <c r="C1084" s="1" t="s">
        <v>38</v>
      </c>
      <c r="D1084" s="1" t="s">
        <v>49</v>
      </c>
      <c r="E1084" s="1" t="s">
        <v>44</v>
      </c>
      <c r="F1084" s="1" t="s">
        <v>41</v>
      </c>
      <c r="G1084" s="1">
        <v>32672</v>
      </c>
      <c r="H1084" s="1">
        <f>'1_Departamento_n'!C21</f>
        <v>1746638</v>
      </c>
      <c r="I1084" s="1">
        <f>'1_Departamento_n'!H21</f>
        <v>1312</v>
      </c>
      <c r="J1084" s="1">
        <f>'0_Parametros'!B7</f>
        <v>10</v>
      </c>
      <c r="K1084" s="3">
        <f>(I1084-SUM($J$1066:$J$1121))*G1084/H1084</f>
        <v>14.066649185463731</v>
      </c>
      <c r="L1084" s="1">
        <f>INT(K1084)</f>
        <v>14</v>
      </c>
      <c r="M1084" s="3">
        <f>K1084-L1084</f>
        <v>0.06664918546373144</v>
      </c>
      <c r="N1084" s="1">
        <f>COUNTIF($M$1066:$M$1121,"&gt;"&amp;M1084)+COUNTIF($M$1066:M1084,M1084)</f>
        <v>52</v>
      </c>
      <c r="O1084" s="1">
        <f>J1084+L1084+IF(N1084&lt;=I1084-SUM($J$1066:$J$1121)-SUM($L$1066:$L$1121),1,0)</f>
        <v>24</v>
      </c>
    </row>
    <row r="1085" spans="1:15">
      <c r="A1085" s="1" t="s">
        <v>68</v>
      </c>
      <c r="B1085" s="1" t="s">
        <v>72</v>
      </c>
      <c r="C1085" s="1" t="s">
        <v>38</v>
      </c>
      <c r="D1085" s="1" t="s">
        <v>49</v>
      </c>
      <c r="E1085" s="1" t="s">
        <v>44</v>
      </c>
      <c r="F1085" s="1" t="s">
        <v>42</v>
      </c>
      <c r="G1085" s="1">
        <v>6130</v>
      </c>
      <c r="H1085" s="1">
        <f>'1_Departamento_n'!C21</f>
        <v>1746638</v>
      </c>
      <c r="I1085" s="1">
        <f>'1_Departamento_n'!H21</f>
        <v>1312</v>
      </c>
      <c r="J1085" s="1">
        <f>'0_Parametros'!B7</f>
        <v>10</v>
      </c>
      <c r="K1085" s="3">
        <f>(I1085-SUM($J$1066:$J$1121))*G1085/H1085</f>
        <v>2.639218887943581</v>
      </c>
      <c r="L1085" s="1">
        <f>INT(K1085)</f>
        <v>2</v>
      </c>
      <c r="M1085" s="3">
        <f>K1085-L1085</f>
        <v>0.639218887943581</v>
      </c>
      <c r="N1085" s="1">
        <f>COUNTIF($M$1066:$M$1121,"&gt;"&amp;M1085)+COUNTIF($M$1066:M1085,M1085)</f>
        <v>21</v>
      </c>
      <c r="O1085" s="1">
        <f>J1085+L1085+IF(N1085&lt;=I1085-SUM($J$1066:$J$1121)-SUM($L$1066:$L$1121),1,0)</f>
        <v>13</v>
      </c>
    </row>
    <row r="1086" spans="1:15">
      <c r="A1086" s="1" t="s">
        <v>68</v>
      </c>
      <c r="B1086" s="1" t="s">
        <v>72</v>
      </c>
      <c r="C1086" s="1" t="s">
        <v>38</v>
      </c>
      <c r="D1086" s="1" t="s">
        <v>49</v>
      </c>
      <c r="E1086" s="1" t="s">
        <v>45</v>
      </c>
      <c r="F1086" s="1" t="s">
        <v>41</v>
      </c>
      <c r="G1086" s="1">
        <v>37088</v>
      </c>
      <c r="H1086" s="1">
        <f>'1_Departamento_n'!C21</f>
        <v>1746638</v>
      </c>
      <c r="I1086" s="1">
        <f>'1_Departamento_n'!H21</f>
        <v>1312</v>
      </c>
      <c r="J1086" s="1">
        <f>'0_Parametros'!B7</f>
        <v>10</v>
      </c>
      <c r="K1086" s="3">
        <f>(I1086-SUM($J$1066:$J$1121))*G1086/H1086</f>
        <v>15.967920084184588</v>
      </c>
      <c r="L1086" s="1">
        <f>INT(K1086)</f>
        <v>15</v>
      </c>
      <c r="M1086" s="3">
        <f>K1086-L1086</f>
        <v>0.9679200841845876</v>
      </c>
      <c r="N1086" s="1">
        <f>COUNTIF($M$1066:$M$1121,"&gt;"&amp;M1086)+COUNTIF($M$1066:M1086,M1086)</f>
        <v>6</v>
      </c>
      <c r="O1086" s="1">
        <f>J1086+L1086+IF(N1086&lt;=I1086-SUM($J$1066:$J$1121)-SUM($L$1066:$L$1121),1,0)</f>
        <v>26</v>
      </c>
    </row>
    <row r="1087" spans="1:15">
      <c r="A1087" s="1" t="s">
        <v>68</v>
      </c>
      <c r="B1087" s="1" t="s">
        <v>72</v>
      </c>
      <c r="C1087" s="1" t="s">
        <v>38</v>
      </c>
      <c r="D1087" s="1" t="s">
        <v>49</v>
      </c>
      <c r="E1087" s="1" t="s">
        <v>45</v>
      </c>
      <c r="F1087" s="1" t="s">
        <v>42</v>
      </c>
      <c r="G1087" s="1">
        <v>4836</v>
      </c>
      <c r="H1087" s="1">
        <f>'1_Departamento_n'!C21</f>
        <v>1746638</v>
      </c>
      <c r="I1087" s="1">
        <f>'1_Departamento_n'!H21</f>
        <v>1312</v>
      </c>
      <c r="J1087" s="1">
        <f>'0_Parametros'!B7</f>
        <v>10</v>
      </c>
      <c r="K1087" s="3">
        <f>(I1087-SUM($J$1066:$J$1121))*G1087/H1087</f>
        <v>2.082098293979634</v>
      </c>
      <c r="L1087" s="1">
        <f>INT(K1087)</f>
        <v>2</v>
      </c>
      <c r="M1087" s="3">
        <f>K1087-L1087</f>
        <v>0.0820982939796342</v>
      </c>
      <c r="N1087" s="1">
        <f>COUNTIF($M$1066:$M$1121,"&gt;"&amp;M1087)+COUNTIF($M$1066:M1087,M1087)</f>
        <v>50</v>
      </c>
      <c r="O1087" s="1">
        <f>J1087+L1087+IF(N1087&lt;=I1087-SUM($J$1066:$J$1121)-SUM($L$1066:$L$1121),1,0)</f>
        <v>12</v>
      </c>
    </row>
    <row r="1088" spans="1:15">
      <c r="A1088" s="1" t="s">
        <v>68</v>
      </c>
      <c r="B1088" s="1" t="s">
        <v>72</v>
      </c>
      <c r="C1088" s="1" t="s">
        <v>38</v>
      </c>
      <c r="D1088" s="1" t="s">
        <v>49</v>
      </c>
      <c r="E1088" s="1" t="s">
        <v>46</v>
      </c>
      <c r="F1088" s="1" t="s">
        <v>41</v>
      </c>
      <c r="G1088" s="1">
        <v>29890</v>
      </c>
      <c r="H1088" s="1">
        <f>'1_Departamento_n'!C21</f>
        <v>1746638</v>
      </c>
      <c r="I1088" s="1">
        <f>'1_Departamento_n'!H21</f>
        <v>1312</v>
      </c>
      <c r="J1088" s="1">
        <f>'0_Parametros'!B7</f>
        <v>10</v>
      </c>
      <c r="K1088" s="3">
        <f>(I1088-SUM($J$1066:$J$1121))*G1088/H1088</f>
        <v>12.868882962582974</v>
      </c>
      <c r="L1088" s="1">
        <f>INT(K1088)</f>
        <v>12</v>
      </c>
      <c r="M1088" s="3">
        <f>K1088-L1088</f>
        <v>0.8688829625829744</v>
      </c>
      <c r="N1088" s="1">
        <f>COUNTIF($M$1066:$M$1121,"&gt;"&amp;M1088)+COUNTIF($M$1066:M1088,M1088)</f>
        <v>9</v>
      </c>
      <c r="O1088" s="1">
        <f>J1088+L1088+IF(N1088&lt;=I1088-SUM($J$1066:$J$1121)-SUM($L$1066:$L$1121),1,0)</f>
        <v>23</v>
      </c>
    </row>
    <row r="1089" spans="1:15">
      <c r="A1089" s="1" t="s">
        <v>68</v>
      </c>
      <c r="B1089" s="1" t="s">
        <v>72</v>
      </c>
      <c r="C1089" s="1" t="s">
        <v>38</v>
      </c>
      <c r="D1089" s="1" t="s">
        <v>49</v>
      </c>
      <c r="E1089" s="1" t="s">
        <v>46</v>
      </c>
      <c r="F1089" s="1" t="s">
        <v>42</v>
      </c>
      <c r="G1089" s="1">
        <v>2919</v>
      </c>
      <c r="H1089" s="1">
        <f>'1_Departamento_n'!C21</f>
        <v>1746638</v>
      </c>
      <c r="I1089" s="1">
        <f>'1_Departamento_n'!H21</f>
        <v>1312</v>
      </c>
      <c r="J1089" s="1">
        <f>'0_Parametros'!B7</f>
        <v>10</v>
      </c>
      <c r="K1089" s="3">
        <f>(I1089-SUM($J$1066:$J$1121))*G1089/H1089</f>
        <v>1.2567503970485012</v>
      </c>
      <c r="L1089" s="1">
        <f>INT(K1089)</f>
        <v>1</v>
      </c>
      <c r="M1089" s="3">
        <f>K1089-L1089</f>
        <v>0.2567503970485012</v>
      </c>
      <c r="N1089" s="1">
        <f>COUNTIF($M$1066:$M$1121,"&gt;"&amp;M1089)+COUNTIF($M$1066:M1089,M1089)</f>
        <v>44</v>
      </c>
      <c r="O1089" s="1">
        <f>J1089+L1089+IF(N1089&lt;=I1089-SUM($J$1066:$J$1121)-SUM($L$1066:$L$1121),1,0)</f>
        <v>11</v>
      </c>
    </row>
    <row r="1090" spans="1:15">
      <c r="A1090" s="1" t="s">
        <v>68</v>
      </c>
      <c r="B1090" s="1" t="s">
        <v>72</v>
      </c>
      <c r="C1090" s="1" t="s">
        <v>38</v>
      </c>
      <c r="D1090" s="1" t="s">
        <v>49</v>
      </c>
      <c r="E1090" s="1" t="s">
        <v>47</v>
      </c>
      <c r="F1090" s="1" t="s">
        <v>41</v>
      </c>
      <c r="G1090" s="1">
        <v>21087</v>
      </c>
      <c r="H1090" s="1">
        <f>'1_Departamento_n'!C21</f>
        <v>1746638</v>
      </c>
      <c r="I1090" s="1">
        <f>'1_Departamento_n'!H21</f>
        <v>1312</v>
      </c>
      <c r="J1090" s="1">
        <f>'0_Parametros'!B7</f>
        <v>10</v>
      </c>
      <c r="K1090" s="3">
        <f>(I1090-SUM($J$1066:$J$1121))*G1090/H1090</f>
        <v>9.078826866242462</v>
      </c>
      <c r="L1090" s="1">
        <f>INT(K1090)</f>
        <v>9</v>
      </c>
      <c r="M1090" s="3">
        <f>K1090-L1090</f>
        <v>0.07882686624246205</v>
      </c>
      <c r="N1090" s="1">
        <f>COUNTIF($M$1066:$M$1121,"&gt;"&amp;M1090)+COUNTIF($M$1066:M1090,M1090)</f>
        <v>51</v>
      </c>
      <c r="O1090" s="1">
        <f>J1090+L1090+IF(N1090&lt;=I1090-SUM($J$1066:$J$1121)-SUM($L$1066:$L$1121),1,0)</f>
        <v>19</v>
      </c>
    </row>
    <row r="1091" spans="1:15">
      <c r="A1091" s="1" t="s">
        <v>68</v>
      </c>
      <c r="B1091" s="1" t="s">
        <v>72</v>
      </c>
      <c r="C1091" s="1" t="s">
        <v>38</v>
      </c>
      <c r="D1091" s="1" t="s">
        <v>49</v>
      </c>
      <c r="E1091" s="1" t="s">
        <v>47</v>
      </c>
      <c r="F1091" s="1" t="s">
        <v>42</v>
      </c>
      <c r="G1091" s="1">
        <v>1570</v>
      </c>
      <c r="H1091" s="1">
        <f>'1_Departamento_n'!C21</f>
        <v>1746638</v>
      </c>
      <c r="I1091" s="1">
        <f>'1_Departamento_n'!H21</f>
        <v>1312</v>
      </c>
      <c r="J1091" s="1">
        <f>'0_Parametros'!B7</f>
        <v>10</v>
      </c>
      <c r="K1091" s="3">
        <f>(I1091-SUM($J$1066:$J$1121))*G1091/H1091</f>
        <v>0.6759500251340003</v>
      </c>
      <c r="L1091" s="1">
        <f>INT(K1091)</f>
        <v>0</v>
      </c>
      <c r="M1091" s="3">
        <f>K1091-L1091</f>
        <v>0.6759500251340003</v>
      </c>
      <c r="N1091" s="1">
        <f>COUNTIF($M$1066:$M$1121,"&gt;"&amp;M1091)+COUNTIF($M$1066:M1091,M1091)</f>
        <v>18</v>
      </c>
      <c r="O1091" s="1">
        <f>J1091+L1091+IF(N1091&lt;=I1091-SUM($J$1066:$J$1121)-SUM($L$1066:$L$1121),1,0)</f>
        <v>11</v>
      </c>
    </row>
    <row r="1092" spans="1:15">
      <c r="A1092" s="1" t="s">
        <v>68</v>
      </c>
      <c r="B1092" s="1" t="s">
        <v>72</v>
      </c>
      <c r="C1092" s="1" t="s">
        <v>38</v>
      </c>
      <c r="D1092" s="1" t="s">
        <v>49</v>
      </c>
      <c r="E1092" s="1" t="s">
        <v>48</v>
      </c>
      <c r="F1092" s="1" t="s">
        <v>41</v>
      </c>
      <c r="G1092" s="1">
        <v>29434</v>
      </c>
      <c r="H1092" s="1">
        <f>'1_Departamento_n'!C21</f>
        <v>1746638</v>
      </c>
      <c r="I1092" s="1">
        <f>'1_Departamento_n'!H21</f>
        <v>1312</v>
      </c>
      <c r="J1092" s="1">
        <f>'0_Parametros'!B7</f>
        <v>10</v>
      </c>
      <c r="K1092" s="3">
        <f>(I1092-SUM($J$1066:$J$1121))*G1092/H1092</f>
        <v>12.672556076302016</v>
      </c>
      <c r="L1092" s="1">
        <f>INT(K1092)</f>
        <v>12</v>
      </c>
      <c r="M1092" s="3">
        <f>K1092-L1092</f>
        <v>0.6725560763020155</v>
      </c>
      <c r="N1092" s="1">
        <f>COUNTIF($M$1066:$M$1121,"&gt;"&amp;M1092)+COUNTIF($M$1066:M1092,M1092)</f>
        <v>19</v>
      </c>
      <c r="O1092" s="1">
        <f>J1092+L1092+IF(N1092&lt;=I1092-SUM($J$1066:$J$1121)-SUM($L$1066:$L$1121),1,0)</f>
        <v>23</v>
      </c>
    </row>
    <row r="1093" spans="1:15">
      <c r="A1093" s="1" t="s">
        <v>68</v>
      </c>
      <c r="B1093" s="1" t="s">
        <v>72</v>
      </c>
      <c r="C1093" s="1" t="s">
        <v>38</v>
      </c>
      <c r="D1093" s="1" t="s">
        <v>49</v>
      </c>
      <c r="E1093" s="1" t="s">
        <v>48</v>
      </c>
      <c r="F1093" s="1" t="s">
        <v>42</v>
      </c>
      <c r="G1093" s="1">
        <v>1227</v>
      </c>
      <c r="H1093" s="1">
        <f>'1_Departamento_n'!C21</f>
        <v>1746638</v>
      </c>
      <c r="I1093" s="1">
        <f>'1_Departamento_n'!H21</f>
        <v>1312</v>
      </c>
      <c r="J1093" s="1">
        <f>'0_Parametros'!B7</f>
        <v>10</v>
      </c>
      <c r="K1093" s="3">
        <f>(I1093-SUM($J$1066:$J$1121))*G1093/H1093</f>
        <v>0.528274319005999</v>
      </c>
      <c r="L1093" s="1">
        <f>INT(K1093)</f>
        <v>0</v>
      </c>
      <c r="M1093" s="3">
        <f>K1093-L1093</f>
        <v>0.528274319005999</v>
      </c>
      <c r="N1093" s="1">
        <f>COUNTIF($M$1066:$M$1121,"&gt;"&amp;M1093)+COUNTIF($M$1066:M1093,M1093)</f>
        <v>28</v>
      </c>
      <c r="O1093" s="1">
        <f>J1093+L1093+IF(N1093&lt;=I1093-SUM($J$1066:$J$1121)-SUM($L$1066:$L$1121),1,0)</f>
        <v>11</v>
      </c>
    </row>
    <row r="1094" spans="1:15">
      <c r="A1094" s="1" t="s">
        <v>68</v>
      </c>
      <c r="B1094" s="1" t="s">
        <v>72</v>
      </c>
      <c r="C1094" s="1" t="s">
        <v>50</v>
      </c>
      <c r="D1094" s="1" t="s">
        <v>39</v>
      </c>
      <c r="E1094" s="1" t="s">
        <v>40</v>
      </c>
      <c r="F1094" s="1" t="s">
        <v>41</v>
      </c>
      <c r="G1094" s="1">
        <v>57604</v>
      </c>
      <c r="H1094" s="1">
        <f>'1_Departamento_n'!C21</f>
        <v>1746638</v>
      </c>
      <c r="I1094" s="1">
        <f>'1_Departamento_n'!H21</f>
        <v>1312</v>
      </c>
      <c r="J1094" s="1">
        <f>'0_Parametros'!B7</f>
        <v>10</v>
      </c>
      <c r="K1094" s="3">
        <f>(I1094-SUM($J$1066:$J$1121))*G1094/H1094</f>
        <v>24.80090780115857</v>
      </c>
      <c r="L1094" s="1">
        <f>INT(K1094)</f>
        <v>24</v>
      </c>
      <c r="M1094" s="3">
        <f>K1094-L1094</f>
        <v>0.8009078011585693</v>
      </c>
      <c r="N1094" s="1">
        <f>COUNTIF($M$1066:$M$1121,"&gt;"&amp;M1094)+COUNTIF($M$1066:M1094,M1094)</f>
        <v>14</v>
      </c>
      <c r="O1094" s="1">
        <f>J1094+L1094+IF(N1094&lt;=I1094-SUM($J$1066:$J$1121)-SUM($L$1066:$L$1121),1,0)</f>
        <v>35</v>
      </c>
    </row>
    <row r="1095" spans="1:15">
      <c r="A1095" s="1" t="s">
        <v>68</v>
      </c>
      <c r="B1095" s="1" t="s">
        <v>72</v>
      </c>
      <c r="C1095" s="1" t="s">
        <v>50</v>
      </c>
      <c r="D1095" s="1" t="s">
        <v>39</v>
      </c>
      <c r="E1095" s="1" t="s">
        <v>40</v>
      </c>
      <c r="F1095" s="1" t="s">
        <v>42</v>
      </c>
      <c r="G1095" s="1">
        <v>27875</v>
      </c>
      <c r="H1095" s="1">
        <f>'1_Departamento_n'!C21</f>
        <v>1746638</v>
      </c>
      <c r="I1095" s="1">
        <f>'1_Departamento_n'!H21</f>
        <v>1312</v>
      </c>
      <c r="J1095" s="1">
        <f>'0_Parametros'!B7</f>
        <v>10</v>
      </c>
      <c r="K1095" s="3">
        <f>(I1095-SUM($J$1066:$J$1121))*G1095/H1095</f>
        <v>12.001342006758126</v>
      </c>
      <c r="L1095" s="1">
        <f>INT(K1095)</f>
        <v>12</v>
      </c>
      <c r="M1095" s="3">
        <f>K1095-L1095</f>
        <v>0.001342006758125791</v>
      </c>
      <c r="N1095" s="1">
        <f>COUNTIF($M$1066:$M$1121,"&gt;"&amp;M1095)+COUNTIF($M$1066:M1095,M1095)</f>
        <v>56</v>
      </c>
      <c r="O1095" s="1">
        <f>J1095+L1095+IF(N1095&lt;=I1095-SUM($J$1066:$J$1121)-SUM($L$1066:$L$1121),1,0)</f>
        <v>22</v>
      </c>
    </row>
    <row r="1096" spans="1:15">
      <c r="A1096" s="1" t="s">
        <v>68</v>
      </c>
      <c r="B1096" s="1" t="s">
        <v>72</v>
      </c>
      <c r="C1096" s="1" t="s">
        <v>50</v>
      </c>
      <c r="D1096" s="1" t="s">
        <v>39</v>
      </c>
      <c r="E1096" s="1" t="s">
        <v>43</v>
      </c>
      <c r="F1096" s="1" t="s">
        <v>41</v>
      </c>
      <c r="G1096" s="1">
        <v>74947</v>
      </c>
      <c r="H1096" s="1">
        <f>'1_Departamento_n'!C21</f>
        <v>1746638</v>
      </c>
      <c r="I1096" s="1">
        <f>'1_Departamento_n'!H21</f>
        <v>1312</v>
      </c>
      <c r="J1096" s="1">
        <f>'0_Parametros'!B7</f>
        <v>10</v>
      </c>
      <c r="K1096" s="3">
        <f>(I1096-SUM($J$1066:$J$1121))*G1096/H1096</f>
        <v>32.26778760109422</v>
      </c>
      <c r="L1096" s="1">
        <f>INT(K1096)</f>
        <v>32</v>
      </c>
      <c r="M1096" s="3">
        <f>K1096-L1096</f>
        <v>0.26778760109421995</v>
      </c>
      <c r="N1096" s="1">
        <f>COUNTIF($M$1066:$M$1121,"&gt;"&amp;M1096)+COUNTIF($M$1066:M1096,M1096)</f>
        <v>42</v>
      </c>
      <c r="O1096" s="1">
        <f>J1096+L1096+IF(N1096&lt;=I1096-SUM($J$1066:$J$1121)-SUM($L$1066:$L$1121),1,0)</f>
        <v>42</v>
      </c>
    </row>
    <row r="1097" spans="1:15">
      <c r="A1097" s="1" t="s">
        <v>68</v>
      </c>
      <c r="B1097" s="1" t="s">
        <v>72</v>
      </c>
      <c r="C1097" s="1" t="s">
        <v>50</v>
      </c>
      <c r="D1097" s="1" t="s">
        <v>39</v>
      </c>
      <c r="E1097" s="1" t="s">
        <v>43</v>
      </c>
      <c r="F1097" s="1" t="s">
        <v>42</v>
      </c>
      <c r="G1097" s="1">
        <v>31464</v>
      </c>
      <c r="H1097" s="1">
        <f>'1_Departamento_n'!C21</f>
        <v>1746638</v>
      </c>
      <c r="I1097" s="1">
        <f>'1_Departamento_n'!H21</f>
        <v>1312</v>
      </c>
      <c r="J1097" s="1">
        <f>'0_Parametros'!B7</f>
        <v>10</v>
      </c>
      <c r="K1097" s="3">
        <f>(I1097-SUM($J$1066:$J$1121))*G1097/H1097</f>
        <v>13.546555153386105</v>
      </c>
      <c r="L1097" s="1">
        <f>INT(K1097)</f>
        <v>13</v>
      </c>
      <c r="M1097" s="3">
        <f>K1097-L1097</f>
        <v>0.5465551533861053</v>
      </c>
      <c r="N1097" s="1">
        <f>COUNTIF($M$1066:$M$1121,"&gt;"&amp;M1097)+COUNTIF($M$1066:M1097,M1097)</f>
        <v>27</v>
      </c>
      <c r="O1097" s="1">
        <f>J1097+L1097+IF(N1097&lt;=I1097-SUM($J$1066:$J$1121)-SUM($L$1066:$L$1121),1,0)</f>
        <v>24</v>
      </c>
    </row>
    <row r="1098" spans="1:15">
      <c r="A1098" s="1" t="s">
        <v>68</v>
      </c>
      <c r="B1098" s="1" t="s">
        <v>72</v>
      </c>
      <c r="C1098" s="1" t="s">
        <v>50</v>
      </c>
      <c r="D1098" s="1" t="s">
        <v>39</v>
      </c>
      <c r="E1098" s="1" t="s">
        <v>44</v>
      </c>
      <c r="F1098" s="1" t="s">
        <v>41</v>
      </c>
      <c r="G1098" s="1">
        <v>70780</v>
      </c>
      <c r="H1098" s="1">
        <f>'1_Departamento_n'!C21</f>
        <v>1746638</v>
      </c>
      <c r="I1098" s="1">
        <f>'1_Departamento_n'!H21</f>
        <v>1312</v>
      </c>
      <c r="J1098" s="1">
        <f>'0_Parametros'!B7</f>
        <v>10</v>
      </c>
      <c r="K1098" s="3">
        <f>(I1098-SUM($J$1066:$J$1121))*G1098/H1098</f>
        <v>30.47372151527678</v>
      </c>
      <c r="L1098" s="1">
        <f>INT(K1098)</f>
        <v>30</v>
      </c>
      <c r="M1098" s="3">
        <f>K1098-L1098</f>
        <v>0.47372151527677886</v>
      </c>
      <c r="N1098" s="1">
        <f>COUNTIF($M$1066:$M$1121,"&gt;"&amp;M1098)+COUNTIF($M$1066:M1098,M1098)</f>
        <v>31</v>
      </c>
      <c r="O1098" s="1">
        <f>J1098+L1098+IF(N1098&lt;=I1098-SUM($J$1066:$J$1121)-SUM($L$1066:$L$1121),1,0)</f>
        <v>40</v>
      </c>
    </row>
    <row r="1099" spans="1:15">
      <c r="A1099" s="1" t="s">
        <v>68</v>
      </c>
      <c r="B1099" s="1" t="s">
        <v>72</v>
      </c>
      <c r="C1099" s="1" t="s">
        <v>50</v>
      </c>
      <c r="D1099" s="1" t="s">
        <v>39</v>
      </c>
      <c r="E1099" s="1" t="s">
        <v>44</v>
      </c>
      <c r="F1099" s="1" t="s">
        <v>42</v>
      </c>
      <c r="G1099" s="1">
        <v>29710</v>
      </c>
      <c r="H1099" s="1">
        <f>'1_Departamento_n'!C21</f>
        <v>1746638</v>
      </c>
      <c r="I1099" s="1">
        <f>'1_Departamento_n'!H21</f>
        <v>1312</v>
      </c>
      <c r="J1099" s="1">
        <f>'0_Parametros'!B7</f>
        <v>10</v>
      </c>
      <c r="K1099" s="3">
        <f>(I1099-SUM($J$1066:$J$1121))*G1099/H1099</f>
        <v>12.79138550747207</v>
      </c>
      <c r="L1099" s="1">
        <f>INT(K1099)</f>
        <v>12</v>
      </c>
      <c r="M1099" s="3">
        <f>K1099-L1099</f>
        <v>0.7913855074720697</v>
      </c>
      <c r="N1099" s="1">
        <f>COUNTIF($M$1066:$M$1121,"&gt;"&amp;M1099)+COUNTIF($M$1066:M1099,M1099)</f>
        <v>15</v>
      </c>
      <c r="O1099" s="1">
        <f>J1099+L1099+IF(N1099&lt;=I1099-SUM($J$1066:$J$1121)-SUM($L$1066:$L$1121),1,0)</f>
        <v>23</v>
      </c>
    </row>
    <row r="1100" spans="1:15">
      <c r="A1100" s="1" t="s">
        <v>68</v>
      </c>
      <c r="B1100" s="1" t="s">
        <v>72</v>
      </c>
      <c r="C1100" s="1" t="s">
        <v>50</v>
      </c>
      <c r="D1100" s="1" t="s">
        <v>39</v>
      </c>
      <c r="E1100" s="1" t="s">
        <v>45</v>
      </c>
      <c r="F1100" s="1" t="s">
        <v>41</v>
      </c>
      <c r="G1100" s="1">
        <v>71180</v>
      </c>
      <c r="H1100" s="1">
        <f>'1_Departamento_n'!C21</f>
        <v>1746638</v>
      </c>
      <c r="I1100" s="1">
        <f>'1_Departamento_n'!H21</f>
        <v>1312</v>
      </c>
      <c r="J1100" s="1">
        <f>'0_Parametros'!B7</f>
        <v>10</v>
      </c>
      <c r="K1100" s="3">
        <f>(I1100-SUM($J$1066:$J$1121))*G1100/H1100</f>
        <v>30.645938082189897</v>
      </c>
      <c r="L1100" s="1">
        <f>INT(K1100)</f>
        <v>30</v>
      </c>
      <c r="M1100" s="3">
        <f>K1100-L1100</f>
        <v>0.6459380821898968</v>
      </c>
      <c r="N1100" s="1">
        <f>COUNTIF($M$1066:$M$1121,"&gt;"&amp;M1100)+COUNTIF($M$1066:M1100,M1100)</f>
        <v>20</v>
      </c>
      <c r="O1100" s="1">
        <f>J1100+L1100+IF(N1100&lt;=I1100-SUM($J$1066:$J$1121)-SUM($L$1066:$L$1121),1,0)</f>
        <v>41</v>
      </c>
    </row>
    <row r="1101" spans="1:15">
      <c r="A1101" s="1" t="s">
        <v>68</v>
      </c>
      <c r="B1101" s="1" t="s">
        <v>72</v>
      </c>
      <c r="C1101" s="1" t="s">
        <v>50</v>
      </c>
      <c r="D1101" s="1" t="s">
        <v>39</v>
      </c>
      <c r="E1101" s="1" t="s">
        <v>45</v>
      </c>
      <c r="F1101" s="1" t="s">
        <v>42</v>
      </c>
      <c r="G1101" s="1">
        <v>26532</v>
      </c>
      <c r="H1101" s="1">
        <f>'1_Departamento_n'!C21</f>
        <v>1746638</v>
      </c>
      <c r="I1101" s="1">
        <f>'1_Departamento_n'!H21</f>
        <v>1312</v>
      </c>
      <c r="J1101" s="1">
        <f>'0_Parametros'!B7</f>
        <v>10</v>
      </c>
      <c r="K1101" s="3">
        <f>(I1101-SUM($J$1066:$J$1121))*G1101/H1101</f>
        <v>11.423124883347322</v>
      </c>
      <c r="L1101" s="1">
        <f>INT(K1101)</f>
        <v>11</v>
      </c>
      <c r="M1101" s="3">
        <f>K1101-L1101</f>
        <v>0.423124883347322</v>
      </c>
      <c r="N1101" s="1">
        <f>COUNTIF($M$1066:$M$1121,"&gt;"&amp;M1101)+COUNTIF($M$1066:M1101,M1101)</f>
        <v>37</v>
      </c>
      <c r="O1101" s="1">
        <f>J1101+L1101+IF(N1101&lt;=I1101-SUM($J$1066:$J$1121)-SUM($L$1066:$L$1121),1,0)</f>
        <v>21</v>
      </c>
    </row>
    <row r="1102" spans="1:15">
      <c r="A1102" s="1" t="s">
        <v>68</v>
      </c>
      <c r="B1102" s="1" t="s">
        <v>72</v>
      </c>
      <c r="C1102" s="1" t="s">
        <v>50</v>
      </c>
      <c r="D1102" s="1" t="s">
        <v>39</v>
      </c>
      <c r="E1102" s="1" t="s">
        <v>46</v>
      </c>
      <c r="F1102" s="1" t="s">
        <v>41</v>
      </c>
      <c r="G1102" s="1">
        <v>68682</v>
      </c>
      <c r="H1102" s="1">
        <f>'1_Departamento_n'!C21</f>
        <v>1746638</v>
      </c>
      <c r="I1102" s="1">
        <f>'1_Departamento_n'!H21</f>
        <v>1312</v>
      </c>
      <c r="J1102" s="1">
        <f>'0_Parametros'!B7</f>
        <v>10</v>
      </c>
      <c r="K1102" s="3">
        <f>(I1102-SUM($J$1066:$J$1121))*G1102/H1102</f>
        <v>29.570445621817456</v>
      </c>
      <c r="L1102" s="1">
        <f>INT(K1102)</f>
        <v>29</v>
      </c>
      <c r="M1102" s="3">
        <f>K1102-L1102</f>
        <v>0.5704456218174556</v>
      </c>
      <c r="N1102" s="1">
        <f>COUNTIF($M$1066:$M$1121,"&gt;"&amp;M1102)+COUNTIF($M$1066:M1102,M1102)</f>
        <v>24</v>
      </c>
      <c r="O1102" s="1">
        <f>J1102+L1102+IF(N1102&lt;=I1102-SUM($J$1066:$J$1121)-SUM($L$1066:$L$1121),1,0)</f>
        <v>40</v>
      </c>
    </row>
    <row r="1103" spans="1:15">
      <c r="A1103" s="1" t="s">
        <v>68</v>
      </c>
      <c r="B1103" s="1" t="s">
        <v>72</v>
      </c>
      <c r="C1103" s="1" t="s">
        <v>50</v>
      </c>
      <c r="D1103" s="1" t="s">
        <v>39</v>
      </c>
      <c r="E1103" s="1" t="s">
        <v>46</v>
      </c>
      <c r="F1103" s="1" t="s">
        <v>42</v>
      </c>
      <c r="G1103" s="1">
        <v>21986</v>
      </c>
      <c r="H1103" s="1">
        <f>'1_Departamento_n'!C21</f>
        <v>1746638</v>
      </c>
      <c r="I1103" s="1">
        <f>'1_Departamento_n'!H21</f>
        <v>1312</v>
      </c>
      <c r="J1103" s="1">
        <f>'0_Parametros'!B7</f>
        <v>10</v>
      </c>
      <c r="K1103" s="3">
        <f>(I1103-SUM($J$1066:$J$1121))*G1103/H1103</f>
        <v>9.465883600379701</v>
      </c>
      <c r="L1103" s="1">
        <f>INT(K1103)</f>
        <v>9</v>
      </c>
      <c r="M1103" s="3">
        <f>K1103-L1103</f>
        <v>0.46588360037970133</v>
      </c>
      <c r="N1103" s="1">
        <f>COUNTIF($M$1066:$M$1121,"&gt;"&amp;M1103)+COUNTIF($M$1066:M1103,M1103)</f>
        <v>32</v>
      </c>
      <c r="O1103" s="1">
        <f>J1103+L1103+IF(N1103&lt;=I1103-SUM($J$1066:$J$1121)-SUM($L$1066:$L$1121),1,0)</f>
        <v>19</v>
      </c>
    </row>
    <row r="1104" spans="1:15">
      <c r="A1104" s="1" t="s">
        <v>68</v>
      </c>
      <c r="B1104" s="1" t="s">
        <v>72</v>
      </c>
      <c r="C1104" s="1" t="s">
        <v>50</v>
      </c>
      <c r="D1104" s="1" t="s">
        <v>39</v>
      </c>
      <c r="E1104" s="1" t="s">
        <v>47</v>
      </c>
      <c r="F1104" s="1" t="s">
        <v>41</v>
      </c>
      <c r="G1104" s="1">
        <v>62272</v>
      </c>
      <c r="H1104" s="1">
        <f>'1_Departamento_n'!C21</f>
        <v>1746638</v>
      </c>
      <c r="I1104" s="1">
        <f>'1_Departamento_n'!H21</f>
        <v>1312</v>
      </c>
      <c r="J1104" s="1">
        <f>'0_Parametros'!B7</f>
        <v>10</v>
      </c>
      <c r="K1104" s="3">
        <f>(I1104-SUM($J$1066:$J$1121))*G1104/H1104</f>
        <v>26.810675137034693</v>
      </c>
      <c r="L1104" s="1">
        <f>INT(K1104)</f>
        <v>26</v>
      </c>
      <c r="M1104" s="3">
        <f>K1104-L1104</f>
        <v>0.8106751370346927</v>
      </c>
      <c r="N1104" s="1">
        <f>COUNTIF($M$1066:$M$1121,"&gt;"&amp;M1104)+COUNTIF($M$1066:M1104,M1104)</f>
        <v>13</v>
      </c>
      <c r="O1104" s="1">
        <f>J1104+L1104+IF(N1104&lt;=I1104-SUM($J$1066:$J$1121)-SUM($L$1066:$L$1121),1,0)</f>
        <v>37</v>
      </c>
    </row>
    <row r="1105" spans="1:15">
      <c r="A1105" s="1" t="s">
        <v>68</v>
      </c>
      <c r="B1105" s="1" t="s">
        <v>72</v>
      </c>
      <c r="C1105" s="1" t="s">
        <v>50</v>
      </c>
      <c r="D1105" s="1" t="s">
        <v>39</v>
      </c>
      <c r="E1105" s="1" t="s">
        <v>47</v>
      </c>
      <c r="F1105" s="1" t="s">
        <v>42</v>
      </c>
      <c r="G1105" s="1">
        <v>17225</v>
      </c>
      <c r="H1105" s="1">
        <f>'1_Departamento_n'!C21</f>
        <v>1746638</v>
      </c>
      <c r="I1105" s="1">
        <f>'1_Departamento_n'!H21</f>
        <v>1312</v>
      </c>
      <c r="J1105" s="1">
        <f>'0_Parametros'!B7</f>
        <v>10</v>
      </c>
      <c r="K1105" s="3">
        <f>(I1105-SUM($J$1066:$J$1121))*G1105/H1105</f>
        <v>7.416075912696277</v>
      </c>
      <c r="L1105" s="1">
        <f>INT(K1105)</f>
        <v>7</v>
      </c>
      <c r="M1105" s="3">
        <f>K1105-L1105</f>
        <v>0.416075912696277</v>
      </c>
      <c r="N1105" s="1">
        <f>COUNTIF($M$1066:$M$1121,"&gt;"&amp;M1105)+COUNTIF($M$1066:M1105,M1105)</f>
        <v>38</v>
      </c>
      <c r="O1105" s="1">
        <f>J1105+L1105+IF(N1105&lt;=I1105-SUM($J$1066:$J$1121)-SUM($L$1066:$L$1121),1,0)</f>
        <v>17</v>
      </c>
    </row>
    <row r="1106" spans="1:15">
      <c r="A1106" s="1" t="s">
        <v>68</v>
      </c>
      <c r="B1106" s="1" t="s">
        <v>72</v>
      </c>
      <c r="C1106" s="1" t="s">
        <v>50</v>
      </c>
      <c r="D1106" s="1" t="s">
        <v>39</v>
      </c>
      <c r="E1106" s="1" t="s">
        <v>48</v>
      </c>
      <c r="F1106" s="1" t="s">
        <v>41</v>
      </c>
      <c r="G1106" s="1">
        <v>100107</v>
      </c>
      <c r="H1106" s="1">
        <f>'1_Departamento_n'!C21</f>
        <v>1746638</v>
      </c>
      <c r="I1106" s="1">
        <f>'1_Departamento_n'!H21</f>
        <v>1312</v>
      </c>
      <c r="J1106" s="1">
        <f>'0_Parametros'!B7</f>
        <v>10</v>
      </c>
      <c r="K1106" s="3">
        <f>(I1106-SUM($J$1066:$J$1121))*G1106/H1106</f>
        <v>43.10020965992953</v>
      </c>
      <c r="L1106" s="1">
        <f>INT(K1106)</f>
        <v>43</v>
      </c>
      <c r="M1106" s="3">
        <f>K1106-L1106</f>
        <v>0.10020965992953279</v>
      </c>
      <c r="N1106" s="1">
        <f>COUNTIF($M$1066:$M$1121,"&gt;"&amp;M1106)+COUNTIF($M$1066:M1106,M1106)</f>
        <v>49</v>
      </c>
      <c r="O1106" s="1">
        <f>J1106+L1106+IF(N1106&lt;=I1106-SUM($J$1066:$J$1121)-SUM($L$1066:$L$1121),1,0)</f>
        <v>53</v>
      </c>
    </row>
    <row r="1107" spans="1:15">
      <c r="A1107" s="1" t="s">
        <v>68</v>
      </c>
      <c r="B1107" s="1" t="s">
        <v>72</v>
      </c>
      <c r="C1107" s="1" t="s">
        <v>50</v>
      </c>
      <c r="D1107" s="1" t="s">
        <v>39</v>
      </c>
      <c r="E1107" s="1" t="s">
        <v>48</v>
      </c>
      <c r="F1107" s="1" t="s">
        <v>42</v>
      </c>
      <c r="G1107" s="1">
        <v>23834</v>
      </c>
      <c r="H1107" s="1">
        <f>'1_Departamento_n'!C21</f>
        <v>1746638</v>
      </c>
      <c r="I1107" s="1">
        <f>'1_Departamento_n'!H21</f>
        <v>1312</v>
      </c>
      <c r="J1107" s="1">
        <f>'0_Parametros'!B7</f>
        <v>10</v>
      </c>
      <c r="K1107" s="3">
        <f>(I1107-SUM($J$1066:$J$1121))*G1107/H1107</f>
        <v>10.26152413951832</v>
      </c>
      <c r="L1107" s="1">
        <f>INT(K1107)</f>
        <v>10</v>
      </c>
      <c r="M1107" s="3">
        <f>K1107-L1107</f>
        <v>0.2615241395183201</v>
      </c>
      <c r="N1107" s="1">
        <f>COUNTIF($M$1066:$M$1121,"&gt;"&amp;M1107)+COUNTIF($M$1066:M1107,M1107)</f>
        <v>43</v>
      </c>
      <c r="O1107" s="1">
        <f>J1107+L1107+IF(N1107&lt;=I1107-SUM($J$1066:$J$1121)-SUM($L$1066:$L$1121),1,0)</f>
        <v>20</v>
      </c>
    </row>
    <row r="1108" spans="1:15">
      <c r="A1108" s="1" t="s">
        <v>68</v>
      </c>
      <c r="B1108" s="1" t="s">
        <v>72</v>
      </c>
      <c r="C1108" s="1" t="s">
        <v>50</v>
      </c>
      <c r="D1108" s="1" t="s">
        <v>49</v>
      </c>
      <c r="E1108" s="1" t="s">
        <v>40</v>
      </c>
      <c r="F1108" s="1" t="s">
        <v>41</v>
      </c>
      <c r="G1108" s="1">
        <v>60520</v>
      </c>
      <c r="H1108" s="1">
        <f>'1_Departamento_n'!C21</f>
        <v>1746638</v>
      </c>
      <c r="I1108" s="1">
        <f>'1_Departamento_n'!H21</f>
        <v>1312</v>
      </c>
      <c r="J1108" s="1">
        <f>'0_Parametros'!B7</f>
        <v>10</v>
      </c>
      <c r="K1108" s="3">
        <f>(I1108-SUM($J$1066:$J$1121))*G1108/H1108</f>
        <v>26.05636657395522</v>
      </c>
      <c r="L1108" s="1">
        <f>INT(K1108)</f>
        <v>26</v>
      </c>
      <c r="M1108" s="3">
        <f>K1108-L1108</f>
        <v>0.056366573955219934</v>
      </c>
      <c r="N1108" s="1">
        <f>COUNTIF($M$1066:$M$1121,"&gt;"&amp;M1108)+COUNTIF($M$1066:M1108,M1108)</f>
        <v>53</v>
      </c>
      <c r="O1108" s="1">
        <f>J1108+L1108+IF(N1108&lt;=I1108-SUM($J$1066:$J$1121)-SUM($L$1066:$L$1121),1,0)</f>
        <v>36</v>
      </c>
    </row>
    <row r="1109" spans="1:15">
      <c r="A1109" s="1" t="s">
        <v>68</v>
      </c>
      <c r="B1109" s="1" t="s">
        <v>72</v>
      </c>
      <c r="C1109" s="1" t="s">
        <v>50</v>
      </c>
      <c r="D1109" s="1" t="s">
        <v>49</v>
      </c>
      <c r="E1109" s="1" t="s">
        <v>40</v>
      </c>
      <c r="F1109" s="1" t="s">
        <v>42</v>
      </c>
      <c r="G1109" s="1">
        <v>29155</v>
      </c>
      <c r="H1109" s="1">
        <f>'1_Departamento_n'!C21</f>
        <v>1746638</v>
      </c>
      <c r="I1109" s="1">
        <f>'1_Departamento_n'!H21</f>
        <v>1312</v>
      </c>
      <c r="J1109" s="1">
        <f>'0_Parametros'!B7</f>
        <v>10</v>
      </c>
      <c r="K1109" s="3">
        <f>(I1109-SUM($J$1066:$J$1121))*G1109/H1109</f>
        <v>12.552435020880115</v>
      </c>
      <c r="L1109" s="1">
        <f>INT(K1109)</f>
        <v>12</v>
      </c>
      <c r="M1109" s="3">
        <f>K1109-L1109</f>
        <v>0.5524350208801145</v>
      </c>
      <c r="N1109" s="1">
        <f>COUNTIF($M$1066:$M$1121,"&gt;"&amp;M1109)+COUNTIF($M$1066:M1109,M1109)</f>
        <v>26</v>
      </c>
      <c r="O1109" s="1">
        <f>J1109+L1109+IF(N1109&lt;=I1109-SUM($J$1066:$J$1121)-SUM($L$1066:$L$1121),1,0)</f>
        <v>23</v>
      </c>
    </row>
    <row r="1110" spans="1:15">
      <c r="A1110" s="1" t="s">
        <v>68</v>
      </c>
      <c r="B1110" s="1" t="s">
        <v>72</v>
      </c>
      <c r="C1110" s="1" t="s">
        <v>50</v>
      </c>
      <c r="D1110" s="1" t="s">
        <v>49</v>
      </c>
      <c r="E1110" s="1" t="s">
        <v>43</v>
      </c>
      <c r="F1110" s="1" t="s">
        <v>41</v>
      </c>
      <c r="G1110" s="1">
        <v>77687</v>
      </c>
      <c r="H1110" s="1">
        <f>'1_Departamento_n'!C21</f>
        <v>1746638</v>
      </c>
      <c r="I1110" s="1">
        <f>'1_Departamento_n'!H21</f>
        <v>1312</v>
      </c>
      <c r="J1110" s="1">
        <f>'0_Parametros'!B7</f>
        <v>10</v>
      </c>
      <c r="K1110" s="3">
        <f>(I1110-SUM($J$1066:$J$1121))*G1110/H1110</f>
        <v>33.4474710844491</v>
      </c>
      <c r="L1110" s="1">
        <f>INT(K1110)</f>
        <v>33</v>
      </c>
      <c r="M1110" s="3">
        <f>K1110-L1110</f>
        <v>0.44747108444909856</v>
      </c>
      <c r="N1110" s="1">
        <f>COUNTIF($M$1066:$M$1121,"&gt;"&amp;M1110)+COUNTIF($M$1066:M1110,M1110)</f>
        <v>34</v>
      </c>
      <c r="O1110" s="1">
        <f>J1110+L1110+IF(N1110&lt;=I1110-SUM($J$1066:$J$1121)-SUM($L$1066:$L$1121),1,0)</f>
        <v>43</v>
      </c>
    </row>
    <row r="1111" spans="1:15">
      <c r="A1111" s="1" t="s">
        <v>68</v>
      </c>
      <c r="B1111" s="1" t="s">
        <v>72</v>
      </c>
      <c r="C1111" s="1" t="s">
        <v>50</v>
      </c>
      <c r="D1111" s="1" t="s">
        <v>49</v>
      </c>
      <c r="E1111" s="1" t="s">
        <v>43</v>
      </c>
      <c r="F1111" s="1" t="s">
        <v>42</v>
      </c>
      <c r="G1111" s="1">
        <v>32188</v>
      </c>
      <c r="H1111" s="1">
        <f>'1_Departamento_n'!C21</f>
        <v>1746638</v>
      </c>
      <c r="I1111" s="1">
        <f>'1_Departamento_n'!H21</f>
        <v>1312</v>
      </c>
      <c r="J1111" s="1">
        <f>'0_Parametros'!B7</f>
        <v>10</v>
      </c>
      <c r="K1111" s="3">
        <f>(I1111-SUM($J$1066:$J$1121))*G1111/H1111</f>
        <v>13.858267139498855</v>
      </c>
      <c r="L1111" s="1">
        <f>INT(K1111)</f>
        <v>13</v>
      </c>
      <c r="M1111" s="3">
        <f>K1111-L1111</f>
        <v>0.8582671394988548</v>
      </c>
      <c r="N1111" s="1">
        <f>COUNTIF($M$1066:$M$1121,"&gt;"&amp;M1111)+COUNTIF($M$1066:M1111,M1111)</f>
        <v>10</v>
      </c>
      <c r="O1111" s="1">
        <f>J1111+L1111+IF(N1111&lt;=I1111-SUM($J$1066:$J$1121)-SUM($L$1066:$L$1121),1,0)</f>
        <v>24</v>
      </c>
    </row>
    <row r="1112" spans="1:15">
      <c r="A1112" s="1" t="s">
        <v>68</v>
      </c>
      <c r="B1112" s="1" t="s">
        <v>72</v>
      </c>
      <c r="C1112" s="1" t="s">
        <v>50</v>
      </c>
      <c r="D1112" s="1" t="s">
        <v>49</v>
      </c>
      <c r="E1112" s="1" t="s">
        <v>44</v>
      </c>
      <c r="F1112" s="1" t="s">
        <v>41</v>
      </c>
      <c r="G1112" s="1">
        <v>59444</v>
      </c>
      <c r="H1112" s="1">
        <f>'1_Departamento_n'!C21</f>
        <v>1746638</v>
      </c>
      <c r="I1112" s="1">
        <f>'1_Departamento_n'!H21</f>
        <v>1312</v>
      </c>
      <c r="J1112" s="1">
        <f>'0_Parametros'!B7</f>
        <v>10</v>
      </c>
      <c r="K1112" s="3">
        <f>(I1112-SUM($J$1066:$J$1121))*G1112/H1112</f>
        <v>25.593104008958925</v>
      </c>
      <c r="L1112" s="1">
        <f>INT(K1112)</f>
        <v>25</v>
      </c>
      <c r="M1112" s="3">
        <f>K1112-L1112</f>
        <v>0.5931040089589246</v>
      </c>
      <c r="N1112" s="1">
        <f>COUNTIF($M$1066:$M$1121,"&gt;"&amp;M1112)+COUNTIF($M$1066:M1112,M1112)</f>
        <v>23</v>
      </c>
      <c r="O1112" s="1">
        <f>J1112+L1112+IF(N1112&lt;=I1112-SUM($J$1066:$J$1121)-SUM($L$1066:$L$1121),1,0)</f>
        <v>36</v>
      </c>
    </row>
    <row r="1113" spans="1:15">
      <c r="A1113" s="1" t="s">
        <v>68</v>
      </c>
      <c r="B1113" s="1" t="s">
        <v>72</v>
      </c>
      <c r="C1113" s="1" t="s">
        <v>50</v>
      </c>
      <c r="D1113" s="1" t="s">
        <v>49</v>
      </c>
      <c r="E1113" s="1" t="s">
        <v>44</v>
      </c>
      <c r="F1113" s="1" t="s">
        <v>42</v>
      </c>
      <c r="G1113" s="1">
        <v>28127</v>
      </c>
      <c r="H1113" s="1">
        <f>'1_Departamento_n'!C21</f>
        <v>1746638</v>
      </c>
      <c r="I1113" s="1">
        <f>'1_Departamento_n'!H21</f>
        <v>1312</v>
      </c>
      <c r="J1113" s="1">
        <f>'0_Parametros'!B7</f>
        <v>10</v>
      </c>
      <c r="K1113" s="3">
        <f>(I1113-SUM($J$1066:$J$1121))*G1113/H1113</f>
        <v>12.109838443913393</v>
      </c>
      <c r="L1113" s="1">
        <f>INT(K1113)</f>
        <v>12</v>
      </c>
      <c r="M1113" s="3">
        <f>K1113-L1113</f>
        <v>0.10983844391339304</v>
      </c>
      <c r="N1113" s="1">
        <f>COUNTIF($M$1066:$M$1121,"&gt;"&amp;M1113)+COUNTIF($M$1066:M1113,M1113)</f>
        <v>48</v>
      </c>
      <c r="O1113" s="1">
        <f>J1113+L1113+IF(N1113&lt;=I1113-SUM($J$1066:$J$1121)-SUM($L$1066:$L$1121),1,0)</f>
        <v>22</v>
      </c>
    </row>
    <row r="1114" spans="1:15">
      <c r="A1114" s="1" t="s">
        <v>68</v>
      </c>
      <c r="B1114" s="1" t="s">
        <v>72</v>
      </c>
      <c r="C1114" s="1" t="s">
        <v>50</v>
      </c>
      <c r="D1114" s="1" t="s">
        <v>49</v>
      </c>
      <c r="E1114" s="1" t="s">
        <v>45</v>
      </c>
      <c r="F1114" s="1" t="s">
        <v>41</v>
      </c>
      <c r="G1114" s="1">
        <v>59076</v>
      </c>
      <c r="H1114" s="1">
        <f>'1_Departamento_n'!C21</f>
        <v>1746638</v>
      </c>
      <c r="I1114" s="1">
        <f>'1_Departamento_n'!H21</f>
        <v>1312</v>
      </c>
      <c r="J1114" s="1">
        <f>'0_Parametros'!B7</f>
        <v>10</v>
      </c>
      <c r="K1114" s="3">
        <f>(I1114-SUM($J$1066:$J$1121))*G1114/H1114</f>
        <v>25.434664767398854</v>
      </c>
      <c r="L1114" s="1">
        <f>INT(K1114)</f>
        <v>25</v>
      </c>
      <c r="M1114" s="3">
        <f>K1114-L1114</f>
        <v>0.4346647673988535</v>
      </c>
      <c r="N1114" s="1">
        <f>COUNTIF($M$1066:$M$1121,"&gt;"&amp;M1114)+COUNTIF($M$1066:M1114,M1114)</f>
        <v>36</v>
      </c>
      <c r="O1114" s="1">
        <f>J1114+L1114+IF(N1114&lt;=I1114-SUM($J$1066:$J$1121)-SUM($L$1066:$L$1121),1,0)</f>
        <v>35</v>
      </c>
    </row>
    <row r="1115" spans="1:15">
      <c r="A1115" s="1" t="s">
        <v>68</v>
      </c>
      <c r="B1115" s="1" t="s">
        <v>72</v>
      </c>
      <c r="C1115" s="1" t="s">
        <v>50</v>
      </c>
      <c r="D1115" s="1" t="s">
        <v>49</v>
      </c>
      <c r="E1115" s="1" t="s">
        <v>45</v>
      </c>
      <c r="F1115" s="1" t="s">
        <v>42</v>
      </c>
      <c r="G1115" s="1">
        <v>26457</v>
      </c>
      <c r="H1115" s="1">
        <f>'1_Departamento_n'!C21</f>
        <v>1746638</v>
      </c>
      <c r="I1115" s="1">
        <f>'1_Departamento_n'!H21</f>
        <v>1312</v>
      </c>
      <c r="J1115" s="1">
        <f>'0_Parametros'!B7</f>
        <v>10</v>
      </c>
      <c r="K1115" s="3">
        <f>(I1115-SUM($J$1066:$J$1121))*G1115/H1115</f>
        <v>11.390834277051113</v>
      </c>
      <c r="L1115" s="1">
        <f>INT(K1115)</f>
        <v>11</v>
      </c>
      <c r="M1115" s="3">
        <f>K1115-L1115</f>
        <v>0.3908342770511126</v>
      </c>
      <c r="N1115" s="1">
        <f>COUNTIF($M$1066:$M$1121,"&gt;"&amp;M1115)+COUNTIF($M$1066:M1115,M1115)</f>
        <v>39</v>
      </c>
      <c r="O1115" s="1">
        <f>J1115+L1115+IF(N1115&lt;=I1115-SUM($J$1066:$J$1121)-SUM($L$1066:$L$1121),1,0)</f>
        <v>21</v>
      </c>
    </row>
    <row r="1116" spans="1:15">
      <c r="A1116" s="1" t="s">
        <v>68</v>
      </c>
      <c r="B1116" s="1" t="s">
        <v>72</v>
      </c>
      <c r="C1116" s="1" t="s">
        <v>50</v>
      </c>
      <c r="D1116" s="1" t="s">
        <v>49</v>
      </c>
      <c r="E1116" s="1" t="s">
        <v>46</v>
      </c>
      <c r="F1116" s="1" t="s">
        <v>41</v>
      </c>
      <c r="G1116" s="1">
        <v>56131</v>
      </c>
      <c r="H1116" s="1">
        <f>'1_Departamento_n'!C21</f>
        <v>1746638</v>
      </c>
      <c r="I1116" s="1">
        <f>'1_Departamento_n'!H21</f>
        <v>1312</v>
      </c>
      <c r="J1116" s="1">
        <f>'0_Parametros'!B7</f>
        <v>10</v>
      </c>
      <c r="K1116" s="3">
        <f>(I1116-SUM($J$1066:$J$1121))*G1116/H1116</f>
        <v>24.166720293501</v>
      </c>
      <c r="L1116" s="1">
        <f>INT(K1116)</f>
        <v>24</v>
      </c>
      <c r="M1116" s="3">
        <f>K1116-L1116</f>
        <v>0.16672029350100104</v>
      </c>
      <c r="N1116" s="1">
        <f>COUNTIF($M$1066:$M$1121,"&gt;"&amp;M1116)+COUNTIF($M$1066:M1116,M1116)</f>
        <v>47</v>
      </c>
      <c r="O1116" s="1">
        <f>J1116+L1116+IF(N1116&lt;=I1116-SUM($J$1066:$J$1121)-SUM($L$1066:$L$1121),1,0)</f>
        <v>34</v>
      </c>
    </row>
    <row r="1117" spans="1:15">
      <c r="A1117" s="1" t="s">
        <v>68</v>
      </c>
      <c r="B1117" s="1" t="s">
        <v>72</v>
      </c>
      <c r="C1117" s="1" t="s">
        <v>50</v>
      </c>
      <c r="D1117" s="1" t="s">
        <v>49</v>
      </c>
      <c r="E1117" s="1" t="s">
        <v>46</v>
      </c>
      <c r="F1117" s="1" t="s">
        <v>42</v>
      </c>
      <c r="G1117" s="1">
        <v>23188</v>
      </c>
      <c r="H1117" s="1">
        <f>'1_Departamento_n'!C21</f>
        <v>1746638</v>
      </c>
      <c r="I1117" s="1">
        <f>'1_Departamento_n'!H21</f>
        <v>1312</v>
      </c>
      <c r="J1117" s="1">
        <f>'0_Parametros'!B7</f>
        <v>10</v>
      </c>
      <c r="K1117" s="3">
        <f>(I1117-SUM($J$1066:$J$1121))*G1117/H1117</f>
        <v>9.98339438395363</v>
      </c>
      <c r="L1117" s="1">
        <f>INT(K1117)</f>
        <v>9</v>
      </c>
      <c r="M1117" s="3">
        <f>K1117-L1117</f>
        <v>0.9833943839536303</v>
      </c>
      <c r="N1117" s="1">
        <f>COUNTIF($M$1066:$M$1121,"&gt;"&amp;M1117)+COUNTIF($M$1066:M1117,M1117)</f>
        <v>4</v>
      </c>
      <c r="O1117" s="1">
        <f>J1117+L1117+IF(N1117&lt;=I1117-SUM($J$1066:$J$1121)-SUM($L$1066:$L$1121),1,0)</f>
        <v>20</v>
      </c>
    </row>
    <row r="1118" spans="1:15">
      <c r="A1118" s="1" t="s">
        <v>68</v>
      </c>
      <c r="B1118" s="1" t="s">
        <v>72</v>
      </c>
      <c r="C1118" s="1" t="s">
        <v>50</v>
      </c>
      <c r="D1118" s="1" t="s">
        <v>49</v>
      </c>
      <c r="E1118" s="1" t="s">
        <v>47</v>
      </c>
      <c r="F1118" s="1" t="s">
        <v>41</v>
      </c>
      <c r="G1118" s="1">
        <v>51068</v>
      </c>
      <c r="H1118" s="1">
        <f>'1_Departamento_n'!C21</f>
        <v>1746638</v>
      </c>
      <c r="I1118" s="1">
        <f>'1_Departamento_n'!H21</f>
        <v>1312</v>
      </c>
      <c r="J1118" s="1">
        <f>'0_Parametros'!B7</f>
        <v>10</v>
      </c>
      <c r="K1118" s="3">
        <f>(I1118-SUM($J$1066:$J$1121))*G1118/H1118</f>
        <v>21.98688909779817</v>
      </c>
      <c r="L1118" s="1">
        <f>INT(K1118)</f>
        <v>21</v>
      </c>
      <c r="M1118" s="3">
        <f>K1118-L1118</f>
        <v>0.9868890977981692</v>
      </c>
      <c r="N1118" s="1">
        <f>COUNTIF($M$1066:$M$1121,"&gt;"&amp;M1118)+COUNTIF($M$1066:M1118,M1118)</f>
        <v>2</v>
      </c>
      <c r="O1118" s="1">
        <f>J1118+L1118+IF(N1118&lt;=I1118-SUM($J$1066:$J$1121)-SUM($L$1066:$L$1121),1,0)</f>
        <v>32</v>
      </c>
    </row>
    <row r="1119" spans="1:15">
      <c r="A1119" s="1" t="s">
        <v>68</v>
      </c>
      <c r="B1119" s="1" t="s">
        <v>72</v>
      </c>
      <c r="C1119" s="1" t="s">
        <v>50</v>
      </c>
      <c r="D1119" s="1" t="s">
        <v>49</v>
      </c>
      <c r="E1119" s="1" t="s">
        <v>47</v>
      </c>
      <c r="F1119" s="1" t="s">
        <v>42</v>
      </c>
      <c r="G1119" s="1">
        <v>18578</v>
      </c>
      <c r="H1119" s="1">
        <f>'1_Departamento_n'!C21</f>
        <v>1746638</v>
      </c>
      <c r="I1119" s="1">
        <f>'1_Departamento_n'!H21</f>
        <v>1312</v>
      </c>
      <c r="J1119" s="1">
        <f>'0_Parametros'!B7</f>
        <v>10</v>
      </c>
      <c r="K1119" s="3">
        <f>(I1119-SUM($J$1066:$J$1121))*G1119/H1119</f>
        <v>7.998598450279909</v>
      </c>
      <c r="L1119" s="1">
        <f>INT(K1119)</f>
        <v>7</v>
      </c>
      <c r="M1119" s="3">
        <f>K1119-L1119</f>
        <v>0.9985984502799088</v>
      </c>
      <c r="N1119" s="1">
        <f>COUNTIF($M$1066:$M$1121,"&gt;"&amp;M1119)+COUNTIF($M$1066:M1119,M1119)</f>
        <v>1</v>
      </c>
      <c r="O1119" s="1">
        <f>J1119+L1119+IF(N1119&lt;=I1119-SUM($J$1066:$J$1121)-SUM($L$1066:$L$1121),1,0)</f>
        <v>18</v>
      </c>
    </row>
    <row r="1120" spans="1:15">
      <c r="A1120" s="1" t="s">
        <v>68</v>
      </c>
      <c r="B1120" s="1" t="s">
        <v>72</v>
      </c>
      <c r="C1120" s="1" t="s">
        <v>50</v>
      </c>
      <c r="D1120" s="1" t="s">
        <v>49</v>
      </c>
      <c r="E1120" s="1" t="s">
        <v>48</v>
      </c>
      <c r="F1120" s="1" t="s">
        <v>41</v>
      </c>
      <c r="G1120" s="1">
        <v>80119</v>
      </c>
      <c r="H1120" s="1">
        <f>'1_Departamento_n'!C21</f>
        <v>1746638</v>
      </c>
      <c r="I1120" s="1">
        <f>'1_Departamento_n'!H21</f>
        <v>1312</v>
      </c>
      <c r="J1120" s="1">
        <f>'0_Parametros'!B7</f>
        <v>10</v>
      </c>
      <c r="K1120" s="3">
        <f>(I1120-SUM($J$1066:$J$1121))*G1120/H1120</f>
        <v>34.494547811280874</v>
      </c>
      <c r="L1120" s="1">
        <f>INT(K1120)</f>
        <v>34</v>
      </c>
      <c r="M1120" s="3">
        <f>K1120-L1120</f>
        <v>0.4945478112808743</v>
      </c>
      <c r="N1120" s="1">
        <f>COUNTIF($M$1066:$M$1121,"&gt;"&amp;M1120)+COUNTIF($M$1066:M1120,M1120)</f>
        <v>30</v>
      </c>
      <c r="O1120" s="1">
        <f>J1120+L1120+IF(N1120&lt;=I1120-SUM($J$1066:$J$1121)-SUM($L$1066:$L$1121),1,0)</f>
        <v>44</v>
      </c>
    </row>
    <row r="1121" spans="1:15">
      <c r="A1121" s="1" t="s">
        <v>68</v>
      </c>
      <c r="B1121" s="1" t="s">
        <v>72</v>
      </c>
      <c r="C1121" s="1" t="s">
        <v>50</v>
      </c>
      <c r="D1121" s="1" t="s">
        <v>49</v>
      </c>
      <c r="E1121" s="1" t="s">
        <v>48</v>
      </c>
      <c r="F1121" s="1" t="s">
        <v>42</v>
      </c>
      <c r="G1121" s="1">
        <v>26972</v>
      </c>
      <c r="H1121" s="1">
        <f>'1_Departamento_n'!C21</f>
        <v>1746638</v>
      </c>
      <c r="I1121" s="1">
        <f>'1_Departamento_n'!H21</f>
        <v>1312</v>
      </c>
      <c r="J1121" s="1">
        <f>'0_Parametros'!B7</f>
        <v>10</v>
      </c>
      <c r="K1121" s="3">
        <f>(I1121-SUM($J$1066:$J$1121))*G1121/H1121</f>
        <v>11.612563106951756</v>
      </c>
      <c r="L1121" s="1">
        <f>INT(K1121)</f>
        <v>11</v>
      </c>
      <c r="M1121" s="3">
        <f>K1121-L1121</f>
        <v>0.6125631069517556</v>
      </c>
      <c r="N1121" s="1">
        <f>COUNTIF($M$1066:$M$1121,"&gt;"&amp;M1121)+COUNTIF($M$1066:M1121,M1121)</f>
        <v>22</v>
      </c>
      <c r="O1121" s="1">
        <f>J1121+L1121+IF(N1121&lt;=I1121-SUM($J$1066:$J$1121)-SUM($L$1066:$L$1121),1,0)</f>
        <v>22</v>
      </c>
    </row>
    <row r="1122" spans="1:15">
      <c r="A1122" s="1" t="s">
        <v>68</v>
      </c>
      <c r="B1122" s="1" t="s">
        <v>73</v>
      </c>
      <c r="C1122" s="1" t="s">
        <v>38</v>
      </c>
      <c r="D1122" s="1" t="s">
        <v>39</v>
      </c>
      <c r="E1122" s="1" t="s">
        <v>40</v>
      </c>
      <c r="F1122" s="1" t="s">
        <v>41</v>
      </c>
      <c r="G1122" s="1">
        <v>44409</v>
      </c>
      <c r="H1122" s="1">
        <f>'1_Departamento_n'!C22</f>
        <v>2270133</v>
      </c>
      <c r="I1122" s="1">
        <f>'1_Departamento_n'!H22</f>
        <v>1312</v>
      </c>
      <c r="J1122" s="1">
        <f>'0_Parametros'!B7</f>
        <v>10</v>
      </c>
      <c r="K1122" s="3">
        <f>(I1122-SUM($J$1122:$J$1177))*G1122/H1122</f>
        <v>14.7108420519855</v>
      </c>
      <c r="L1122" s="1">
        <f>INT(K1122)</f>
        <v>14</v>
      </c>
      <c r="M1122" s="3">
        <f>K1122-L1122</f>
        <v>0.7108420519854999</v>
      </c>
      <c r="N1122" s="1">
        <f>COUNTIF($M$1122:$M$1177,"&gt;"&amp;M1122)+COUNTIF($M$1122:M1122,M1122)</f>
        <v>22</v>
      </c>
      <c r="O1122" s="1">
        <f>J1122+L1122+IF(N1122&lt;=I1122-SUM($J$1122:$J$1177)-SUM($L$1122:$L$1177),1,0)</f>
        <v>25</v>
      </c>
    </row>
    <row r="1123" spans="1:15">
      <c r="A1123" s="1" t="s">
        <v>68</v>
      </c>
      <c r="B1123" s="1" t="s">
        <v>73</v>
      </c>
      <c r="C1123" s="1" t="s">
        <v>38</v>
      </c>
      <c r="D1123" s="1" t="s">
        <v>39</v>
      </c>
      <c r="E1123" s="1" t="s">
        <v>40</v>
      </c>
      <c r="F1123" s="1" t="s">
        <v>42</v>
      </c>
      <c r="G1123" s="1">
        <v>5935</v>
      </c>
      <c r="H1123" s="1">
        <f>'1_Departamento_n'!C22</f>
        <v>2270133</v>
      </c>
      <c r="I1123" s="1">
        <f>'1_Departamento_n'!H22</f>
        <v>1312</v>
      </c>
      <c r="J1123" s="1">
        <f>'0_Parametros'!B7</f>
        <v>10</v>
      </c>
      <c r="K1123" s="3">
        <f>(I1123-SUM($J$1122:$J$1177))*G1123/H1123</f>
        <v>1.966016969049831</v>
      </c>
      <c r="L1123" s="1">
        <f>INT(K1123)</f>
        <v>1</v>
      </c>
      <c r="M1123" s="3">
        <f>K1123-L1123</f>
        <v>0.966016969049831</v>
      </c>
      <c r="N1123" s="1">
        <f>COUNTIF($M$1122:$M$1177,"&gt;"&amp;M1123)+COUNTIF($M$1122:M1123,M1123)</f>
        <v>5</v>
      </c>
      <c r="O1123" s="1">
        <f>J1123+L1123+IF(N1123&lt;=I1123-SUM($J$1122:$J$1177)-SUM($L$1122:$L$1177),1,0)</f>
        <v>12</v>
      </c>
    </row>
    <row r="1124" spans="1:15">
      <c r="A1124" s="1" t="s">
        <v>68</v>
      </c>
      <c r="B1124" s="1" t="s">
        <v>73</v>
      </c>
      <c r="C1124" s="1" t="s">
        <v>38</v>
      </c>
      <c r="D1124" s="1" t="s">
        <v>39</v>
      </c>
      <c r="E1124" s="1" t="s">
        <v>43</v>
      </c>
      <c r="F1124" s="1" t="s">
        <v>41</v>
      </c>
      <c r="G1124" s="1">
        <v>65225</v>
      </c>
      <c r="H1124" s="1">
        <f>'1_Departamento_n'!C22</f>
        <v>2270133</v>
      </c>
      <c r="I1124" s="1">
        <f>'1_Departamento_n'!H22</f>
        <v>1312</v>
      </c>
      <c r="J1124" s="1">
        <f>'0_Parametros'!B7</f>
        <v>10</v>
      </c>
      <c r="K1124" s="3">
        <f>(I1124-SUM($J$1122:$J$1177))*G1124/H1124</f>
        <v>21.6063111720767</v>
      </c>
      <c r="L1124" s="1">
        <f>INT(K1124)</f>
        <v>21</v>
      </c>
      <c r="M1124" s="3">
        <f>K1124-L1124</f>
        <v>0.6063111720767012</v>
      </c>
      <c r="N1124" s="1">
        <f>COUNTIF($M$1122:$M$1177,"&gt;"&amp;M1124)+COUNTIF($M$1122:M1124,M1124)</f>
        <v>29</v>
      </c>
      <c r="O1124" s="1">
        <f>J1124+L1124+IF(N1124&lt;=I1124-SUM($J$1122:$J$1177)-SUM($L$1122:$L$1177),1,0)</f>
        <v>32</v>
      </c>
    </row>
    <row r="1125" spans="1:15">
      <c r="A1125" s="1" t="s">
        <v>68</v>
      </c>
      <c r="B1125" s="1" t="s">
        <v>73</v>
      </c>
      <c r="C1125" s="1" t="s">
        <v>38</v>
      </c>
      <c r="D1125" s="1" t="s">
        <v>39</v>
      </c>
      <c r="E1125" s="1" t="s">
        <v>43</v>
      </c>
      <c r="F1125" s="1" t="s">
        <v>42</v>
      </c>
      <c r="G1125" s="1">
        <v>5446</v>
      </c>
      <c r="H1125" s="1">
        <f>'1_Departamento_n'!C22</f>
        <v>2270133</v>
      </c>
      <c r="I1125" s="1">
        <f>'1_Departamento_n'!H22</f>
        <v>1312</v>
      </c>
      <c r="J1125" s="1">
        <f>'0_Parametros'!B7</f>
        <v>10</v>
      </c>
      <c r="K1125" s="3">
        <f>(I1125-SUM($J$1122:$J$1177))*G1125/H1125</f>
        <v>1.804031746157604</v>
      </c>
      <c r="L1125" s="1">
        <f>INT(K1125)</f>
        <v>1</v>
      </c>
      <c r="M1125" s="3">
        <f>K1125-L1125</f>
        <v>0.8040317461576041</v>
      </c>
      <c r="N1125" s="1">
        <f>COUNTIF($M$1122:$M$1177,"&gt;"&amp;M1125)+COUNTIF($M$1122:M1125,M1125)</f>
        <v>15</v>
      </c>
      <c r="O1125" s="1">
        <f>J1125+L1125+IF(N1125&lt;=I1125-SUM($J$1122:$J$1177)-SUM($L$1122:$L$1177),1,0)</f>
        <v>12</v>
      </c>
    </row>
    <row r="1126" spans="1:15">
      <c r="A1126" s="1" t="s">
        <v>68</v>
      </c>
      <c r="B1126" s="1" t="s">
        <v>73</v>
      </c>
      <c r="C1126" s="1" t="s">
        <v>38</v>
      </c>
      <c r="D1126" s="1" t="s">
        <v>39</v>
      </c>
      <c r="E1126" s="1" t="s">
        <v>44</v>
      </c>
      <c r="F1126" s="1" t="s">
        <v>41</v>
      </c>
      <c r="G1126" s="1">
        <v>74640</v>
      </c>
      <c r="H1126" s="1">
        <f>'1_Departamento_n'!C22</f>
        <v>2270133</v>
      </c>
      <c r="I1126" s="1">
        <f>'1_Departamento_n'!H22</f>
        <v>1312</v>
      </c>
      <c r="J1126" s="1">
        <f>'0_Parametros'!B7</f>
        <v>10</v>
      </c>
      <c r="K1126" s="3">
        <f>(I1126-SUM($J$1122:$J$1177))*G1126/H1126</f>
        <v>24.725106414469987</v>
      </c>
      <c r="L1126" s="1">
        <f>INT(K1126)</f>
        <v>24</v>
      </c>
      <c r="M1126" s="3">
        <f>K1126-L1126</f>
        <v>0.7251064144699875</v>
      </c>
      <c r="N1126" s="1">
        <f>COUNTIF($M$1122:$M$1177,"&gt;"&amp;M1126)+COUNTIF($M$1122:M1126,M1126)</f>
        <v>21</v>
      </c>
      <c r="O1126" s="1">
        <f>J1126+L1126+IF(N1126&lt;=I1126-SUM($J$1122:$J$1177)-SUM($L$1122:$L$1177),1,0)</f>
        <v>35</v>
      </c>
    </row>
    <row r="1127" spans="1:15">
      <c r="A1127" s="1" t="s">
        <v>68</v>
      </c>
      <c r="B1127" s="1" t="s">
        <v>73</v>
      </c>
      <c r="C1127" s="1" t="s">
        <v>38</v>
      </c>
      <c r="D1127" s="1" t="s">
        <v>39</v>
      </c>
      <c r="E1127" s="1" t="s">
        <v>44</v>
      </c>
      <c r="F1127" s="1" t="s">
        <v>42</v>
      </c>
      <c r="G1127" s="1">
        <v>8974</v>
      </c>
      <c r="H1127" s="1">
        <f>'1_Departamento_n'!C22</f>
        <v>2270133</v>
      </c>
      <c r="I1127" s="1">
        <f>'1_Departamento_n'!H22</f>
        <v>1312</v>
      </c>
      <c r="J1127" s="1">
        <f>'0_Parametros'!B7</f>
        <v>10</v>
      </c>
      <c r="K1127" s="3">
        <f>(I1127-SUM($J$1122:$J$1177))*G1127/H1127</f>
        <v>2.972710409478211</v>
      </c>
      <c r="L1127" s="1">
        <f>INT(K1127)</f>
        <v>2</v>
      </c>
      <c r="M1127" s="3">
        <f>K1127-L1127</f>
        <v>0.9727104094782111</v>
      </c>
      <c r="N1127" s="1">
        <f>COUNTIF($M$1122:$M$1177,"&gt;"&amp;M1127)+COUNTIF($M$1122:M1127,M1127)</f>
        <v>4</v>
      </c>
      <c r="O1127" s="1">
        <f>J1127+L1127+IF(N1127&lt;=I1127-SUM($J$1122:$J$1177)-SUM($L$1122:$L$1177),1,0)</f>
        <v>13</v>
      </c>
    </row>
    <row r="1128" spans="1:15">
      <c r="A1128" s="1" t="s">
        <v>68</v>
      </c>
      <c r="B1128" s="1" t="s">
        <v>73</v>
      </c>
      <c r="C1128" s="1" t="s">
        <v>38</v>
      </c>
      <c r="D1128" s="1" t="s">
        <v>39</v>
      </c>
      <c r="E1128" s="1" t="s">
        <v>45</v>
      </c>
      <c r="F1128" s="1" t="s">
        <v>41</v>
      </c>
      <c r="G1128" s="1">
        <v>88546</v>
      </c>
      <c r="H1128" s="1">
        <f>'1_Departamento_n'!C22</f>
        <v>2270133</v>
      </c>
      <c r="I1128" s="1">
        <f>'1_Departamento_n'!H22</f>
        <v>1312</v>
      </c>
      <c r="J1128" s="1">
        <f>'0_Parametros'!B7</f>
        <v>10</v>
      </c>
      <c r="K1128" s="3">
        <f>(I1128-SUM($J$1122:$J$1177))*G1128/H1128</f>
        <v>29.331581894100477</v>
      </c>
      <c r="L1128" s="1">
        <f>INT(K1128)</f>
        <v>29</v>
      </c>
      <c r="M1128" s="3">
        <f>K1128-L1128</f>
        <v>0.3315818941004771</v>
      </c>
      <c r="N1128" s="1">
        <f>COUNTIF($M$1122:$M$1177,"&gt;"&amp;M1128)+COUNTIF($M$1122:M1128,M1128)</f>
        <v>39</v>
      </c>
      <c r="O1128" s="1">
        <f>J1128+L1128+IF(N1128&lt;=I1128-SUM($J$1122:$J$1177)-SUM($L$1122:$L$1177),1,0)</f>
        <v>39</v>
      </c>
    </row>
    <row r="1129" spans="1:15">
      <c r="A1129" s="1" t="s">
        <v>68</v>
      </c>
      <c r="B1129" s="1" t="s">
        <v>73</v>
      </c>
      <c r="C1129" s="1" t="s">
        <v>38</v>
      </c>
      <c r="D1129" s="1" t="s">
        <v>39</v>
      </c>
      <c r="E1129" s="1" t="s">
        <v>45</v>
      </c>
      <c r="F1129" s="1" t="s">
        <v>42</v>
      </c>
      <c r="G1129" s="1">
        <v>6451</v>
      </c>
      <c r="H1129" s="1">
        <f>'1_Departamento_n'!C22</f>
        <v>2270133</v>
      </c>
      <c r="I1129" s="1">
        <f>'1_Departamento_n'!H22</f>
        <v>1312</v>
      </c>
      <c r="J1129" s="1">
        <f>'0_Parametros'!B7</f>
        <v>10</v>
      </c>
      <c r="K1129" s="3">
        <f>(I1129-SUM($J$1122:$J$1177))*G1129/H1129</f>
        <v>2.1369461613042056</v>
      </c>
      <c r="L1129" s="1">
        <f>INT(K1129)</f>
        <v>2</v>
      </c>
      <c r="M1129" s="3">
        <f>K1129-L1129</f>
        <v>0.13694616130420556</v>
      </c>
      <c r="N1129" s="1">
        <f>COUNTIF($M$1122:$M$1177,"&gt;"&amp;M1129)+COUNTIF($M$1122:M1129,M1129)</f>
        <v>52</v>
      </c>
      <c r="O1129" s="1">
        <f>J1129+L1129+IF(N1129&lt;=I1129-SUM($J$1122:$J$1177)-SUM($L$1122:$L$1177),1,0)</f>
        <v>12</v>
      </c>
    </row>
    <row r="1130" spans="1:15">
      <c r="A1130" s="1" t="s">
        <v>68</v>
      </c>
      <c r="B1130" s="1" t="s">
        <v>73</v>
      </c>
      <c r="C1130" s="1" t="s">
        <v>38</v>
      </c>
      <c r="D1130" s="1" t="s">
        <v>39</v>
      </c>
      <c r="E1130" s="1" t="s">
        <v>46</v>
      </c>
      <c r="F1130" s="1" t="s">
        <v>41</v>
      </c>
      <c r="G1130" s="1">
        <v>76950</v>
      </c>
      <c r="H1130" s="1">
        <f>'1_Departamento_n'!C22</f>
        <v>2270133</v>
      </c>
      <c r="I1130" s="1">
        <f>'1_Departamento_n'!H22</f>
        <v>1312</v>
      </c>
      <c r="J1130" s="1">
        <f>'0_Parametros'!B7</f>
        <v>10</v>
      </c>
      <c r="K1130" s="3">
        <f>(I1130-SUM($J$1122:$J$1177))*G1130/H1130</f>
        <v>25.490312682120386</v>
      </c>
      <c r="L1130" s="1">
        <f>INT(K1130)</f>
        <v>25</v>
      </c>
      <c r="M1130" s="3">
        <f>K1130-L1130</f>
        <v>0.49031268212038626</v>
      </c>
      <c r="N1130" s="1">
        <f>COUNTIF($M$1122:$M$1177,"&gt;"&amp;M1130)+COUNTIF($M$1122:M1130,M1130)</f>
        <v>33</v>
      </c>
      <c r="O1130" s="1">
        <f>J1130+L1130+IF(N1130&lt;=I1130-SUM($J$1122:$J$1177)-SUM($L$1122:$L$1177),1,0)</f>
        <v>35</v>
      </c>
    </row>
    <row r="1131" spans="1:15">
      <c r="A1131" s="1" t="s">
        <v>68</v>
      </c>
      <c r="B1131" s="1" t="s">
        <v>73</v>
      </c>
      <c r="C1131" s="1" t="s">
        <v>38</v>
      </c>
      <c r="D1131" s="1" t="s">
        <v>39</v>
      </c>
      <c r="E1131" s="1" t="s">
        <v>46</v>
      </c>
      <c r="F1131" s="1" t="s">
        <v>42</v>
      </c>
      <c r="G1131" s="1">
        <v>4487</v>
      </c>
      <c r="H1131" s="1">
        <f>'1_Departamento_n'!C22</f>
        <v>2270133</v>
      </c>
      <c r="I1131" s="1">
        <f>'1_Departamento_n'!H22</f>
        <v>1312</v>
      </c>
      <c r="J1131" s="1">
        <f>'0_Parametros'!B7</f>
        <v>10</v>
      </c>
      <c r="K1131" s="3">
        <f>(I1131-SUM($J$1122:$J$1177))*G1131/H1131</f>
        <v>1.4863552047391055</v>
      </c>
      <c r="L1131" s="1">
        <f>INT(K1131)</f>
        <v>1</v>
      </c>
      <c r="M1131" s="3">
        <f>K1131-L1131</f>
        <v>0.48635520473910554</v>
      </c>
      <c r="N1131" s="1">
        <f>COUNTIF($M$1122:$M$1177,"&gt;"&amp;M1131)+COUNTIF($M$1122:M1131,M1131)</f>
        <v>35</v>
      </c>
      <c r="O1131" s="1">
        <f>J1131+L1131+IF(N1131&lt;=I1131-SUM($J$1122:$J$1177)-SUM($L$1122:$L$1177),1,0)</f>
        <v>11</v>
      </c>
    </row>
    <row r="1132" spans="1:15">
      <c r="A1132" s="1" t="s">
        <v>68</v>
      </c>
      <c r="B1132" s="1" t="s">
        <v>73</v>
      </c>
      <c r="C1132" s="1" t="s">
        <v>38</v>
      </c>
      <c r="D1132" s="1" t="s">
        <v>39</v>
      </c>
      <c r="E1132" s="1" t="s">
        <v>47</v>
      </c>
      <c r="F1132" s="1" t="s">
        <v>41</v>
      </c>
      <c r="G1132" s="1">
        <v>63908</v>
      </c>
      <c r="H1132" s="1">
        <f>'1_Departamento_n'!C22</f>
        <v>2270133</v>
      </c>
      <c r="I1132" s="1">
        <f>'1_Departamento_n'!H22</f>
        <v>1312</v>
      </c>
      <c r="J1132" s="1">
        <f>'0_Parametros'!B7</f>
        <v>10</v>
      </c>
      <c r="K1132" s="3">
        <f>(I1132-SUM($J$1122:$J$1177))*G1132/H1132</f>
        <v>21.17004422207862</v>
      </c>
      <c r="L1132" s="1">
        <f>INT(K1132)</f>
        <v>21</v>
      </c>
      <c r="M1132" s="3">
        <f>K1132-L1132</f>
        <v>0.17004422207861936</v>
      </c>
      <c r="N1132" s="1">
        <f>COUNTIF($M$1122:$M$1177,"&gt;"&amp;M1132)+COUNTIF($M$1122:M1132,M1132)</f>
        <v>49</v>
      </c>
      <c r="O1132" s="1">
        <f>J1132+L1132+IF(N1132&lt;=I1132-SUM($J$1122:$J$1177)-SUM($L$1122:$L$1177),1,0)</f>
        <v>31</v>
      </c>
    </row>
    <row r="1133" spans="1:15">
      <c r="A1133" s="1" t="s">
        <v>68</v>
      </c>
      <c r="B1133" s="1" t="s">
        <v>73</v>
      </c>
      <c r="C1133" s="1" t="s">
        <v>38</v>
      </c>
      <c r="D1133" s="1" t="s">
        <v>39</v>
      </c>
      <c r="E1133" s="1" t="s">
        <v>47</v>
      </c>
      <c r="F1133" s="1" t="s">
        <v>42</v>
      </c>
      <c r="G1133" s="1">
        <v>2947</v>
      </c>
      <c r="H1133" s="1">
        <f>'1_Departamento_n'!C22</f>
        <v>2270133</v>
      </c>
      <c r="I1133" s="1">
        <f>'1_Departamento_n'!H22</f>
        <v>1312</v>
      </c>
      <c r="J1133" s="1">
        <f>'0_Parametros'!B7</f>
        <v>10</v>
      </c>
      <c r="K1133" s="3">
        <f>(I1133-SUM($J$1122:$J$1177))*G1133/H1133</f>
        <v>0.9762176929721739</v>
      </c>
      <c r="L1133" s="1">
        <f>INT(K1133)</f>
        <v>0</v>
      </c>
      <c r="M1133" s="3">
        <f>K1133-L1133</f>
        <v>0.9762176929721739</v>
      </c>
      <c r="N1133" s="1">
        <f>COUNTIF($M$1122:$M$1177,"&gt;"&amp;M1133)+COUNTIF($M$1122:M1133,M1133)</f>
        <v>3</v>
      </c>
      <c r="O1133" s="1">
        <f>J1133+L1133+IF(N1133&lt;=I1133-SUM($J$1122:$J$1177)-SUM($L$1122:$L$1177),1,0)</f>
        <v>11</v>
      </c>
    </row>
    <row r="1134" spans="1:15">
      <c r="A1134" s="1" t="s">
        <v>68</v>
      </c>
      <c r="B1134" s="1" t="s">
        <v>73</v>
      </c>
      <c r="C1134" s="1" t="s">
        <v>38</v>
      </c>
      <c r="D1134" s="1" t="s">
        <v>39</v>
      </c>
      <c r="E1134" s="1" t="s">
        <v>48</v>
      </c>
      <c r="F1134" s="1" t="s">
        <v>41</v>
      </c>
      <c r="G1134" s="1">
        <v>106646</v>
      </c>
      <c r="H1134" s="1">
        <f>'1_Departamento_n'!C22</f>
        <v>2270133</v>
      </c>
      <c r="I1134" s="1">
        <f>'1_Departamento_n'!H22</f>
        <v>1312</v>
      </c>
      <c r="J1134" s="1">
        <f>'0_Parametros'!B7</f>
        <v>10</v>
      </c>
      <c r="K1134" s="3">
        <f>(I1134-SUM($J$1122:$J$1177))*G1134/H1134</f>
        <v>35.32735394798455</v>
      </c>
      <c r="L1134" s="1">
        <f>INT(K1134)</f>
        <v>35</v>
      </c>
      <c r="M1134" s="3">
        <f>K1134-L1134</f>
        <v>0.3273539479845482</v>
      </c>
      <c r="N1134" s="1">
        <f>COUNTIF($M$1122:$M$1177,"&gt;"&amp;M1134)+COUNTIF($M$1122:M1134,M1134)</f>
        <v>40</v>
      </c>
      <c r="O1134" s="1">
        <f>J1134+L1134+IF(N1134&lt;=I1134-SUM($J$1122:$J$1177)-SUM($L$1122:$L$1177),1,0)</f>
        <v>45</v>
      </c>
    </row>
    <row r="1135" spans="1:15">
      <c r="A1135" s="1" t="s">
        <v>68</v>
      </c>
      <c r="B1135" s="1" t="s">
        <v>73</v>
      </c>
      <c r="C1135" s="1" t="s">
        <v>38</v>
      </c>
      <c r="D1135" s="1" t="s">
        <v>39</v>
      </c>
      <c r="E1135" s="1" t="s">
        <v>48</v>
      </c>
      <c r="F1135" s="1" t="s">
        <v>42</v>
      </c>
      <c r="G1135" s="1">
        <v>3005</v>
      </c>
      <c r="H1135" s="1">
        <f>'1_Departamento_n'!C22</f>
        <v>2270133</v>
      </c>
      <c r="I1135" s="1">
        <f>'1_Departamento_n'!H22</f>
        <v>1312</v>
      </c>
      <c r="J1135" s="1">
        <f>'0_Parametros'!B7</f>
        <v>10</v>
      </c>
      <c r="K1135" s="3">
        <f>(I1135-SUM($J$1122:$J$1177))*G1135/H1135</f>
        <v>0.9954306641945648</v>
      </c>
      <c r="L1135" s="1">
        <f>INT(K1135)</f>
        <v>0</v>
      </c>
      <c r="M1135" s="3">
        <f>K1135-L1135</f>
        <v>0.9954306641945648</v>
      </c>
      <c r="N1135" s="1">
        <f>COUNTIF($M$1122:$M$1177,"&gt;"&amp;M1135)+COUNTIF($M$1122:M1135,M1135)</f>
        <v>1</v>
      </c>
      <c r="O1135" s="1">
        <f>J1135+L1135+IF(N1135&lt;=I1135-SUM($J$1122:$J$1177)-SUM($L$1122:$L$1177),1,0)</f>
        <v>11</v>
      </c>
    </row>
    <row r="1136" spans="1:15">
      <c r="A1136" s="1" t="s">
        <v>68</v>
      </c>
      <c r="B1136" s="1" t="s">
        <v>73</v>
      </c>
      <c r="C1136" s="1" t="s">
        <v>38</v>
      </c>
      <c r="D1136" s="1" t="s">
        <v>49</v>
      </c>
      <c r="E1136" s="1" t="s">
        <v>40</v>
      </c>
      <c r="F1136" s="1" t="s">
        <v>41</v>
      </c>
      <c r="G1136" s="1">
        <v>46789</v>
      </c>
      <c r="H1136" s="1">
        <f>'1_Departamento_n'!C22</f>
        <v>2270133</v>
      </c>
      <c r="I1136" s="1">
        <f>'1_Departamento_n'!H22</f>
        <v>1312</v>
      </c>
      <c r="J1136" s="1">
        <f>'0_Parametros'!B7</f>
        <v>10</v>
      </c>
      <c r="K1136" s="3">
        <f>(I1136-SUM($J$1122:$J$1177))*G1136/H1136</f>
        <v>15.499236388352577</v>
      </c>
      <c r="L1136" s="1">
        <f>INT(K1136)</f>
        <v>15</v>
      </c>
      <c r="M1136" s="3">
        <f>K1136-L1136</f>
        <v>0.49923638835257655</v>
      </c>
      <c r="N1136" s="1">
        <f>COUNTIF($M$1122:$M$1177,"&gt;"&amp;M1136)+COUNTIF($M$1122:M1136,M1136)</f>
        <v>32</v>
      </c>
      <c r="O1136" s="1">
        <f>J1136+L1136+IF(N1136&lt;=I1136-SUM($J$1122:$J$1177)-SUM($L$1122:$L$1177),1,0)</f>
        <v>25</v>
      </c>
    </row>
    <row r="1137" spans="1:15">
      <c r="A1137" s="1" t="s">
        <v>68</v>
      </c>
      <c r="B1137" s="1" t="s">
        <v>73</v>
      </c>
      <c r="C1137" s="1" t="s">
        <v>38</v>
      </c>
      <c r="D1137" s="1" t="s">
        <v>49</v>
      </c>
      <c r="E1137" s="1" t="s">
        <v>40</v>
      </c>
      <c r="F1137" s="1" t="s">
        <v>42</v>
      </c>
      <c r="G1137" s="1">
        <v>6272</v>
      </c>
      <c r="H1137" s="1">
        <f>'1_Departamento_n'!C22</f>
        <v>2270133</v>
      </c>
      <c r="I1137" s="1">
        <f>'1_Departamento_n'!H22</f>
        <v>1312</v>
      </c>
      <c r="J1137" s="1">
        <f>'0_Parametros'!B7</f>
        <v>10</v>
      </c>
      <c r="K1137" s="3">
        <f>(I1137-SUM($J$1122:$J$1177))*G1137/H1137</f>
        <v>2.077650957014413</v>
      </c>
      <c r="L1137" s="1">
        <f>INT(K1137)</f>
        <v>2</v>
      </c>
      <c r="M1137" s="3">
        <f>K1137-L1137</f>
        <v>0.07765095701441282</v>
      </c>
      <c r="N1137" s="1">
        <f>COUNTIF($M$1122:$M$1177,"&gt;"&amp;M1137)+COUNTIF($M$1122:M1137,M1137)</f>
        <v>55</v>
      </c>
      <c r="O1137" s="1">
        <f>J1137+L1137+IF(N1137&lt;=I1137-SUM($J$1122:$J$1177)-SUM($L$1122:$L$1177),1,0)</f>
        <v>12</v>
      </c>
    </row>
    <row r="1138" spans="1:15">
      <c r="A1138" s="1" t="s">
        <v>68</v>
      </c>
      <c r="B1138" s="1" t="s">
        <v>73</v>
      </c>
      <c r="C1138" s="1" t="s">
        <v>38</v>
      </c>
      <c r="D1138" s="1" t="s">
        <v>49</v>
      </c>
      <c r="E1138" s="1" t="s">
        <v>43</v>
      </c>
      <c r="F1138" s="1" t="s">
        <v>41</v>
      </c>
      <c r="G1138" s="1">
        <v>67551</v>
      </c>
      <c r="H1138" s="1">
        <f>'1_Departamento_n'!C22</f>
        <v>2270133</v>
      </c>
      <c r="I1138" s="1">
        <f>'1_Departamento_n'!H22</f>
        <v>1312</v>
      </c>
      <c r="J1138" s="1">
        <f>'0_Parametros'!B7</f>
        <v>10</v>
      </c>
      <c r="K1138" s="3">
        <f>(I1138-SUM($J$1122:$J$1177))*G1138/H1138</f>
        <v>22.376817569719485</v>
      </c>
      <c r="L1138" s="1">
        <f>INT(K1138)</f>
        <v>22</v>
      </c>
      <c r="M1138" s="3">
        <f>K1138-L1138</f>
        <v>0.3768175697194849</v>
      </c>
      <c r="N1138" s="1">
        <f>COUNTIF($M$1122:$M$1177,"&gt;"&amp;M1138)+COUNTIF($M$1122:M1138,M1138)</f>
        <v>37</v>
      </c>
      <c r="O1138" s="1">
        <f>J1138+L1138+IF(N1138&lt;=I1138-SUM($J$1122:$J$1177)-SUM($L$1122:$L$1177),1,0)</f>
        <v>32</v>
      </c>
    </row>
    <row r="1139" spans="1:15">
      <c r="A1139" s="1" t="s">
        <v>68</v>
      </c>
      <c r="B1139" s="1" t="s">
        <v>73</v>
      </c>
      <c r="C1139" s="1" t="s">
        <v>38</v>
      </c>
      <c r="D1139" s="1" t="s">
        <v>49</v>
      </c>
      <c r="E1139" s="1" t="s">
        <v>43</v>
      </c>
      <c r="F1139" s="1" t="s">
        <v>42</v>
      </c>
      <c r="G1139" s="1">
        <v>5747</v>
      </c>
      <c r="H1139" s="1">
        <f>'1_Departamento_n'!C22</f>
        <v>2270133</v>
      </c>
      <c r="I1139" s="1">
        <f>'1_Departamento_n'!H22</f>
        <v>1312</v>
      </c>
      <c r="J1139" s="1">
        <f>'0_Parametros'!B7</f>
        <v>10</v>
      </c>
      <c r="K1139" s="3">
        <f>(I1139-SUM($J$1122:$J$1177))*G1139/H1139</f>
        <v>1.9037404416393224</v>
      </c>
      <c r="L1139" s="1">
        <f>INT(K1139)</f>
        <v>1</v>
      </c>
      <c r="M1139" s="3">
        <f>K1139-L1139</f>
        <v>0.9037404416393224</v>
      </c>
      <c r="N1139" s="1">
        <f>COUNTIF($M$1122:$M$1177,"&gt;"&amp;M1139)+COUNTIF($M$1122:M1139,M1139)</f>
        <v>9</v>
      </c>
      <c r="O1139" s="1">
        <f>J1139+L1139+IF(N1139&lt;=I1139-SUM($J$1122:$J$1177)-SUM($L$1122:$L$1177),1,0)</f>
        <v>12</v>
      </c>
    </row>
    <row r="1140" spans="1:15">
      <c r="A1140" s="1" t="s">
        <v>68</v>
      </c>
      <c r="B1140" s="1" t="s">
        <v>73</v>
      </c>
      <c r="C1140" s="1" t="s">
        <v>38</v>
      </c>
      <c r="D1140" s="1" t="s">
        <v>49</v>
      </c>
      <c r="E1140" s="1" t="s">
        <v>44</v>
      </c>
      <c r="F1140" s="1" t="s">
        <v>41</v>
      </c>
      <c r="G1140" s="1">
        <v>77461</v>
      </c>
      <c r="H1140" s="1">
        <f>'1_Departamento_n'!C22</f>
        <v>2270133</v>
      </c>
      <c r="I1140" s="1">
        <f>'1_Departamento_n'!H22</f>
        <v>1312</v>
      </c>
      <c r="J1140" s="1">
        <f>'0_Parametros'!B7</f>
        <v>10</v>
      </c>
      <c r="K1140" s="3">
        <f>(I1140-SUM($J$1122:$J$1177))*G1140/H1140</f>
        <v>25.65958558375214</v>
      </c>
      <c r="L1140" s="1">
        <f>INT(K1140)</f>
        <v>25</v>
      </c>
      <c r="M1140" s="3">
        <f>K1140-L1140</f>
        <v>0.6595855837521398</v>
      </c>
      <c r="N1140" s="1">
        <f>COUNTIF($M$1122:$M$1177,"&gt;"&amp;M1140)+COUNTIF($M$1122:M1140,M1140)</f>
        <v>26</v>
      </c>
      <c r="O1140" s="1">
        <f>J1140+L1140+IF(N1140&lt;=I1140-SUM($J$1122:$J$1177)-SUM($L$1122:$L$1177),1,0)</f>
        <v>36</v>
      </c>
    </row>
    <row r="1141" spans="1:15">
      <c r="A1141" s="1" t="s">
        <v>68</v>
      </c>
      <c r="B1141" s="1" t="s">
        <v>73</v>
      </c>
      <c r="C1141" s="1" t="s">
        <v>38</v>
      </c>
      <c r="D1141" s="1" t="s">
        <v>49</v>
      </c>
      <c r="E1141" s="1" t="s">
        <v>44</v>
      </c>
      <c r="F1141" s="1" t="s">
        <v>42</v>
      </c>
      <c r="G1141" s="1">
        <v>11246</v>
      </c>
      <c r="H1141" s="1">
        <f>'1_Departamento_n'!C22</f>
        <v>2270133</v>
      </c>
      <c r="I1141" s="1">
        <f>'1_Departamento_n'!H22</f>
        <v>1312</v>
      </c>
      <c r="J1141" s="1">
        <f>'0_Parametros'!B7</f>
        <v>10</v>
      </c>
      <c r="K1141" s="3">
        <f>(I1141-SUM($J$1122:$J$1177))*G1141/H1141</f>
        <v>3.7253288683966974</v>
      </c>
      <c r="L1141" s="1">
        <f>INT(K1141)</f>
        <v>3</v>
      </c>
      <c r="M1141" s="3">
        <f>K1141-L1141</f>
        <v>0.7253288683966974</v>
      </c>
      <c r="N1141" s="1">
        <f>COUNTIF($M$1122:$M$1177,"&gt;"&amp;M1141)+COUNTIF($M$1122:M1141,M1141)</f>
        <v>20</v>
      </c>
      <c r="O1141" s="1">
        <f>J1141+L1141+IF(N1141&lt;=I1141-SUM($J$1122:$J$1177)-SUM($L$1122:$L$1177),1,0)</f>
        <v>14</v>
      </c>
    </row>
    <row r="1142" spans="1:15">
      <c r="A1142" s="1" t="s">
        <v>68</v>
      </c>
      <c r="B1142" s="1" t="s">
        <v>73</v>
      </c>
      <c r="C1142" s="1" t="s">
        <v>38</v>
      </c>
      <c r="D1142" s="1" t="s">
        <v>49</v>
      </c>
      <c r="E1142" s="1" t="s">
        <v>45</v>
      </c>
      <c r="F1142" s="1" t="s">
        <v>41</v>
      </c>
      <c r="G1142" s="1">
        <v>86004</v>
      </c>
      <c r="H1142" s="1">
        <f>'1_Departamento_n'!C22</f>
        <v>2270133</v>
      </c>
      <c r="I1142" s="1">
        <f>'1_Departamento_n'!H22</f>
        <v>1312</v>
      </c>
      <c r="J1142" s="1">
        <f>'0_Parametros'!B7</f>
        <v>10</v>
      </c>
      <c r="K1142" s="3">
        <f>(I1142-SUM($J$1122:$J$1177))*G1142/H1142</f>
        <v>28.489523741560518</v>
      </c>
      <c r="L1142" s="1">
        <f>INT(K1142)</f>
        <v>28</v>
      </c>
      <c r="M1142" s="3">
        <f>K1142-L1142</f>
        <v>0.48952374156051803</v>
      </c>
      <c r="N1142" s="1">
        <f>COUNTIF($M$1122:$M$1177,"&gt;"&amp;M1142)+COUNTIF($M$1122:M1142,M1142)</f>
        <v>34</v>
      </c>
      <c r="O1142" s="1">
        <f>J1142+L1142+IF(N1142&lt;=I1142-SUM($J$1122:$J$1177)-SUM($L$1122:$L$1177),1,0)</f>
        <v>38</v>
      </c>
    </row>
    <row r="1143" spans="1:15">
      <c r="A1143" s="1" t="s">
        <v>68</v>
      </c>
      <c r="B1143" s="1" t="s">
        <v>73</v>
      </c>
      <c r="C1143" s="1" t="s">
        <v>38</v>
      </c>
      <c r="D1143" s="1" t="s">
        <v>49</v>
      </c>
      <c r="E1143" s="1" t="s">
        <v>45</v>
      </c>
      <c r="F1143" s="1" t="s">
        <v>42</v>
      </c>
      <c r="G1143" s="1">
        <v>8508</v>
      </c>
      <c r="H1143" s="1">
        <f>'1_Departamento_n'!C22</f>
        <v>2270133</v>
      </c>
      <c r="I1143" s="1">
        <f>'1_Departamento_n'!H22</f>
        <v>1312</v>
      </c>
      <c r="J1143" s="1">
        <f>'0_Parametros'!B7</f>
        <v>10</v>
      </c>
      <c r="K1143" s="3">
        <f>(I1143-SUM($J$1122:$J$1177))*G1143/H1143</f>
        <v>2.8183441234500357</v>
      </c>
      <c r="L1143" s="1">
        <f>INT(K1143)</f>
        <v>2</v>
      </c>
      <c r="M1143" s="3">
        <f>K1143-L1143</f>
        <v>0.8183441234500357</v>
      </c>
      <c r="N1143" s="1">
        <f>COUNTIF($M$1122:$M$1177,"&gt;"&amp;M1143)+COUNTIF($M$1122:M1143,M1143)</f>
        <v>14</v>
      </c>
      <c r="O1143" s="1">
        <f>J1143+L1143+IF(N1143&lt;=I1143-SUM($J$1122:$J$1177)-SUM($L$1122:$L$1177),1,0)</f>
        <v>13</v>
      </c>
    </row>
    <row r="1144" spans="1:15">
      <c r="A1144" s="1" t="s">
        <v>68</v>
      </c>
      <c r="B1144" s="1" t="s">
        <v>73</v>
      </c>
      <c r="C1144" s="1" t="s">
        <v>38</v>
      </c>
      <c r="D1144" s="1" t="s">
        <v>49</v>
      </c>
      <c r="E1144" s="1" t="s">
        <v>46</v>
      </c>
      <c r="F1144" s="1" t="s">
        <v>41</v>
      </c>
      <c r="G1144" s="1">
        <v>73625</v>
      </c>
      <c r="H1144" s="1">
        <f>'1_Departamento_n'!C22</f>
        <v>2270133</v>
      </c>
      <c r="I1144" s="1">
        <f>'1_Departamento_n'!H22</f>
        <v>1312</v>
      </c>
      <c r="J1144" s="1">
        <f>'0_Parametros'!B7</f>
        <v>10</v>
      </c>
      <c r="K1144" s="3">
        <f>(I1144-SUM($J$1122:$J$1177))*G1144/H1144</f>
        <v>24.388879418078147</v>
      </c>
      <c r="L1144" s="1">
        <f>INT(K1144)</f>
        <v>24</v>
      </c>
      <c r="M1144" s="3">
        <f>K1144-L1144</f>
        <v>0.3888794180781474</v>
      </c>
      <c r="N1144" s="1">
        <f>COUNTIF($M$1122:$M$1177,"&gt;"&amp;M1144)+COUNTIF($M$1122:M1144,M1144)</f>
        <v>36</v>
      </c>
      <c r="O1144" s="1">
        <f>J1144+L1144+IF(N1144&lt;=I1144-SUM($J$1122:$J$1177)-SUM($L$1122:$L$1177),1,0)</f>
        <v>34</v>
      </c>
    </row>
    <row r="1145" spans="1:15">
      <c r="A1145" s="1" t="s">
        <v>68</v>
      </c>
      <c r="B1145" s="1" t="s">
        <v>73</v>
      </c>
      <c r="C1145" s="1" t="s">
        <v>38</v>
      </c>
      <c r="D1145" s="1" t="s">
        <v>49</v>
      </c>
      <c r="E1145" s="1" t="s">
        <v>46</v>
      </c>
      <c r="F1145" s="1" t="s">
        <v>42</v>
      </c>
      <c r="G1145" s="1">
        <v>5789</v>
      </c>
      <c r="H1145" s="1">
        <f>'1_Departamento_n'!C22</f>
        <v>2270133</v>
      </c>
      <c r="I1145" s="1">
        <f>'1_Departamento_n'!H22</f>
        <v>1312</v>
      </c>
      <c r="J1145" s="1">
        <f>'0_Parametros'!B7</f>
        <v>10</v>
      </c>
      <c r="K1145" s="3">
        <f>(I1145-SUM($J$1122:$J$1177))*G1145/H1145</f>
        <v>1.9176532828693298</v>
      </c>
      <c r="L1145" s="1">
        <f>INT(K1145)</f>
        <v>1</v>
      </c>
      <c r="M1145" s="3">
        <f>K1145-L1145</f>
        <v>0.9176532828693298</v>
      </c>
      <c r="N1145" s="1">
        <f>COUNTIF($M$1122:$M$1177,"&gt;"&amp;M1145)+COUNTIF($M$1122:M1145,M1145)</f>
        <v>7</v>
      </c>
      <c r="O1145" s="1">
        <f>J1145+L1145+IF(N1145&lt;=I1145-SUM($J$1122:$J$1177)-SUM($L$1122:$L$1177),1,0)</f>
        <v>12</v>
      </c>
    </row>
    <row r="1146" spans="1:15">
      <c r="A1146" s="1" t="s">
        <v>68</v>
      </c>
      <c r="B1146" s="1" t="s">
        <v>73</v>
      </c>
      <c r="C1146" s="1" t="s">
        <v>38</v>
      </c>
      <c r="D1146" s="1" t="s">
        <v>49</v>
      </c>
      <c r="E1146" s="1" t="s">
        <v>47</v>
      </c>
      <c r="F1146" s="1" t="s">
        <v>41</v>
      </c>
      <c r="G1146" s="1">
        <v>57322</v>
      </c>
      <c r="H1146" s="1">
        <f>'1_Departamento_n'!C22</f>
        <v>2270133</v>
      </c>
      <c r="I1146" s="1">
        <f>'1_Departamento_n'!H22</f>
        <v>1312</v>
      </c>
      <c r="J1146" s="1">
        <f>'0_Parametros'!B7</f>
        <v>10</v>
      </c>
      <c r="K1146" s="3">
        <f>(I1146-SUM($J$1122:$J$1177))*G1146/H1146</f>
        <v>18.988378213963674</v>
      </c>
      <c r="L1146" s="1">
        <f>INT(K1146)</f>
        <v>18</v>
      </c>
      <c r="M1146" s="3">
        <f>K1146-L1146</f>
        <v>0.9883782139636743</v>
      </c>
      <c r="N1146" s="1">
        <f>COUNTIF($M$1122:$M$1177,"&gt;"&amp;M1146)+COUNTIF($M$1122:M1146,M1146)</f>
        <v>2</v>
      </c>
      <c r="O1146" s="1">
        <f>J1146+L1146+IF(N1146&lt;=I1146-SUM($J$1122:$J$1177)-SUM($L$1122:$L$1177),1,0)</f>
        <v>29</v>
      </c>
    </row>
    <row r="1147" spans="1:15">
      <c r="A1147" s="1" t="s">
        <v>68</v>
      </c>
      <c r="B1147" s="1" t="s">
        <v>73</v>
      </c>
      <c r="C1147" s="1" t="s">
        <v>38</v>
      </c>
      <c r="D1147" s="1" t="s">
        <v>49</v>
      </c>
      <c r="E1147" s="1" t="s">
        <v>47</v>
      </c>
      <c r="F1147" s="1" t="s">
        <v>42</v>
      </c>
      <c r="G1147" s="1">
        <v>4037</v>
      </c>
      <c r="H1147" s="1">
        <f>'1_Departamento_n'!C22</f>
        <v>2270133</v>
      </c>
      <c r="I1147" s="1">
        <f>'1_Departamento_n'!H22</f>
        <v>1312</v>
      </c>
      <c r="J1147" s="1">
        <f>'0_Parametros'!B7</f>
        <v>10</v>
      </c>
      <c r="K1147" s="3">
        <f>(I1147-SUM($J$1122:$J$1177))*G1147/H1147</f>
        <v>1.3372890487033138</v>
      </c>
      <c r="L1147" s="1">
        <f>INT(K1147)</f>
        <v>1</v>
      </c>
      <c r="M1147" s="3">
        <f>K1147-L1147</f>
        <v>0.3372890487033138</v>
      </c>
      <c r="N1147" s="1">
        <f>COUNTIF($M$1122:$M$1177,"&gt;"&amp;M1147)+COUNTIF($M$1122:M1147,M1147)</f>
        <v>38</v>
      </c>
      <c r="O1147" s="1">
        <f>J1147+L1147+IF(N1147&lt;=I1147-SUM($J$1122:$J$1177)-SUM($L$1122:$L$1177),1,0)</f>
        <v>11</v>
      </c>
    </row>
    <row r="1148" spans="1:15">
      <c r="A1148" s="1" t="s">
        <v>68</v>
      </c>
      <c r="B1148" s="1" t="s">
        <v>73</v>
      </c>
      <c r="C1148" s="1" t="s">
        <v>38</v>
      </c>
      <c r="D1148" s="1" t="s">
        <v>49</v>
      </c>
      <c r="E1148" s="1" t="s">
        <v>48</v>
      </c>
      <c r="F1148" s="1" t="s">
        <v>41</v>
      </c>
      <c r="G1148" s="1">
        <v>82072</v>
      </c>
      <c r="H1148" s="1">
        <f>'1_Departamento_n'!C22</f>
        <v>2270133</v>
      </c>
      <c r="I1148" s="1">
        <f>'1_Departamento_n'!H22</f>
        <v>1312</v>
      </c>
      <c r="J1148" s="1">
        <f>'0_Parametros'!B7</f>
        <v>10</v>
      </c>
      <c r="K1148" s="3">
        <f>(I1148-SUM($J$1122:$J$1177))*G1148/H1148</f>
        <v>27.18701679593222</v>
      </c>
      <c r="L1148" s="1">
        <f>INT(K1148)</f>
        <v>27</v>
      </c>
      <c r="M1148" s="3">
        <f>K1148-L1148</f>
        <v>0.18701679593221954</v>
      </c>
      <c r="N1148" s="1">
        <f>COUNTIF($M$1122:$M$1177,"&gt;"&amp;M1148)+COUNTIF($M$1122:M1148,M1148)</f>
        <v>46</v>
      </c>
      <c r="O1148" s="1">
        <f>J1148+L1148+IF(N1148&lt;=I1148-SUM($J$1122:$J$1177)-SUM($L$1122:$L$1177),1,0)</f>
        <v>37</v>
      </c>
    </row>
    <row r="1149" spans="1:15">
      <c r="A1149" s="1" t="s">
        <v>68</v>
      </c>
      <c r="B1149" s="1" t="s">
        <v>73</v>
      </c>
      <c r="C1149" s="1" t="s">
        <v>38</v>
      </c>
      <c r="D1149" s="1" t="s">
        <v>49</v>
      </c>
      <c r="E1149" s="1" t="s">
        <v>48</v>
      </c>
      <c r="F1149" s="1" t="s">
        <v>42</v>
      </c>
      <c r="G1149" s="1">
        <v>3582</v>
      </c>
      <c r="H1149" s="1">
        <f>'1_Departamento_n'!C22</f>
        <v>2270133</v>
      </c>
      <c r="I1149" s="1">
        <f>'1_Departamento_n'!H22</f>
        <v>1312</v>
      </c>
      <c r="J1149" s="1">
        <f>'0_Parametros'!B7</f>
        <v>10</v>
      </c>
      <c r="K1149" s="3">
        <f>(I1149-SUM($J$1122:$J$1177))*G1149/H1149</f>
        <v>1.1865666020449022</v>
      </c>
      <c r="L1149" s="1">
        <f>INT(K1149)</f>
        <v>1</v>
      </c>
      <c r="M1149" s="3">
        <f>K1149-L1149</f>
        <v>0.18656660204490216</v>
      </c>
      <c r="N1149" s="1">
        <f>COUNTIF($M$1122:$M$1177,"&gt;"&amp;M1149)+COUNTIF($M$1122:M1149,M1149)</f>
        <v>47</v>
      </c>
      <c r="O1149" s="1">
        <f>J1149+L1149+IF(N1149&lt;=I1149-SUM($J$1122:$J$1177)-SUM($L$1122:$L$1177),1,0)</f>
        <v>11</v>
      </c>
    </row>
    <row r="1150" spans="1:15">
      <c r="A1150" s="1" t="s">
        <v>68</v>
      </c>
      <c r="B1150" s="1" t="s">
        <v>73</v>
      </c>
      <c r="C1150" s="1" t="s">
        <v>50</v>
      </c>
      <c r="D1150" s="1" t="s">
        <v>39</v>
      </c>
      <c r="E1150" s="1" t="s">
        <v>40</v>
      </c>
      <c r="F1150" s="1" t="s">
        <v>41</v>
      </c>
      <c r="G1150" s="1">
        <v>45014</v>
      </c>
      <c r="H1150" s="1">
        <f>'1_Departamento_n'!C22</f>
        <v>2270133</v>
      </c>
      <c r="I1150" s="1">
        <f>'1_Departamento_n'!H22</f>
        <v>1312</v>
      </c>
      <c r="J1150" s="1">
        <f>'0_Parametros'!B7</f>
        <v>10</v>
      </c>
      <c r="K1150" s="3">
        <f>(I1150-SUM($J$1122:$J$1177))*G1150/H1150</f>
        <v>14.911253217322509</v>
      </c>
      <c r="L1150" s="1">
        <f>INT(K1150)</f>
        <v>14</v>
      </c>
      <c r="M1150" s="3">
        <f>K1150-L1150</f>
        <v>0.9112532173225087</v>
      </c>
      <c r="N1150" s="1">
        <f>COUNTIF($M$1122:$M$1177,"&gt;"&amp;M1150)+COUNTIF($M$1122:M1150,M1150)</f>
        <v>8</v>
      </c>
      <c r="O1150" s="1">
        <f>J1150+L1150+IF(N1150&lt;=I1150-SUM($J$1122:$J$1177)-SUM($L$1122:$L$1177),1,0)</f>
        <v>25</v>
      </c>
    </row>
    <row r="1151" spans="1:15">
      <c r="A1151" s="1" t="s">
        <v>68</v>
      </c>
      <c r="B1151" s="1" t="s">
        <v>73</v>
      </c>
      <c r="C1151" s="1" t="s">
        <v>50</v>
      </c>
      <c r="D1151" s="1" t="s">
        <v>39</v>
      </c>
      <c r="E1151" s="1" t="s">
        <v>40</v>
      </c>
      <c r="F1151" s="1" t="s">
        <v>42</v>
      </c>
      <c r="G1151" s="1">
        <v>24442</v>
      </c>
      <c r="H1151" s="1">
        <f>'1_Departamento_n'!C22</f>
        <v>2270133</v>
      </c>
      <c r="I1151" s="1">
        <f>'1_Departamento_n'!H22</f>
        <v>1312</v>
      </c>
      <c r="J1151" s="1">
        <f>'0_Parametros'!B7</f>
        <v>10</v>
      </c>
      <c r="K1151" s="3">
        <f>(I1151-SUM($J$1122:$J$1177))*G1151/H1151</f>
        <v>8.096611079615158</v>
      </c>
      <c r="L1151" s="1">
        <f>INT(K1151)</f>
        <v>8</v>
      </c>
      <c r="M1151" s="3">
        <f>K1151-L1151</f>
        <v>0.09661107961515825</v>
      </c>
      <c r="N1151" s="1">
        <f>COUNTIF($M$1122:$M$1177,"&gt;"&amp;M1151)+COUNTIF($M$1122:M1151,M1151)</f>
        <v>54</v>
      </c>
      <c r="O1151" s="1">
        <f>J1151+L1151+IF(N1151&lt;=I1151-SUM($J$1122:$J$1177)-SUM($L$1122:$L$1177),1,0)</f>
        <v>18</v>
      </c>
    </row>
    <row r="1152" spans="1:15">
      <c r="A1152" s="1" t="s">
        <v>68</v>
      </c>
      <c r="B1152" s="1" t="s">
        <v>73</v>
      </c>
      <c r="C1152" s="1" t="s">
        <v>50</v>
      </c>
      <c r="D1152" s="1" t="s">
        <v>39</v>
      </c>
      <c r="E1152" s="1" t="s">
        <v>43</v>
      </c>
      <c r="F1152" s="1" t="s">
        <v>41</v>
      </c>
      <c r="G1152" s="1">
        <v>59713</v>
      </c>
      <c r="H1152" s="1">
        <f>'1_Departamento_n'!C22</f>
        <v>2270133</v>
      </c>
      <c r="I1152" s="1">
        <f>'1_Departamento_n'!H22</f>
        <v>1312</v>
      </c>
      <c r="J1152" s="1">
        <f>'0_Parametros'!B7</f>
        <v>10</v>
      </c>
      <c r="K1152" s="3">
        <f>(I1152-SUM($J$1122:$J$1177))*G1152/H1152</f>
        <v>19.780416389700516</v>
      </c>
      <c r="L1152" s="1">
        <f>INT(K1152)</f>
        <v>19</v>
      </c>
      <c r="M1152" s="3">
        <f>K1152-L1152</f>
        <v>0.7804163897005161</v>
      </c>
      <c r="N1152" s="1">
        <f>COUNTIF($M$1122:$M$1177,"&gt;"&amp;M1152)+COUNTIF($M$1122:M1152,M1152)</f>
        <v>16</v>
      </c>
      <c r="O1152" s="1">
        <f>J1152+L1152+IF(N1152&lt;=I1152-SUM($J$1122:$J$1177)-SUM($L$1122:$L$1177),1,0)</f>
        <v>30</v>
      </c>
    </row>
    <row r="1153" spans="1:15">
      <c r="A1153" s="1" t="s">
        <v>68</v>
      </c>
      <c r="B1153" s="1" t="s">
        <v>73</v>
      </c>
      <c r="C1153" s="1" t="s">
        <v>50</v>
      </c>
      <c r="D1153" s="1" t="s">
        <v>39</v>
      </c>
      <c r="E1153" s="1" t="s">
        <v>43</v>
      </c>
      <c r="F1153" s="1" t="s">
        <v>42</v>
      </c>
      <c r="G1153" s="1">
        <v>31077</v>
      </c>
      <c r="H1153" s="1">
        <f>'1_Departamento_n'!C22</f>
        <v>2270133</v>
      </c>
      <c r="I1153" s="1">
        <f>'1_Departamento_n'!H22</f>
        <v>1312</v>
      </c>
      <c r="J1153" s="1">
        <f>'0_Parametros'!B7</f>
        <v>10</v>
      </c>
      <c r="K1153" s="3">
        <f>(I1153-SUM($J$1122:$J$1177))*G1153/H1153</f>
        <v>10.294508735831776</v>
      </c>
      <c r="L1153" s="1">
        <f>INT(K1153)</f>
        <v>10</v>
      </c>
      <c r="M1153" s="3">
        <f>K1153-L1153</f>
        <v>0.2945087358317764</v>
      </c>
      <c r="N1153" s="1">
        <f>COUNTIF($M$1122:$M$1177,"&gt;"&amp;M1153)+COUNTIF($M$1122:M1153,M1153)</f>
        <v>41</v>
      </c>
      <c r="O1153" s="1">
        <f>J1153+L1153+IF(N1153&lt;=I1153-SUM($J$1122:$J$1177)-SUM($L$1122:$L$1177),1,0)</f>
        <v>20</v>
      </c>
    </row>
    <row r="1154" spans="1:15">
      <c r="A1154" s="1" t="s">
        <v>68</v>
      </c>
      <c r="B1154" s="1" t="s">
        <v>73</v>
      </c>
      <c r="C1154" s="1" t="s">
        <v>50</v>
      </c>
      <c r="D1154" s="1" t="s">
        <v>39</v>
      </c>
      <c r="E1154" s="1" t="s">
        <v>44</v>
      </c>
      <c r="F1154" s="1" t="s">
        <v>41</v>
      </c>
      <c r="G1154" s="1">
        <v>63833</v>
      </c>
      <c r="H1154" s="1">
        <f>'1_Departamento_n'!C22</f>
        <v>2270133</v>
      </c>
      <c r="I1154" s="1">
        <f>'1_Departamento_n'!H22</f>
        <v>1312</v>
      </c>
      <c r="J1154" s="1">
        <f>'0_Parametros'!B7</f>
        <v>10</v>
      </c>
      <c r="K1154" s="3">
        <f>(I1154-SUM($J$1122:$J$1177))*G1154/H1154</f>
        <v>21.145199862739318</v>
      </c>
      <c r="L1154" s="1">
        <f>INT(K1154)</f>
        <v>21</v>
      </c>
      <c r="M1154" s="3">
        <f>K1154-L1154</f>
        <v>0.14519986273931806</v>
      </c>
      <c r="N1154" s="1">
        <f>COUNTIF($M$1122:$M$1177,"&gt;"&amp;M1154)+COUNTIF($M$1122:M1154,M1154)</f>
        <v>51</v>
      </c>
      <c r="O1154" s="1">
        <f>J1154+L1154+IF(N1154&lt;=I1154-SUM($J$1122:$J$1177)-SUM($L$1122:$L$1177),1,0)</f>
        <v>31</v>
      </c>
    </row>
    <row r="1155" spans="1:15">
      <c r="A1155" s="1" t="s">
        <v>68</v>
      </c>
      <c r="B1155" s="1" t="s">
        <v>73</v>
      </c>
      <c r="C1155" s="1" t="s">
        <v>50</v>
      </c>
      <c r="D1155" s="1" t="s">
        <v>39</v>
      </c>
      <c r="E1155" s="1" t="s">
        <v>44</v>
      </c>
      <c r="F1155" s="1" t="s">
        <v>42</v>
      </c>
      <c r="G1155" s="1">
        <v>29659</v>
      </c>
      <c r="H1155" s="1">
        <f>'1_Departamento_n'!C22</f>
        <v>2270133</v>
      </c>
      <c r="I1155" s="1">
        <f>'1_Departamento_n'!H22</f>
        <v>1312</v>
      </c>
      <c r="J1155" s="1">
        <f>'0_Parametros'!B7</f>
        <v>10</v>
      </c>
      <c r="K1155" s="3">
        <f>(I1155-SUM($J$1122:$J$1177))*G1155/H1155</f>
        <v>9.82478471525677</v>
      </c>
      <c r="L1155" s="1">
        <f>INT(K1155)</f>
        <v>9</v>
      </c>
      <c r="M1155" s="3">
        <f>K1155-L1155</f>
        <v>0.8247847152567704</v>
      </c>
      <c r="N1155" s="1">
        <f>COUNTIF($M$1122:$M$1177,"&gt;"&amp;M1155)+COUNTIF($M$1122:M1155,M1155)</f>
        <v>12</v>
      </c>
      <c r="O1155" s="1">
        <f>J1155+L1155+IF(N1155&lt;=I1155-SUM($J$1122:$J$1177)-SUM($L$1122:$L$1177),1,0)</f>
        <v>20</v>
      </c>
    </row>
    <row r="1156" spans="1:15">
      <c r="A1156" s="1" t="s">
        <v>68</v>
      </c>
      <c r="B1156" s="1" t="s">
        <v>73</v>
      </c>
      <c r="C1156" s="1" t="s">
        <v>50</v>
      </c>
      <c r="D1156" s="1" t="s">
        <v>39</v>
      </c>
      <c r="E1156" s="1" t="s">
        <v>45</v>
      </c>
      <c r="F1156" s="1" t="s">
        <v>41</v>
      </c>
      <c r="G1156" s="1">
        <v>61155</v>
      </c>
      <c r="H1156" s="1">
        <f>'1_Departamento_n'!C22</f>
        <v>2270133</v>
      </c>
      <c r="I1156" s="1">
        <f>'1_Departamento_n'!H22</f>
        <v>1312</v>
      </c>
      <c r="J1156" s="1">
        <f>'0_Parametros'!B7</f>
        <v>10</v>
      </c>
      <c r="K1156" s="3">
        <f>(I1156-SUM($J$1122:$J$1177))*G1156/H1156</f>
        <v>20.258090605264098</v>
      </c>
      <c r="L1156" s="1">
        <f>INT(K1156)</f>
        <v>20</v>
      </c>
      <c r="M1156" s="3">
        <f>K1156-L1156</f>
        <v>0.25809060526409766</v>
      </c>
      <c r="N1156" s="1">
        <f>COUNTIF($M$1122:$M$1177,"&gt;"&amp;M1156)+COUNTIF($M$1122:M1156,M1156)</f>
        <v>43</v>
      </c>
      <c r="O1156" s="1">
        <f>J1156+L1156+IF(N1156&lt;=I1156-SUM($J$1122:$J$1177)-SUM($L$1122:$L$1177),1,0)</f>
        <v>30</v>
      </c>
    </row>
    <row r="1157" spans="1:15">
      <c r="A1157" s="1" t="s">
        <v>68</v>
      </c>
      <c r="B1157" s="1" t="s">
        <v>73</v>
      </c>
      <c r="C1157" s="1" t="s">
        <v>50</v>
      </c>
      <c r="D1157" s="1" t="s">
        <v>39</v>
      </c>
      <c r="E1157" s="1" t="s">
        <v>45</v>
      </c>
      <c r="F1157" s="1" t="s">
        <v>42</v>
      </c>
      <c r="G1157" s="1">
        <v>26414</v>
      </c>
      <c r="H1157" s="1">
        <f>'1_Departamento_n'!C22</f>
        <v>2270133</v>
      </c>
      <c r="I1157" s="1">
        <f>'1_Departamento_n'!H22</f>
        <v>1312</v>
      </c>
      <c r="J1157" s="1">
        <f>'0_Parametros'!B7</f>
        <v>10</v>
      </c>
      <c r="K1157" s="3">
        <f>(I1157-SUM($J$1122:$J$1177))*G1157/H1157</f>
        <v>8.749852101176451</v>
      </c>
      <c r="L1157" s="1">
        <f>INT(K1157)</f>
        <v>8</v>
      </c>
      <c r="M1157" s="3">
        <f>K1157-L1157</f>
        <v>0.749852101176451</v>
      </c>
      <c r="N1157" s="1">
        <f>COUNTIF($M$1122:$M$1177,"&gt;"&amp;M1157)+COUNTIF($M$1122:M1157,M1157)</f>
        <v>17</v>
      </c>
      <c r="O1157" s="1">
        <f>J1157+L1157+IF(N1157&lt;=I1157-SUM($J$1122:$J$1177)-SUM($L$1122:$L$1177),1,0)</f>
        <v>19</v>
      </c>
    </row>
    <row r="1158" spans="1:15">
      <c r="A1158" s="1" t="s">
        <v>68</v>
      </c>
      <c r="B1158" s="1" t="s">
        <v>73</v>
      </c>
      <c r="C1158" s="1" t="s">
        <v>50</v>
      </c>
      <c r="D1158" s="1" t="s">
        <v>39</v>
      </c>
      <c r="E1158" s="1" t="s">
        <v>46</v>
      </c>
      <c r="F1158" s="1" t="s">
        <v>41</v>
      </c>
      <c r="G1158" s="1">
        <v>53570</v>
      </c>
      <c r="H1158" s="1">
        <f>'1_Departamento_n'!C22</f>
        <v>2270133</v>
      </c>
      <c r="I1158" s="1">
        <f>'1_Departamento_n'!H22</f>
        <v>1312</v>
      </c>
      <c r="J1158" s="1">
        <f>'0_Parametros'!B7</f>
        <v>10</v>
      </c>
      <c r="K1158" s="3">
        <f>(I1158-SUM($J$1122:$J$1177))*G1158/H1158</f>
        <v>17.745497730749697</v>
      </c>
      <c r="L1158" s="1">
        <f>INT(K1158)</f>
        <v>17</v>
      </c>
      <c r="M1158" s="3">
        <f>K1158-L1158</f>
        <v>0.7454977307496975</v>
      </c>
      <c r="N1158" s="1">
        <f>COUNTIF($M$1122:$M$1177,"&gt;"&amp;M1158)+COUNTIF($M$1122:M1158,M1158)</f>
        <v>18</v>
      </c>
      <c r="O1158" s="1">
        <f>J1158+L1158+IF(N1158&lt;=I1158-SUM($J$1122:$J$1177)-SUM($L$1122:$L$1177),1,0)</f>
        <v>28</v>
      </c>
    </row>
    <row r="1159" spans="1:15">
      <c r="A1159" s="1" t="s">
        <v>68</v>
      </c>
      <c r="B1159" s="1" t="s">
        <v>73</v>
      </c>
      <c r="C1159" s="1" t="s">
        <v>50</v>
      </c>
      <c r="D1159" s="1" t="s">
        <v>39</v>
      </c>
      <c r="E1159" s="1" t="s">
        <v>46</v>
      </c>
      <c r="F1159" s="1" t="s">
        <v>42</v>
      </c>
      <c r="G1159" s="1">
        <v>24662</v>
      </c>
      <c r="H1159" s="1">
        <f>'1_Departamento_n'!C22</f>
        <v>2270133</v>
      </c>
      <c r="I1159" s="1">
        <f>'1_Departamento_n'!H22</f>
        <v>1312</v>
      </c>
      <c r="J1159" s="1">
        <f>'0_Parametros'!B7</f>
        <v>10</v>
      </c>
      <c r="K1159" s="3">
        <f>(I1159-SUM($J$1122:$J$1177))*G1159/H1159</f>
        <v>8.169487867010435</v>
      </c>
      <c r="L1159" s="1">
        <f>INT(K1159)</f>
        <v>8</v>
      </c>
      <c r="M1159" s="3">
        <f>K1159-L1159</f>
        <v>0.16948786701043517</v>
      </c>
      <c r="N1159" s="1">
        <f>COUNTIF($M$1122:$M$1177,"&gt;"&amp;M1159)+COUNTIF($M$1122:M1159,M1159)</f>
        <v>50</v>
      </c>
      <c r="O1159" s="1">
        <f>J1159+L1159+IF(N1159&lt;=I1159-SUM($J$1122:$J$1177)-SUM($L$1122:$L$1177),1,0)</f>
        <v>18</v>
      </c>
    </row>
    <row r="1160" spans="1:15">
      <c r="A1160" s="1" t="s">
        <v>68</v>
      </c>
      <c r="B1160" s="1" t="s">
        <v>73</v>
      </c>
      <c r="C1160" s="1" t="s">
        <v>50</v>
      </c>
      <c r="D1160" s="1" t="s">
        <v>39</v>
      </c>
      <c r="E1160" s="1" t="s">
        <v>47</v>
      </c>
      <c r="F1160" s="1" t="s">
        <v>41</v>
      </c>
      <c r="G1160" s="1">
        <v>50983</v>
      </c>
      <c r="H1160" s="1">
        <f>'1_Departamento_n'!C22</f>
        <v>2270133</v>
      </c>
      <c r="I1160" s="1">
        <f>'1_Departamento_n'!H22</f>
        <v>1312</v>
      </c>
      <c r="J1160" s="1">
        <f>'0_Parametros'!B7</f>
        <v>10</v>
      </c>
      <c r="K1160" s="3">
        <f>(I1160-SUM($J$1122:$J$1177))*G1160/H1160</f>
        <v>16.888532962606156</v>
      </c>
      <c r="L1160" s="1">
        <f>INT(K1160)</f>
        <v>16</v>
      </c>
      <c r="M1160" s="3">
        <f>K1160-L1160</f>
        <v>0.8885329626061562</v>
      </c>
      <c r="N1160" s="1">
        <f>COUNTIF($M$1122:$M$1177,"&gt;"&amp;M1160)+COUNTIF($M$1122:M1160,M1160)</f>
        <v>11</v>
      </c>
      <c r="O1160" s="1">
        <f>J1160+L1160+IF(N1160&lt;=I1160-SUM($J$1122:$J$1177)-SUM($L$1122:$L$1177),1,0)</f>
        <v>27</v>
      </c>
    </row>
    <row r="1161" spans="1:15">
      <c r="A1161" s="1" t="s">
        <v>68</v>
      </c>
      <c r="B1161" s="1" t="s">
        <v>73</v>
      </c>
      <c r="C1161" s="1" t="s">
        <v>50</v>
      </c>
      <c r="D1161" s="1" t="s">
        <v>39</v>
      </c>
      <c r="E1161" s="1" t="s">
        <v>47</v>
      </c>
      <c r="F1161" s="1" t="s">
        <v>42</v>
      </c>
      <c r="G1161" s="1">
        <v>23193</v>
      </c>
      <c r="H1161" s="1">
        <f>'1_Departamento_n'!C22</f>
        <v>2270133</v>
      </c>
      <c r="I1161" s="1">
        <f>'1_Departamento_n'!H22</f>
        <v>1312</v>
      </c>
      <c r="J1161" s="1">
        <f>'0_Parametros'!B7</f>
        <v>10</v>
      </c>
      <c r="K1161" s="3">
        <f>(I1161-SUM($J$1122:$J$1177))*G1161/H1161</f>
        <v>7.682869682084706</v>
      </c>
      <c r="L1161" s="1">
        <f>INT(K1161)</f>
        <v>7</v>
      </c>
      <c r="M1161" s="3">
        <f>K1161-L1161</f>
        <v>0.6828696820847062</v>
      </c>
      <c r="N1161" s="1">
        <f>COUNTIF($M$1122:$M$1177,"&gt;"&amp;M1161)+COUNTIF($M$1122:M1161,M1161)</f>
        <v>25</v>
      </c>
      <c r="O1161" s="1">
        <f>J1161+L1161+IF(N1161&lt;=I1161-SUM($J$1122:$J$1177)-SUM($L$1122:$L$1177),1,0)</f>
        <v>18</v>
      </c>
    </row>
    <row r="1162" spans="1:15">
      <c r="A1162" s="1" t="s">
        <v>68</v>
      </c>
      <c r="B1162" s="1" t="s">
        <v>73</v>
      </c>
      <c r="C1162" s="1" t="s">
        <v>50</v>
      </c>
      <c r="D1162" s="1" t="s">
        <v>39</v>
      </c>
      <c r="E1162" s="1" t="s">
        <v>48</v>
      </c>
      <c r="F1162" s="1" t="s">
        <v>41</v>
      </c>
      <c r="G1162" s="1">
        <v>72453</v>
      </c>
      <c r="H1162" s="1">
        <f>'1_Departamento_n'!C22</f>
        <v>2270133</v>
      </c>
      <c r="I1162" s="1">
        <f>'1_Departamento_n'!H22</f>
        <v>1312</v>
      </c>
      <c r="J1162" s="1">
        <f>'0_Parametros'!B7</f>
        <v>10</v>
      </c>
      <c r="K1162" s="3">
        <f>(I1162-SUM($J$1122:$J$1177))*G1162/H1162</f>
        <v>24.00064489613604</v>
      </c>
      <c r="L1162" s="1">
        <f>INT(K1162)</f>
        <v>24</v>
      </c>
      <c r="M1162" s="3">
        <f>K1162-L1162</f>
        <v>0.0006448961360412397</v>
      </c>
      <c r="N1162" s="1">
        <f>COUNTIF($M$1122:$M$1177,"&gt;"&amp;M1162)+COUNTIF($M$1122:M1162,M1162)</f>
        <v>56</v>
      </c>
      <c r="O1162" s="1">
        <f>J1162+L1162+IF(N1162&lt;=I1162-SUM($J$1122:$J$1177)-SUM($L$1122:$L$1177),1,0)</f>
        <v>34</v>
      </c>
    </row>
    <row r="1163" spans="1:15">
      <c r="A1163" s="1" t="s">
        <v>68</v>
      </c>
      <c r="B1163" s="1" t="s">
        <v>73</v>
      </c>
      <c r="C1163" s="1" t="s">
        <v>50</v>
      </c>
      <c r="D1163" s="1" t="s">
        <v>39</v>
      </c>
      <c r="E1163" s="1" t="s">
        <v>48</v>
      </c>
      <c r="F1163" s="1" t="s">
        <v>42</v>
      </c>
      <c r="G1163" s="1">
        <v>34081</v>
      </c>
      <c r="H1163" s="1">
        <f>'1_Departamento_n'!C22</f>
        <v>2270133</v>
      </c>
      <c r="I1163" s="1">
        <f>'1_Departamento_n'!H22</f>
        <v>1312</v>
      </c>
      <c r="J1163" s="1">
        <f>'0_Parametros'!B7</f>
        <v>10</v>
      </c>
      <c r="K1163" s="3">
        <f>(I1163-SUM($J$1122:$J$1177))*G1163/H1163</f>
        <v>11.289608141901818</v>
      </c>
      <c r="L1163" s="1">
        <f>INT(K1163)</f>
        <v>11</v>
      </c>
      <c r="M1163" s="3">
        <f>K1163-L1163</f>
        <v>0.2896081419018177</v>
      </c>
      <c r="N1163" s="1">
        <f>COUNTIF($M$1122:$M$1177,"&gt;"&amp;M1163)+COUNTIF($M$1122:M1163,M1163)</f>
        <v>42</v>
      </c>
      <c r="O1163" s="1">
        <f>J1163+L1163+IF(N1163&lt;=I1163-SUM($J$1122:$J$1177)-SUM($L$1122:$L$1177),1,0)</f>
        <v>21</v>
      </c>
    </row>
    <row r="1164" spans="1:15">
      <c r="A1164" s="1" t="s">
        <v>68</v>
      </c>
      <c r="B1164" s="1" t="s">
        <v>73</v>
      </c>
      <c r="C1164" s="1" t="s">
        <v>50</v>
      </c>
      <c r="D1164" s="1" t="s">
        <v>49</v>
      </c>
      <c r="E1164" s="1" t="s">
        <v>40</v>
      </c>
      <c r="F1164" s="1" t="s">
        <v>41</v>
      </c>
      <c r="G1164" s="1">
        <v>47363</v>
      </c>
      <c r="H1164" s="1">
        <f>'1_Departamento_n'!C22</f>
        <v>2270133</v>
      </c>
      <c r="I1164" s="1">
        <f>'1_Departamento_n'!H22</f>
        <v>1312</v>
      </c>
      <c r="J1164" s="1">
        <f>'0_Parametros'!B7</f>
        <v>10</v>
      </c>
      <c r="K1164" s="3">
        <f>(I1164-SUM($J$1122:$J$1177))*G1164/H1164</f>
        <v>15.689378551829343</v>
      </c>
      <c r="L1164" s="1">
        <f>INT(K1164)</f>
        <v>15</v>
      </c>
      <c r="M1164" s="3">
        <f>K1164-L1164</f>
        <v>0.6893785518293427</v>
      </c>
      <c r="N1164" s="1">
        <f>COUNTIF($M$1122:$M$1177,"&gt;"&amp;M1164)+COUNTIF($M$1122:M1164,M1164)</f>
        <v>24</v>
      </c>
      <c r="O1164" s="1">
        <f>J1164+L1164+IF(N1164&lt;=I1164-SUM($J$1122:$J$1177)-SUM($L$1122:$L$1177),1,0)</f>
        <v>26</v>
      </c>
    </row>
    <row r="1165" spans="1:15">
      <c r="A1165" s="1" t="s">
        <v>68</v>
      </c>
      <c r="B1165" s="1" t="s">
        <v>73</v>
      </c>
      <c r="C1165" s="1" t="s">
        <v>50</v>
      </c>
      <c r="D1165" s="1" t="s">
        <v>49</v>
      </c>
      <c r="E1165" s="1" t="s">
        <v>40</v>
      </c>
      <c r="F1165" s="1" t="s">
        <v>42</v>
      </c>
      <c r="G1165" s="1">
        <v>26065</v>
      </c>
      <c r="H1165" s="1">
        <f>'1_Departamento_n'!C22</f>
        <v>2270133</v>
      </c>
      <c r="I1165" s="1">
        <f>'1_Departamento_n'!H22</f>
        <v>1312</v>
      </c>
      <c r="J1165" s="1">
        <f>'0_Parametros'!B7</f>
        <v>10</v>
      </c>
      <c r="K1165" s="3">
        <f>(I1165-SUM($J$1122:$J$1177))*G1165/H1165</f>
        <v>8.634243015717582</v>
      </c>
      <c r="L1165" s="1">
        <f>INT(K1165)</f>
        <v>8</v>
      </c>
      <c r="M1165" s="3">
        <f>K1165-L1165</f>
        <v>0.6342430157175816</v>
      </c>
      <c r="N1165" s="1">
        <f>COUNTIF($M$1122:$M$1177,"&gt;"&amp;M1165)+COUNTIF($M$1122:M1165,M1165)</f>
        <v>27</v>
      </c>
      <c r="O1165" s="1">
        <f>J1165+L1165+IF(N1165&lt;=I1165-SUM($J$1122:$J$1177)-SUM($L$1122:$L$1177),1,0)</f>
        <v>19</v>
      </c>
    </row>
    <row r="1166" spans="1:15">
      <c r="A1166" s="1" t="s">
        <v>68</v>
      </c>
      <c r="B1166" s="1" t="s">
        <v>73</v>
      </c>
      <c r="C1166" s="1" t="s">
        <v>50</v>
      </c>
      <c r="D1166" s="1" t="s">
        <v>49</v>
      </c>
      <c r="E1166" s="1" t="s">
        <v>43</v>
      </c>
      <c r="F1166" s="1" t="s">
        <v>41</v>
      </c>
      <c r="G1166" s="1">
        <v>62091</v>
      </c>
      <c r="H1166" s="1">
        <f>'1_Departamento_n'!C22</f>
        <v>2270133</v>
      </c>
      <c r="I1166" s="1">
        <f>'1_Departamento_n'!H22</f>
        <v>1312</v>
      </c>
      <c r="J1166" s="1">
        <f>'0_Parametros'!B7</f>
        <v>10</v>
      </c>
      <c r="K1166" s="3">
        <f>(I1166-SUM($J$1122:$J$1177))*G1166/H1166</f>
        <v>20.568148209818542</v>
      </c>
      <c r="L1166" s="1">
        <f>INT(K1166)</f>
        <v>20</v>
      </c>
      <c r="M1166" s="3">
        <f>K1166-L1166</f>
        <v>0.568148209818542</v>
      </c>
      <c r="N1166" s="1">
        <f>COUNTIF($M$1122:$M$1177,"&gt;"&amp;M1166)+COUNTIF($M$1122:M1166,M1166)</f>
        <v>30</v>
      </c>
      <c r="O1166" s="1">
        <f>J1166+L1166+IF(N1166&lt;=I1166-SUM($J$1122:$J$1177)-SUM($L$1122:$L$1177),1,0)</f>
        <v>31</v>
      </c>
    </row>
    <row r="1167" spans="1:15">
      <c r="A1167" s="1" t="s">
        <v>68</v>
      </c>
      <c r="B1167" s="1" t="s">
        <v>73</v>
      </c>
      <c r="C1167" s="1" t="s">
        <v>50</v>
      </c>
      <c r="D1167" s="1" t="s">
        <v>49</v>
      </c>
      <c r="E1167" s="1" t="s">
        <v>43</v>
      </c>
      <c r="F1167" s="1" t="s">
        <v>42</v>
      </c>
      <c r="G1167" s="1">
        <v>32314</v>
      </c>
      <c r="H1167" s="1">
        <f>'1_Departamento_n'!C22</f>
        <v>2270133</v>
      </c>
      <c r="I1167" s="1">
        <f>'1_Departamento_n'!H22</f>
        <v>1312</v>
      </c>
      <c r="J1167" s="1">
        <f>'0_Parametros'!B7</f>
        <v>10</v>
      </c>
      <c r="K1167" s="3">
        <f>(I1167-SUM($J$1122:$J$1177))*G1167/H1167</f>
        <v>10.704275035867942</v>
      </c>
      <c r="L1167" s="1">
        <f>INT(K1167)</f>
        <v>10</v>
      </c>
      <c r="M1167" s="3">
        <f>K1167-L1167</f>
        <v>0.7042750358679424</v>
      </c>
      <c r="N1167" s="1">
        <f>COUNTIF($M$1122:$M$1177,"&gt;"&amp;M1167)+COUNTIF($M$1122:M1167,M1167)</f>
        <v>23</v>
      </c>
      <c r="O1167" s="1">
        <f>J1167+L1167+IF(N1167&lt;=I1167-SUM($J$1122:$J$1177)-SUM($L$1122:$L$1177),1,0)</f>
        <v>21</v>
      </c>
    </row>
    <row r="1168" spans="1:15">
      <c r="A1168" s="1" t="s">
        <v>68</v>
      </c>
      <c r="B1168" s="1" t="s">
        <v>73</v>
      </c>
      <c r="C1168" s="1" t="s">
        <v>50</v>
      </c>
      <c r="D1168" s="1" t="s">
        <v>49</v>
      </c>
      <c r="E1168" s="1" t="s">
        <v>44</v>
      </c>
      <c r="F1168" s="1" t="s">
        <v>41</v>
      </c>
      <c r="G1168" s="1">
        <v>56821</v>
      </c>
      <c r="H1168" s="1">
        <f>'1_Departamento_n'!C22</f>
        <v>2270133</v>
      </c>
      <c r="I1168" s="1">
        <f>'1_Departamento_n'!H22</f>
        <v>1312</v>
      </c>
      <c r="J1168" s="1">
        <f>'0_Parametros'!B7</f>
        <v>10</v>
      </c>
      <c r="K1168" s="3">
        <f>(I1168-SUM($J$1122:$J$1177))*G1168/H1168</f>
        <v>18.82241789357716</v>
      </c>
      <c r="L1168" s="1">
        <f>INT(K1168)</f>
        <v>18</v>
      </c>
      <c r="M1168" s="3">
        <f>K1168-L1168</f>
        <v>0.8224178935771604</v>
      </c>
      <c r="N1168" s="1">
        <f>COUNTIF($M$1122:$M$1177,"&gt;"&amp;M1168)+COUNTIF($M$1122:M1168,M1168)</f>
        <v>13</v>
      </c>
      <c r="O1168" s="1">
        <f>J1168+L1168+IF(N1168&lt;=I1168-SUM($J$1122:$J$1177)-SUM($L$1122:$L$1177),1,0)</f>
        <v>29</v>
      </c>
    </row>
    <row r="1169" spans="1:15">
      <c r="A1169" s="1" t="s">
        <v>68</v>
      </c>
      <c r="B1169" s="1" t="s">
        <v>73</v>
      </c>
      <c r="C1169" s="1" t="s">
        <v>50</v>
      </c>
      <c r="D1169" s="1" t="s">
        <v>49</v>
      </c>
      <c r="E1169" s="1" t="s">
        <v>44</v>
      </c>
      <c r="F1169" s="1" t="s">
        <v>42</v>
      </c>
      <c r="G1169" s="1">
        <v>29410</v>
      </c>
      <c r="H1169" s="1">
        <f>'1_Departamento_n'!C22</f>
        <v>2270133</v>
      </c>
      <c r="I1169" s="1">
        <f>'1_Departamento_n'!H22</f>
        <v>1312</v>
      </c>
      <c r="J1169" s="1">
        <f>'0_Parametros'!B7</f>
        <v>10</v>
      </c>
      <c r="K1169" s="3">
        <f>(I1169-SUM($J$1122:$J$1177))*G1169/H1169</f>
        <v>9.7423014422503</v>
      </c>
      <c r="L1169" s="1">
        <f>INT(K1169)</f>
        <v>9</v>
      </c>
      <c r="M1169" s="3">
        <f>K1169-L1169</f>
        <v>0.7423014422502998</v>
      </c>
      <c r="N1169" s="1">
        <f>COUNTIF($M$1122:$M$1177,"&gt;"&amp;M1169)+COUNTIF($M$1122:M1169,M1169)</f>
        <v>19</v>
      </c>
      <c r="O1169" s="1">
        <f>J1169+L1169+IF(N1169&lt;=I1169-SUM($J$1122:$J$1177)-SUM($L$1122:$L$1177),1,0)</f>
        <v>20</v>
      </c>
    </row>
    <row r="1170" spans="1:15">
      <c r="A1170" s="1" t="s">
        <v>68</v>
      </c>
      <c r="B1170" s="1" t="s">
        <v>73</v>
      </c>
      <c r="C1170" s="1" t="s">
        <v>50</v>
      </c>
      <c r="D1170" s="1" t="s">
        <v>49</v>
      </c>
      <c r="E1170" s="1" t="s">
        <v>45</v>
      </c>
      <c r="F1170" s="1" t="s">
        <v>41</v>
      </c>
      <c r="G1170" s="1">
        <v>54951</v>
      </c>
      <c r="H1170" s="1">
        <f>'1_Departamento_n'!C22</f>
        <v>2270133</v>
      </c>
      <c r="I1170" s="1">
        <f>'1_Departamento_n'!H22</f>
        <v>1312</v>
      </c>
      <c r="J1170" s="1">
        <f>'0_Parametros'!B7</f>
        <v>10</v>
      </c>
      <c r="K1170" s="3">
        <f>(I1170-SUM($J$1122:$J$1177))*G1170/H1170</f>
        <v>18.202965200717315</v>
      </c>
      <c r="L1170" s="1">
        <f>INT(K1170)</f>
        <v>18</v>
      </c>
      <c r="M1170" s="3">
        <f>K1170-L1170</f>
        <v>0.2029652007173155</v>
      </c>
      <c r="N1170" s="1">
        <f>COUNTIF($M$1122:$M$1177,"&gt;"&amp;M1170)+COUNTIF($M$1122:M1170,M1170)</f>
        <v>45</v>
      </c>
      <c r="O1170" s="1">
        <f>J1170+L1170+IF(N1170&lt;=I1170-SUM($J$1122:$J$1177)-SUM($L$1122:$L$1177),1,0)</f>
        <v>28</v>
      </c>
    </row>
    <row r="1171" spans="1:15">
      <c r="A1171" s="1" t="s">
        <v>68</v>
      </c>
      <c r="B1171" s="1" t="s">
        <v>73</v>
      </c>
      <c r="C1171" s="1" t="s">
        <v>50</v>
      </c>
      <c r="D1171" s="1" t="s">
        <v>49</v>
      </c>
      <c r="E1171" s="1" t="s">
        <v>45</v>
      </c>
      <c r="F1171" s="1" t="s">
        <v>42</v>
      </c>
      <c r="G1171" s="1">
        <v>27685</v>
      </c>
      <c r="H1171" s="1">
        <f>'1_Departamento_n'!C22</f>
        <v>2270133</v>
      </c>
      <c r="I1171" s="1">
        <f>'1_Departamento_n'!H22</f>
        <v>1312</v>
      </c>
      <c r="J1171" s="1">
        <f>'0_Parametros'!B7</f>
        <v>10</v>
      </c>
      <c r="K1171" s="3">
        <f>(I1171-SUM($J$1122:$J$1177))*G1171/H1171</f>
        <v>9.170881177446432</v>
      </c>
      <c r="L1171" s="1">
        <f>INT(K1171)</f>
        <v>9</v>
      </c>
      <c r="M1171" s="3">
        <f>K1171-L1171</f>
        <v>0.17088117744643228</v>
      </c>
      <c r="N1171" s="1">
        <f>COUNTIF($M$1122:$M$1177,"&gt;"&amp;M1171)+COUNTIF($M$1122:M1171,M1171)</f>
        <v>48</v>
      </c>
      <c r="O1171" s="1">
        <f>J1171+L1171+IF(N1171&lt;=I1171-SUM($J$1122:$J$1177)-SUM($L$1122:$L$1177),1,0)</f>
        <v>19</v>
      </c>
    </row>
    <row r="1172" spans="1:15">
      <c r="A1172" s="1" t="s">
        <v>68</v>
      </c>
      <c r="B1172" s="1" t="s">
        <v>73</v>
      </c>
      <c r="C1172" s="1" t="s">
        <v>50</v>
      </c>
      <c r="D1172" s="1" t="s">
        <v>49</v>
      </c>
      <c r="E1172" s="1" t="s">
        <v>46</v>
      </c>
      <c r="F1172" s="1" t="s">
        <v>41</v>
      </c>
      <c r="G1172" s="1">
        <v>45644</v>
      </c>
      <c r="H1172" s="1">
        <f>'1_Departamento_n'!C22</f>
        <v>2270133</v>
      </c>
      <c r="I1172" s="1">
        <f>'1_Departamento_n'!H22</f>
        <v>1312</v>
      </c>
      <c r="J1172" s="1">
        <f>'0_Parametros'!B7</f>
        <v>10</v>
      </c>
      <c r="K1172" s="3">
        <f>(I1172-SUM($J$1122:$J$1177))*G1172/H1172</f>
        <v>15.119945835772617</v>
      </c>
      <c r="L1172" s="1">
        <f>INT(K1172)</f>
        <v>15</v>
      </c>
      <c r="M1172" s="3">
        <f>K1172-L1172</f>
        <v>0.11994583577261686</v>
      </c>
      <c r="N1172" s="1">
        <f>COUNTIF($M$1122:$M$1177,"&gt;"&amp;M1172)+COUNTIF($M$1122:M1172,M1172)</f>
        <v>53</v>
      </c>
      <c r="O1172" s="1">
        <f>J1172+L1172+IF(N1172&lt;=I1172-SUM($J$1122:$J$1177)-SUM($L$1122:$L$1177),1,0)</f>
        <v>25</v>
      </c>
    </row>
    <row r="1173" spans="1:15">
      <c r="A1173" s="1" t="s">
        <v>68</v>
      </c>
      <c r="B1173" s="1" t="s">
        <v>73</v>
      </c>
      <c r="C1173" s="1" t="s">
        <v>50</v>
      </c>
      <c r="D1173" s="1" t="s">
        <v>49</v>
      </c>
      <c r="E1173" s="1" t="s">
        <v>46</v>
      </c>
      <c r="F1173" s="1" t="s">
        <v>42</v>
      </c>
      <c r="G1173" s="1">
        <v>26065</v>
      </c>
      <c r="H1173" s="1">
        <f>'1_Departamento_n'!C22</f>
        <v>2270133</v>
      </c>
      <c r="I1173" s="1">
        <f>'1_Departamento_n'!H22</f>
        <v>1312</v>
      </c>
      <c r="J1173" s="1">
        <f>'0_Parametros'!B7</f>
        <v>10</v>
      </c>
      <c r="K1173" s="3">
        <f>(I1173-SUM($J$1122:$J$1177))*G1173/H1173</f>
        <v>8.634243015717582</v>
      </c>
      <c r="L1173" s="1">
        <f>INT(K1173)</f>
        <v>8</v>
      </c>
      <c r="M1173" s="3">
        <f>K1173-L1173</f>
        <v>0.6342430157175816</v>
      </c>
      <c r="N1173" s="1">
        <f>COUNTIF($M$1122:$M$1177,"&gt;"&amp;M1173)+COUNTIF($M$1122:M1173,M1173)</f>
        <v>28</v>
      </c>
      <c r="O1173" s="1">
        <f>J1173+L1173+IF(N1173&lt;=I1173-SUM($J$1122:$J$1177)-SUM($L$1122:$L$1177),1,0)</f>
        <v>19</v>
      </c>
    </row>
    <row r="1174" spans="1:15">
      <c r="A1174" s="1" t="s">
        <v>68</v>
      </c>
      <c r="B1174" s="1" t="s">
        <v>73</v>
      </c>
      <c r="C1174" s="1" t="s">
        <v>50</v>
      </c>
      <c r="D1174" s="1" t="s">
        <v>49</v>
      </c>
      <c r="E1174" s="1" t="s">
        <v>47</v>
      </c>
      <c r="F1174" s="1" t="s">
        <v>41</v>
      </c>
      <c r="G1174" s="1">
        <v>42968</v>
      </c>
      <c r="H1174" s="1">
        <f>'1_Departamento_n'!C22</f>
        <v>2270133</v>
      </c>
      <c r="I1174" s="1">
        <f>'1_Departamento_n'!H22</f>
        <v>1312</v>
      </c>
      <c r="J1174" s="1">
        <f>'0_Parametros'!B7</f>
        <v>10</v>
      </c>
      <c r="K1174" s="3">
        <f>(I1174-SUM($J$1122:$J$1177))*G1174/H1174</f>
        <v>14.233499094546444</v>
      </c>
      <c r="L1174" s="1">
        <f>INT(K1174)</f>
        <v>14</v>
      </c>
      <c r="M1174" s="3">
        <f>K1174-L1174</f>
        <v>0.2334990945464437</v>
      </c>
      <c r="N1174" s="1">
        <f>COUNTIF($M$1122:$M$1177,"&gt;"&amp;M1174)+COUNTIF($M$1122:M1174,M1174)</f>
        <v>44</v>
      </c>
      <c r="O1174" s="1">
        <f>J1174+L1174+IF(N1174&lt;=I1174-SUM($J$1122:$J$1177)-SUM($L$1122:$L$1177),1,0)</f>
        <v>24</v>
      </c>
    </row>
    <row r="1175" spans="1:15">
      <c r="A1175" s="1" t="s">
        <v>68</v>
      </c>
      <c r="B1175" s="1" t="s">
        <v>73</v>
      </c>
      <c r="C1175" s="1" t="s">
        <v>50</v>
      </c>
      <c r="D1175" s="1" t="s">
        <v>49</v>
      </c>
      <c r="E1175" s="1" t="s">
        <v>47</v>
      </c>
      <c r="F1175" s="1" t="s">
        <v>42</v>
      </c>
      <c r="G1175" s="1">
        <v>25815</v>
      </c>
      <c r="H1175" s="1">
        <f>'1_Departamento_n'!C22</f>
        <v>2270133</v>
      </c>
      <c r="I1175" s="1">
        <f>'1_Departamento_n'!H22</f>
        <v>1312</v>
      </c>
      <c r="J1175" s="1">
        <f>'0_Parametros'!B7</f>
        <v>10</v>
      </c>
      <c r="K1175" s="3">
        <f>(I1175-SUM($J$1122:$J$1177))*G1175/H1175</f>
        <v>8.551428484586586</v>
      </c>
      <c r="L1175" s="1">
        <f>INT(K1175)</f>
        <v>8</v>
      </c>
      <c r="M1175" s="3">
        <f>K1175-L1175</f>
        <v>0.5514284845865856</v>
      </c>
      <c r="N1175" s="1">
        <f>COUNTIF($M$1122:$M$1177,"&gt;"&amp;M1175)+COUNTIF($M$1122:M1175,M1175)</f>
        <v>31</v>
      </c>
      <c r="O1175" s="1">
        <f>J1175+L1175+IF(N1175&lt;=I1175-SUM($J$1122:$J$1177)-SUM($L$1122:$L$1177),1,0)</f>
        <v>19</v>
      </c>
    </row>
    <row r="1176" spans="1:15">
      <c r="A1176" s="1" t="s">
        <v>68</v>
      </c>
      <c r="B1176" s="1" t="s">
        <v>73</v>
      </c>
      <c r="C1176" s="1" t="s">
        <v>50</v>
      </c>
      <c r="D1176" s="1" t="s">
        <v>49</v>
      </c>
      <c r="E1176" s="1" t="s">
        <v>48</v>
      </c>
      <c r="F1176" s="1" t="s">
        <v>41</v>
      </c>
      <c r="G1176" s="1">
        <v>60192</v>
      </c>
      <c r="H1176" s="1">
        <f>'1_Departamento_n'!C22</f>
        <v>2270133</v>
      </c>
      <c r="I1176" s="1">
        <f>'1_Departamento_n'!H22</f>
        <v>1312</v>
      </c>
      <c r="J1176" s="1">
        <f>'0_Parametros'!B7</f>
        <v>10</v>
      </c>
      <c r="K1176" s="3">
        <f>(I1176-SUM($J$1122:$J$1177))*G1176/H1176</f>
        <v>19.939089031347503</v>
      </c>
      <c r="L1176" s="1">
        <f>INT(K1176)</f>
        <v>19</v>
      </c>
      <c r="M1176" s="3">
        <f>K1176-L1176</f>
        <v>0.9390890313475033</v>
      </c>
      <c r="N1176" s="1">
        <f>COUNTIF($M$1122:$M$1177,"&gt;"&amp;M1176)+COUNTIF($M$1122:M1176,M1176)</f>
        <v>6</v>
      </c>
      <c r="O1176" s="1">
        <f>J1176+L1176+IF(N1176&lt;=I1176-SUM($J$1122:$J$1177)-SUM($L$1122:$L$1177),1,0)</f>
        <v>30</v>
      </c>
    </row>
    <row r="1177" spans="1:15">
      <c r="A1177" s="1" t="s">
        <v>68</v>
      </c>
      <c r="B1177" s="1" t="s">
        <v>73</v>
      </c>
      <c r="C1177" s="1" t="s">
        <v>50</v>
      </c>
      <c r="D1177" s="1" t="s">
        <v>49</v>
      </c>
      <c r="E1177" s="1" t="s">
        <v>48</v>
      </c>
      <c r="F1177" s="1" t="s">
        <v>42</v>
      </c>
      <c r="G1177" s="1">
        <v>38926</v>
      </c>
      <c r="H1177" s="1">
        <f>'1_Departamento_n'!C22</f>
        <v>2270133</v>
      </c>
      <c r="I1177" s="1">
        <f>'1_Departamento_n'!H22</f>
        <v>1312</v>
      </c>
      <c r="J1177" s="1">
        <f>'0_Parametros'!B7</f>
        <v>10</v>
      </c>
      <c r="K1177" s="3">
        <f>(I1177-SUM($J$1122:$J$1177))*G1177/H1177</f>
        <v>12.894553755220509</v>
      </c>
      <c r="L1177" s="1">
        <f>INT(K1177)</f>
        <v>12</v>
      </c>
      <c r="M1177" s="3">
        <f>K1177-L1177</f>
        <v>0.8945537552205085</v>
      </c>
      <c r="N1177" s="1">
        <f>COUNTIF($M$1122:$M$1177,"&gt;"&amp;M1177)+COUNTIF($M$1122:M1177,M1177)</f>
        <v>10</v>
      </c>
      <c r="O1177" s="1">
        <f>J1177+L1177+IF(N1177&lt;=I1177-SUM($J$1122:$J$1177)-SUM($L$1122:$L$1177),1,0)</f>
        <v>23</v>
      </c>
    </row>
    <row r="1178" spans="1:15">
      <c r="A1178" s="1" t="s">
        <v>74</v>
      </c>
      <c r="B1178" s="1" t="s">
        <v>75</v>
      </c>
      <c r="C1178" s="1" t="s">
        <v>38</v>
      </c>
      <c r="D1178" s="1" t="s">
        <v>39</v>
      </c>
      <c r="E1178" s="1" t="s">
        <v>40</v>
      </c>
      <c r="F1178" s="1" t="s">
        <v>41</v>
      </c>
      <c r="G1178" s="1">
        <v>609</v>
      </c>
      <c r="H1178" s="1">
        <f>'1_Departamento_n'!C23</f>
        <v>76629</v>
      </c>
      <c r="I1178" s="1">
        <f>'1_Departamento_n'!H23</f>
        <v>1297</v>
      </c>
      <c r="J1178" s="1">
        <f>'0_Parametros'!B7</f>
        <v>10</v>
      </c>
      <c r="K1178" s="3">
        <f>(I1178-SUM($J$1178:$J$1233))*G1178/H1178</f>
        <v>5.857221156481228</v>
      </c>
      <c r="L1178" s="1">
        <f>INT(K1178)</f>
        <v>5</v>
      </c>
      <c r="M1178" s="3">
        <f>K1178-L1178</f>
        <v>0.857221156481228</v>
      </c>
      <c r="N1178" s="1">
        <f>COUNTIF($M$1178:$M$1233,"&gt;"&amp;M1178)+COUNTIF($M$1178:M1178,M1178)</f>
        <v>8</v>
      </c>
      <c r="O1178" s="1">
        <f>J1178+L1178+IF(N1178&lt;=I1178-SUM($J$1178:$J$1233)-SUM($L$1178:$L$1233),1,0)</f>
        <v>16</v>
      </c>
    </row>
    <row r="1179" spans="1:15">
      <c r="A1179" s="1" t="s">
        <v>74</v>
      </c>
      <c r="B1179" s="1" t="s">
        <v>75</v>
      </c>
      <c r="C1179" s="1" t="s">
        <v>38</v>
      </c>
      <c r="D1179" s="1" t="s">
        <v>39</v>
      </c>
      <c r="E1179" s="1" t="s">
        <v>40</v>
      </c>
      <c r="F1179" s="1" t="s">
        <v>42</v>
      </c>
      <c r="G1179" s="1">
        <v>434</v>
      </c>
      <c r="H1179" s="1">
        <f>'1_Departamento_n'!C23</f>
        <v>76629</v>
      </c>
      <c r="I1179" s="1">
        <f>'1_Departamento_n'!H23</f>
        <v>1297</v>
      </c>
      <c r="J1179" s="1">
        <f>'0_Parametros'!B7</f>
        <v>10</v>
      </c>
      <c r="K1179" s="3">
        <f>(I1179-SUM($J$1178:$J$1233))*G1179/H1179</f>
        <v>4.174111628756737</v>
      </c>
      <c r="L1179" s="1">
        <f>INT(K1179)</f>
        <v>4</v>
      </c>
      <c r="M1179" s="3">
        <f>K1179-L1179</f>
        <v>0.17411162875673725</v>
      </c>
      <c r="N1179" s="1">
        <f>COUNTIF($M$1178:$M$1233,"&gt;"&amp;M1179)+COUNTIF($M$1178:M1179,M1179)</f>
        <v>48</v>
      </c>
      <c r="O1179" s="1">
        <f>J1179+L1179+IF(N1179&lt;=I1179-SUM($J$1178:$J$1233)-SUM($L$1178:$L$1233),1,0)</f>
        <v>14</v>
      </c>
    </row>
    <row r="1180" spans="1:15">
      <c r="A1180" s="1" t="s">
        <v>74</v>
      </c>
      <c r="B1180" s="1" t="s">
        <v>75</v>
      </c>
      <c r="C1180" s="1" t="s">
        <v>38</v>
      </c>
      <c r="D1180" s="1" t="s">
        <v>39</v>
      </c>
      <c r="E1180" s="1" t="s">
        <v>43</v>
      </c>
      <c r="F1180" s="1" t="s">
        <v>41</v>
      </c>
      <c r="G1180" s="1">
        <v>823</v>
      </c>
      <c r="H1180" s="1">
        <f>'1_Departamento_n'!C23</f>
        <v>76629</v>
      </c>
      <c r="I1180" s="1">
        <f>'1_Departamento_n'!H23</f>
        <v>1297</v>
      </c>
      <c r="J1180" s="1">
        <f>'0_Parametros'!B7</f>
        <v>10</v>
      </c>
      <c r="K1180" s="3">
        <f>(I1180-SUM($J$1178:$J$1233))*G1180/H1180</f>
        <v>7.915423664670033</v>
      </c>
      <c r="L1180" s="1">
        <f>INT(K1180)</f>
        <v>7</v>
      </c>
      <c r="M1180" s="3">
        <f>K1180-L1180</f>
        <v>0.9154236646700333</v>
      </c>
      <c r="N1180" s="1">
        <f>COUNTIF($M$1178:$M$1233,"&gt;"&amp;M1180)+COUNTIF($M$1178:M1180,M1180)</f>
        <v>4</v>
      </c>
      <c r="O1180" s="1">
        <f>J1180+L1180+IF(N1180&lt;=I1180-SUM($J$1178:$J$1233)-SUM($L$1178:$L$1233),1,0)</f>
        <v>18</v>
      </c>
    </row>
    <row r="1181" spans="1:15">
      <c r="A1181" s="1" t="s">
        <v>74</v>
      </c>
      <c r="B1181" s="1" t="s">
        <v>75</v>
      </c>
      <c r="C1181" s="1" t="s">
        <v>38</v>
      </c>
      <c r="D1181" s="1" t="s">
        <v>39</v>
      </c>
      <c r="E1181" s="1" t="s">
        <v>43</v>
      </c>
      <c r="F1181" s="1" t="s">
        <v>42</v>
      </c>
      <c r="G1181" s="1">
        <v>359</v>
      </c>
      <c r="H1181" s="1">
        <f>'1_Departamento_n'!C23</f>
        <v>76629</v>
      </c>
      <c r="I1181" s="1">
        <f>'1_Departamento_n'!H23</f>
        <v>1297</v>
      </c>
      <c r="J1181" s="1">
        <f>'0_Parametros'!B7</f>
        <v>10</v>
      </c>
      <c r="K1181" s="3">
        <f>(I1181-SUM($J$1178:$J$1233))*G1181/H1181</f>
        <v>3.4527789740176695</v>
      </c>
      <c r="L1181" s="1">
        <f>INT(K1181)</f>
        <v>3</v>
      </c>
      <c r="M1181" s="3">
        <f>K1181-L1181</f>
        <v>0.45277897401766953</v>
      </c>
      <c r="N1181" s="1">
        <f>COUNTIF($M$1178:$M$1233,"&gt;"&amp;M1181)+COUNTIF($M$1178:M1181,M1181)</f>
        <v>32</v>
      </c>
      <c r="O1181" s="1">
        <f>J1181+L1181+IF(N1181&lt;=I1181-SUM($J$1178:$J$1233)-SUM($L$1178:$L$1233),1,0)</f>
        <v>13</v>
      </c>
    </row>
    <row r="1182" spans="1:15">
      <c r="A1182" s="1" t="s">
        <v>74</v>
      </c>
      <c r="B1182" s="1" t="s">
        <v>75</v>
      </c>
      <c r="C1182" s="1" t="s">
        <v>38</v>
      </c>
      <c r="D1182" s="1" t="s">
        <v>39</v>
      </c>
      <c r="E1182" s="1" t="s">
        <v>44</v>
      </c>
      <c r="F1182" s="1" t="s">
        <v>41</v>
      </c>
      <c r="G1182" s="1">
        <v>980</v>
      </c>
      <c r="H1182" s="1">
        <f>'1_Departamento_n'!C23</f>
        <v>76629</v>
      </c>
      <c r="I1182" s="1">
        <f>'1_Departamento_n'!H23</f>
        <v>1297</v>
      </c>
      <c r="J1182" s="1">
        <f>'0_Parametros'!B7</f>
        <v>10</v>
      </c>
      <c r="K1182" s="3">
        <f>(I1182-SUM($J$1178:$J$1233))*G1182/H1182</f>
        <v>9.425413355257149</v>
      </c>
      <c r="L1182" s="1">
        <f>INT(K1182)</f>
        <v>9</v>
      </c>
      <c r="M1182" s="3">
        <f>K1182-L1182</f>
        <v>0.42541335525714885</v>
      </c>
      <c r="N1182" s="1">
        <f>COUNTIF($M$1178:$M$1233,"&gt;"&amp;M1182)+COUNTIF($M$1178:M1182,M1182)</f>
        <v>36</v>
      </c>
      <c r="O1182" s="1">
        <f>J1182+L1182+IF(N1182&lt;=I1182-SUM($J$1178:$J$1233)-SUM($L$1178:$L$1233),1,0)</f>
        <v>19</v>
      </c>
    </row>
    <row r="1183" spans="1:15">
      <c r="A1183" s="1" t="s">
        <v>74</v>
      </c>
      <c r="B1183" s="1" t="s">
        <v>75</v>
      </c>
      <c r="C1183" s="1" t="s">
        <v>38</v>
      </c>
      <c r="D1183" s="1" t="s">
        <v>39</v>
      </c>
      <c r="E1183" s="1" t="s">
        <v>44</v>
      </c>
      <c r="F1183" s="1" t="s">
        <v>42</v>
      </c>
      <c r="G1183" s="1">
        <v>481</v>
      </c>
      <c r="H1183" s="1">
        <f>'1_Departamento_n'!C23</f>
        <v>76629</v>
      </c>
      <c r="I1183" s="1">
        <f>'1_Departamento_n'!H23</f>
        <v>1297</v>
      </c>
      <c r="J1183" s="1">
        <f>'0_Parametros'!B7</f>
        <v>10</v>
      </c>
      <c r="K1183" s="3">
        <f>(I1183-SUM($J$1178:$J$1233))*G1183/H1183</f>
        <v>4.626146759059886</v>
      </c>
      <c r="L1183" s="1">
        <f>INT(K1183)</f>
        <v>4</v>
      </c>
      <c r="M1183" s="3">
        <f>K1183-L1183</f>
        <v>0.6261467590598864</v>
      </c>
      <c r="N1183" s="1">
        <f>COUNTIF($M$1178:$M$1233,"&gt;"&amp;M1183)+COUNTIF($M$1178:M1183,M1183)</f>
        <v>20</v>
      </c>
      <c r="O1183" s="1">
        <f>J1183+L1183+IF(N1183&lt;=I1183-SUM($J$1178:$J$1233)-SUM($L$1178:$L$1233),1,0)</f>
        <v>15</v>
      </c>
    </row>
    <row r="1184" spans="1:15">
      <c r="A1184" s="1" t="s">
        <v>74</v>
      </c>
      <c r="B1184" s="1" t="s">
        <v>75</v>
      </c>
      <c r="C1184" s="1" t="s">
        <v>38</v>
      </c>
      <c r="D1184" s="1" t="s">
        <v>39</v>
      </c>
      <c r="E1184" s="1" t="s">
        <v>45</v>
      </c>
      <c r="F1184" s="1" t="s">
        <v>41</v>
      </c>
      <c r="G1184" s="1">
        <v>1260</v>
      </c>
      <c r="H1184" s="1">
        <f>'1_Departamento_n'!C23</f>
        <v>76629</v>
      </c>
      <c r="I1184" s="1">
        <f>'1_Departamento_n'!H23</f>
        <v>1297</v>
      </c>
      <c r="J1184" s="1">
        <f>'0_Parametros'!B7</f>
        <v>10</v>
      </c>
      <c r="K1184" s="3">
        <f>(I1184-SUM($J$1178:$J$1233))*G1184/H1184</f>
        <v>12.118388599616333</v>
      </c>
      <c r="L1184" s="1">
        <f>INT(K1184)</f>
        <v>12</v>
      </c>
      <c r="M1184" s="3">
        <f>K1184-L1184</f>
        <v>0.11838859961633297</v>
      </c>
      <c r="N1184" s="1">
        <f>COUNTIF($M$1178:$M$1233,"&gt;"&amp;M1184)+COUNTIF($M$1178:M1184,M1184)</f>
        <v>51</v>
      </c>
      <c r="O1184" s="1">
        <f>J1184+L1184+IF(N1184&lt;=I1184-SUM($J$1178:$J$1233)-SUM($L$1178:$L$1233),1,0)</f>
        <v>22</v>
      </c>
    </row>
    <row r="1185" spans="1:15">
      <c r="A1185" s="1" t="s">
        <v>74</v>
      </c>
      <c r="B1185" s="1" t="s">
        <v>75</v>
      </c>
      <c r="C1185" s="1" t="s">
        <v>38</v>
      </c>
      <c r="D1185" s="1" t="s">
        <v>39</v>
      </c>
      <c r="E1185" s="1" t="s">
        <v>45</v>
      </c>
      <c r="F1185" s="1" t="s">
        <v>42</v>
      </c>
      <c r="G1185" s="1">
        <v>489</v>
      </c>
      <c r="H1185" s="1">
        <f>'1_Departamento_n'!C23</f>
        <v>76629</v>
      </c>
      <c r="I1185" s="1">
        <f>'1_Departamento_n'!H23</f>
        <v>1297</v>
      </c>
      <c r="J1185" s="1">
        <f>'0_Parametros'!B7</f>
        <v>10</v>
      </c>
      <c r="K1185" s="3">
        <f>(I1185-SUM($J$1178:$J$1233))*G1185/H1185</f>
        <v>4.70308890889872</v>
      </c>
      <c r="L1185" s="1">
        <f>INT(K1185)</f>
        <v>4</v>
      </c>
      <c r="M1185" s="3">
        <f>K1185-L1185</f>
        <v>0.70308890889872</v>
      </c>
      <c r="N1185" s="1">
        <f>COUNTIF($M$1178:$M$1233,"&gt;"&amp;M1185)+COUNTIF($M$1178:M1185,M1185)</f>
        <v>14</v>
      </c>
      <c r="O1185" s="1">
        <f>J1185+L1185+IF(N1185&lt;=I1185-SUM($J$1178:$J$1233)-SUM($L$1178:$L$1233),1,0)</f>
        <v>15</v>
      </c>
    </row>
    <row r="1186" spans="1:15">
      <c r="A1186" s="1" t="s">
        <v>74</v>
      </c>
      <c r="B1186" s="1" t="s">
        <v>75</v>
      </c>
      <c r="C1186" s="1" t="s">
        <v>38</v>
      </c>
      <c r="D1186" s="1" t="s">
        <v>39</v>
      </c>
      <c r="E1186" s="1" t="s">
        <v>46</v>
      </c>
      <c r="F1186" s="1" t="s">
        <v>41</v>
      </c>
      <c r="G1186" s="1">
        <v>1086</v>
      </c>
      <c r="H1186" s="1">
        <f>'1_Departamento_n'!C23</f>
        <v>76629</v>
      </c>
      <c r="I1186" s="1">
        <f>'1_Departamento_n'!H23</f>
        <v>1297</v>
      </c>
      <c r="J1186" s="1">
        <f>'0_Parametros'!B7</f>
        <v>10</v>
      </c>
      <c r="K1186" s="3">
        <f>(I1186-SUM($J$1178:$J$1233))*G1186/H1186</f>
        <v>10.444896840621697</v>
      </c>
      <c r="L1186" s="1">
        <f>INT(K1186)</f>
        <v>10</v>
      </c>
      <c r="M1186" s="3">
        <f>K1186-L1186</f>
        <v>0.44489684062169665</v>
      </c>
      <c r="N1186" s="1">
        <f>COUNTIF($M$1178:$M$1233,"&gt;"&amp;M1186)+COUNTIF($M$1178:M1186,M1186)</f>
        <v>33</v>
      </c>
      <c r="O1186" s="1">
        <f>J1186+L1186+IF(N1186&lt;=I1186-SUM($J$1178:$J$1233)-SUM($L$1178:$L$1233),1,0)</f>
        <v>20</v>
      </c>
    </row>
    <row r="1187" spans="1:15">
      <c r="A1187" s="1" t="s">
        <v>74</v>
      </c>
      <c r="B1187" s="1" t="s">
        <v>75</v>
      </c>
      <c r="C1187" s="1" t="s">
        <v>38</v>
      </c>
      <c r="D1187" s="1" t="s">
        <v>39</v>
      </c>
      <c r="E1187" s="1" t="s">
        <v>46</v>
      </c>
      <c r="F1187" s="1" t="s">
        <v>42</v>
      </c>
      <c r="G1187" s="1">
        <v>323</v>
      </c>
      <c r="H1187" s="1">
        <f>'1_Departamento_n'!C23</f>
        <v>76629</v>
      </c>
      <c r="I1187" s="1">
        <f>'1_Departamento_n'!H23</f>
        <v>1297</v>
      </c>
      <c r="J1187" s="1">
        <f>'0_Parametros'!B7</f>
        <v>10</v>
      </c>
      <c r="K1187" s="3">
        <f>(I1187-SUM($J$1178:$J$1233))*G1187/H1187</f>
        <v>3.1065392997429173</v>
      </c>
      <c r="L1187" s="1">
        <f>INT(K1187)</f>
        <v>3</v>
      </c>
      <c r="M1187" s="3">
        <f>K1187-L1187</f>
        <v>0.10653929974291731</v>
      </c>
      <c r="N1187" s="1">
        <f>COUNTIF($M$1178:$M$1233,"&gt;"&amp;M1187)+COUNTIF($M$1178:M1187,M1187)</f>
        <v>52</v>
      </c>
      <c r="O1187" s="1">
        <f>J1187+L1187+IF(N1187&lt;=I1187-SUM($J$1178:$J$1233)-SUM($L$1178:$L$1233),1,0)</f>
        <v>13</v>
      </c>
    </row>
    <row r="1188" spans="1:15">
      <c r="A1188" s="1" t="s">
        <v>74</v>
      </c>
      <c r="B1188" s="1" t="s">
        <v>75</v>
      </c>
      <c r="C1188" s="1" t="s">
        <v>38</v>
      </c>
      <c r="D1188" s="1" t="s">
        <v>39</v>
      </c>
      <c r="E1188" s="1" t="s">
        <v>47</v>
      </c>
      <c r="F1188" s="1" t="s">
        <v>41</v>
      </c>
      <c r="G1188" s="1">
        <v>766</v>
      </c>
      <c r="H1188" s="1">
        <f>'1_Departamento_n'!C23</f>
        <v>76629</v>
      </c>
      <c r="I1188" s="1">
        <f>'1_Departamento_n'!H23</f>
        <v>1297</v>
      </c>
      <c r="J1188" s="1">
        <f>'0_Parametros'!B7</f>
        <v>10</v>
      </c>
      <c r="K1188" s="3">
        <f>(I1188-SUM($J$1178:$J$1233))*G1188/H1188</f>
        <v>7.367210847068343</v>
      </c>
      <c r="L1188" s="1">
        <f>INT(K1188)</f>
        <v>7</v>
      </c>
      <c r="M1188" s="3">
        <f>K1188-L1188</f>
        <v>0.3672108470683426</v>
      </c>
      <c r="N1188" s="1">
        <f>COUNTIF($M$1178:$M$1233,"&gt;"&amp;M1188)+COUNTIF($M$1178:M1188,M1188)</f>
        <v>39</v>
      </c>
      <c r="O1188" s="1">
        <f>J1188+L1188+IF(N1188&lt;=I1188-SUM($J$1178:$J$1233)-SUM($L$1178:$L$1233),1,0)</f>
        <v>17</v>
      </c>
    </row>
    <row r="1189" spans="1:15">
      <c r="A1189" s="1" t="s">
        <v>74</v>
      </c>
      <c r="B1189" s="1" t="s">
        <v>75</v>
      </c>
      <c r="C1189" s="1" t="s">
        <v>38</v>
      </c>
      <c r="D1189" s="1" t="s">
        <v>39</v>
      </c>
      <c r="E1189" s="1" t="s">
        <v>47</v>
      </c>
      <c r="F1189" s="1" t="s">
        <v>42</v>
      </c>
      <c r="G1189" s="1">
        <v>134</v>
      </c>
      <c r="H1189" s="1">
        <f>'1_Departamento_n'!C23</f>
        <v>76629</v>
      </c>
      <c r="I1189" s="1">
        <f>'1_Departamento_n'!H23</f>
        <v>1297</v>
      </c>
      <c r="J1189" s="1">
        <f>'0_Parametros'!B7</f>
        <v>10</v>
      </c>
      <c r="K1189" s="3">
        <f>(I1189-SUM($J$1178:$J$1233))*G1189/H1189</f>
        <v>1.2887810098004673</v>
      </c>
      <c r="L1189" s="1">
        <f>INT(K1189)</f>
        <v>1</v>
      </c>
      <c r="M1189" s="3">
        <f>K1189-L1189</f>
        <v>0.2887810098004673</v>
      </c>
      <c r="N1189" s="1">
        <f>COUNTIF($M$1178:$M$1233,"&gt;"&amp;M1189)+COUNTIF($M$1178:M1189,M1189)</f>
        <v>41</v>
      </c>
      <c r="O1189" s="1">
        <f>J1189+L1189+IF(N1189&lt;=I1189-SUM($J$1178:$J$1233)-SUM($L$1178:$L$1233),1,0)</f>
        <v>11</v>
      </c>
    </row>
    <row r="1190" spans="1:15">
      <c r="A1190" s="1" t="s">
        <v>74</v>
      </c>
      <c r="B1190" s="1" t="s">
        <v>75</v>
      </c>
      <c r="C1190" s="1" t="s">
        <v>38</v>
      </c>
      <c r="D1190" s="1" t="s">
        <v>39</v>
      </c>
      <c r="E1190" s="1" t="s">
        <v>48</v>
      </c>
      <c r="F1190" s="1" t="s">
        <v>41</v>
      </c>
      <c r="G1190" s="1">
        <v>926</v>
      </c>
      <c r="H1190" s="1">
        <f>'1_Departamento_n'!C23</f>
        <v>76629</v>
      </c>
      <c r="I1190" s="1">
        <f>'1_Departamento_n'!H23</f>
        <v>1297</v>
      </c>
      <c r="J1190" s="1">
        <f>'0_Parametros'!B7</f>
        <v>10</v>
      </c>
      <c r="K1190" s="3">
        <f>(I1190-SUM($J$1178:$J$1233))*G1190/H1190</f>
        <v>8.906053843845019</v>
      </c>
      <c r="L1190" s="1">
        <f>INT(K1190)</f>
        <v>8</v>
      </c>
      <c r="M1190" s="3">
        <f>K1190-L1190</f>
        <v>0.9060538438450187</v>
      </c>
      <c r="N1190" s="1">
        <f>COUNTIF($M$1178:$M$1233,"&gt;"&amp;M1190)+COUNTIF($M$1178:M1190,M1190)</f>
        <v>6</v>
      </c>
      <c r="O1190" s="1">
        <f>J1190+L1190+IF(N1190&lt;=I1190-SUM($J$1178:$J$1233)-SUM($L$1178:$L$1233),1,0)</f>
        <v>19</v>
      </c>
    </row>
    <row r="1191" spans="1:15">
      <c r="A1191" s="1" t="s">
        <v>74</v>
      </c>
      <c r="B1191" s="1" t="s">
        <v>75</v>
      </c>
      <c r="C1191" s="1" t="s">
        <v>38</v>
      </c>
      <c r="D1191" s="1" t="s">
        <v>39</v>
      </c>
      <c r="E1191" s="1" t="s">
        <v>48</v>
      </c>
      <c r="F1191" s="1" t="s">
        <v>42</v>
      </c>
      <c r="G1191" s="1">
        <v>49</v>
      </c>
      <c r="H1191" s="1">
        <f>'1_Departamento_n'!C23</f>
        <v>76629</v>
      </c>
      <c r="I1191" s="1">
        <f>'1_Departamento_n'!H23</f>
        <v>1297</v>
      </c>
      <c r="J1191" s="1">
        <f>'0_Parametros'!B7</f>
        <v>10</v>
      </c>
      <c r="K1191" s="3">
        <f>(I1191-SUM($J$1178:$J$1233))*G1191/H1191</f>
        <v>0.4712706677628574</v>
      </c>
      <c r="L1191" s="1">
        <f>INT(K1191)</f>
        <v>0</v>
      </c>
      <c r="M1191" s="3">
        <f>K1191-L1191</f>
        <v>0.4712706677628574</v>
      </c>
      <c r="N1191" s="1">
        <f>COUNTIF($M$1178:$M$1233,"&gt;"&amp;M1191)+COUNTIF($M$1178:M1191,M1191)</f>
        <v>29</v>
      </c>
      <c r="O1191" s="1">
        <f>J1191+L1191+IF(N1191&lt;=I1191-SUM($J$1178:$J$1233)-SUM($L$1178:$L$1233),1,0)</f>
        <v>10</v>
      </c>
    </row>
    <row r="1192" spans="1:15">
      <c r="A1192" s="1" t="s">
        <v>74</v>
      </c>
      <c r="B1192" s="1" t="s">
        <v>75</v>
      </c>
      <c r="C1192" s="1" t="s">
        <v>38</v>
      </c>
      <c r="D1192" s="1" t="s">
        <v>49</v>
      </c>
      <c r="E1192" s="1" t="s">
        <v>40</v>
      </c>
      <c r="F1192" s="1" t="s">
        <v>41</v>
      </c>
      <c r="G1192" s="1">
        <v>683</v>
      </c>
      <c r="H1192" s="1">
        <f>'1_Departamento_n'!C23</f>
        <v>76629</v>
      </c>
      <c r="I1192" s="1">
        <f>'1_Departamento_n'!H23</f>
        <v>1297</v>
      </c>
      <c r="J1192" s="1">
        <f>'0_Parametros'!B7</f>
        <v>10</v>
      </c>
      <c r="K1192" s="3">
        <f>(I1192-SUM($J$1178:$J$1233))*G1192/H1192</f>
        <v>6.568936042490441</v>
      </c>
      <c r="L1192" s="1">
        <f>INT(K1192)</f>
        <v>6</v>
      </c>
      <c r="M1192" s="3">
        <f>K1192-L1192</f>
        <v>0.5689360424904413</v>
      </c>
      <c r="N1192" s="1">
        <f>COUNTIF($M$1178:$M$1233,"&gt;"&amp;M1192)+COUNTIF($M$1178:M1192,M1192)</f>
        <v>24</v>
      </c>
      <c r="O1192" s="1">
        <f>J1192+L1192+IF(N1192&lt;=I1192-SUM($J$1178:$J$1233)-SUM($L$1178:$L$1233),1,0)</f>
        <v>17</v>
      </c>
    </row>
    <row r="1193" spans="1:15">
      <c r="A1193" s="1" t="s">
        <v>74</v>
      </c>
      <c r="B1193" s="1" t="s">
        <v>75</v>
      </c>
      <c r="C1193" s="1" t="s">
        <v>38</v>
      </c>
      <c r="D1193" s="1" t="s">
        <v>49</v>
      </c>
      <c r="E1193" s="1" t="s">
        <v>40</v>
      </c>
      <c r="F1193" s="1" t="s">
        <v>42</v>
      </c>
      <c r="G1193" s="1">
        <v>439</v>
      </c>
      <c r="H1193" s="1">
        <f>'1_Departamento_n'!C23</f>
        <v>76629</v>
      </c>
      <c r="I1193" s="1">
        <f>'1_Departamento_n'!H23</f>
        <v>1297</v>
      </c>
      <c r="J1193" s="1">
        <f>'0_Parametros'!B7</f>
        <v>10</v>
      </c>
      <c r="K1193" s="3">
        <f>(I1193-SUM($J$1178:$J$1233))*G1193/H1193</f>
        <v>4.2222004724060085</v>
      </c>
      <c r="L1193" s="1">
        <f>INT(K1193)</f>
        <v>4</v>
      </c>
      <c r="M1193" s="3">
        <f>K1193-L1193</f>
        <v>0.2222004724060085</v>
      </c>
      <c r="N1193" s="1">
        <f>COUNTIF($M$1178:$M$1233,"&gt;"&amp;M1193)+COUNTIF($M$1178:M1193,M1193)</f>
        <v>46</v>
      </c>
      <c r="O1193" s="1">
        <f>J1193+L1193+IF(N1193&lt;=I1193-SUM($J$1178:$J$1233)-SUM($L$1178:$L$1233),1,0)</f>
        <v>14</v>
      </c>
    </row>
    <row r="1194" spans="1:15">
      <c r="A1194" s="1" t="s">
        <v>74</v>
      </c>
      <c r="B1194" s="1" t="s">
        <v>75</v>
      </c>
      <c r="C1194" s="1" t="s">
        <v>38</v>
      </c>
      <c r="D1194" s="1" t="s">
        <v>49</v>
      </c>
      <c r="E1194" s="1" t="s">
        <v>43</v>
      </c>
      <c r="F1194" s="1" t="s">
        <v>41</v>
      </c>
      <c r="G1194" s="1">
        <v>901</v>
      </c>
      <c r="H1194" s="1">
        <f>'1_Departamento_n'!C23</f>
        <v>76629</v>
      </c>
      <c r="I1194" s="1">
        <f>'1_Departamento_n'!H23</f>
        <v>1297</v>
      </c>
      <c r="J1194" s="1">
        <f>'0_Parametros'!B7</f>
        <v>10</v>
      </c>
      <c r="K1194" s="3">
        <f>(I1194-SUM($J$1178:$J$1233))*G1194/H1194</f>
        <v>8.665609625598664</v>
      </c>
      <c r="L1194" s="1">
        <f>INT(K1194)</f>
        <v>8</v>
      </c>
      <c r="M1194" s="3">
        <f>K1194-L1194</f>
        <v>0.6656096255986643</v>
      </c>
      <c r="N1194" s="1">
        <f>COUNTIF($M$1178:$M$1233,"&gt;"&amp;M1194)+COUNTIF($M$1178:M1194,M1194)</f>
        <v>17</v>
      </c>
      <c r="O1194" s="1">
        <f>J1194+L1194+IF(N1194&lt;=I1194-SUM($J$1178:$J$1233)-SUM($L$1178:$L$1233),1,0)</f>
        <v>19</v>
      </c>
    </row>
    <row r="1195" spans="1:15">
      <c r="A1195" s="1" t="s">
        <v>74</v>
      </c>
      <c r="B1195" s="1" t="s">
        <v>75</v>
      </c>
      <c r="C1195" s="1" t="s">
        <v>38</v>
      </c>
      <c r="D1195" s="1" t="s">
        <v>49</v>
      </c>
      <c r="E1195" s="1" t="s">
        <v>43</v>
      </c>
      <c r="F1195" s="1" t="s">
        <v>42</v>
      </c>
      <c r="G1195" s="1">
        <v>396</v>
      </c>
      <c r="H1195" s="1">
        <f>'1_Departamento_n'!C23</f>
        <v>76629</v>
      </c>
      <c r="I1195" s="1">
        <f>'1_Departamento_n'!H23</f>
        <v>1297</v>
      </c>
      <c r="J1195" s="1">
        <f>'0_Parametros'!B7</f>
        <v>10</v>
      </c>
      <c r="K1195" s="3">
        <f>(I1195-SUM($J$1178:$J$1233))*G1195/H1195</f>
        <v>3.808636417022276</v>
      </c>
      <c r="L1195" s="1">
        <f>INT(K1195)</f>
        <v>3</v>
      </c>
      <c r="M1195" s="3">
        <f>K1195-L1195</f>
        <v>0.8086364170222762</v>
      </c>
      <c r="N1195" s="1">
        <f>COUNTIF($M$1178:$M$1233,"&gt;"&amp;M1195)+COUNTIF($M$1178:M1195,M1195)</f>
        <v>10</v>
      </c>
      <c r="O1195" s="1">
        <f>J1195+L1195+IF(N1195&lt;=I1195-SUM($J$1178:$J$1233)-SUM($L$1178:$L$1233),1,0)</f>
        <v>14</v>
      </c>
    </row>
    <row r="1196" spans="1:15">
      <c r="A1196" s="1" t="s">
        <v>74</v>
      </c>
      <c r="B1196" s="1" t="s">
        <v>75</v>
      </c>
      <c r="C1196" s="1" t="s">
        <v>38</v>
      </c>
      <c r="D1196" s="1" t="s">
        <v>49</v>
      </c>
      <c r="E1196" s="1" t="s">
        <v>44</v>
      </c>
      <c r="F1196" s="1" t="s">
        <v>41</v>
      </c>
      <c r="G1196" s="1">
        <v>880</v>
      </c>
      <c r="H1196" s="1">
        <f>'1_Departamento_n'!C23</f>
        <v>76629</v>
      </c>
      <c r="I1196" s="1">
        <f>'1_Departamento_n'!H23</f>
        <v>1297</v>
      </c>
      <c r="J1196" s="1">
        <f>'0_Parametros'!B7</f>
        <v>10</v>
      </c>
      <c r="K1196" s="3">
        <f>(I1196-SUM($J$1178:$J$1233))*G1196/H1196</f>
        <v>8.463636482271724</v>
      </c>
      <c r="L1196" s="1">
        <f>INT(K1196)</f>
        <v>8</v>
      </c>
      <c r="M1196" s="3">
        <f>K1196-L1196</f>
        <v>0.46363648227172405</v>
      </c>
      <c r="N1196" s="1">
        <f>COUNTIF($M$1178:$M$1233,"&gt;"&amp;M1196)+COUNTIF($M$1178:M1196,M1196)</f>
        <v>30</v>
      </c>
      <c r="O1196" s="1">
        <f>J1196+L1196+IF(N1196&lt;=I1196-SUM($J$1178:$J$1233)-SUM($L$1178:$L$1233),1,0)</f>
        <v>18</v>
      </c>
    </row>
    <row r="1197" spans="1:15">
      <c r="A1197" s="1" t="s">
        <v>74</v>
      </c>
      <c r="B1197" s="1" t="s">
        <v>75</v>
      </c>
      <c r="C1197" s="1" t="s">
        <v>38</v>
      </c>
      <c r="D1197" s="1" t="s">
        <v>49</v>
      </c>
      <c r="E1197" s="1" t="s">
        <v>44</v>
      </c>
      <c r="F1197" s="1" t="s">
        <v>42</v>
      </c>
      <c r="G1197" s="1">
        <v>621</v>
      </c>
      <c r="H1197" s="1">
        <f>'1_Departamento_n'!C23</f>
        <v>76629</v>
      </c>
      <c r="I1197" s="1">
        <f>'1_Departamento_n'!H23</f>
        <v>1297</v>
      </c>
      <c r="J1197" s="1">
        <f>'0_Parametros'!B7</f>
        <v>10</v>
      </c>
      <c r="K1197" s="3">
        <f>(I1197-SUM($J$1178:$J$1233))*G1197/H1197</f>
        <v>5.972634381239478</v>
      </c>
      <c r="L1197" s="1">
        <f>INT(K1197)</f>
        <v>5</v>
      </c>
      <c r="M1197" s="3">
        <f>K1197-L1197</f>
        <v>0.9726343812394784</v>
      </c>
      <c r="N1197" s="1">
        <f>COUNTIF($M$1178:$M$1233,"&gt;"&amp;M1197)+COUNTIF($M$1178:M1197,M1197)</f>
        <v>1</v>
      </c>
      <c r="O1197" s="1">
        <f>J1197+L1197+IF(N1197&lt;=I1197-SUM($J$1178:$J$1233)-SUM($L$1178:$L$1233),1,0)</f>
        <v>16</v>
      </c>
    </row>
    <row r="1198" spans="1:15">
      <c r="A1198" s="1" t="s">
        <v>74</v>
      </c>
      <c r="B1198" s="1" t="s">
        <v>75</v>
      </c>
      <c r="C1198" s="1" t="s">
        <v>38</v>
      </c>
      <c r="D1198" s="1" t="s">
        <v>49</v>
      </c>
      <c r="E1198" s="1" t="s">
        <v>45</v>
      </c>
      <c r="F1198" s="1" t="s">
        <v>41</v>
      </c>
      <c r="G1198" s="1">
        <v>1026</v>
      </c>
      <c r="H1198" s="1">
        <f>'1_Departamento_n'!C23</f>
        <v>76629</v>
      </c>
      <c r="I1198" s="1">
        <f>'1_Departamento_n'!H23</f>
        <v>1297</v>
      </c>
      <c r="J1198" s="1">
        <f>'0_Parametros'!B7</f>
        <v>10</v>
      </c>
      <c r="K1198" s="3">
        <f>(I1198-SUM($J$1178:$J$1233))*G1198/H1198</f>
        <v>9.867830716830444</v>
      </c>
      <c r="L1198" s="1">
        <f>INT(K1198)</f>
        <v>9</v>
      </c>
      <c r="M1198" s="3">
        <f>K1198-L1198</f>
        <v>0.8678307168304435</v>
      </c>
      <c r="N1198" s="1">
        <f>COUNTIF($M$1178:$M$1233,"&gt;"&amp;M1198)+COUNTIF($M$1178:M1198,M1198)</f>
        <v>7</v>
      </c>
      <c r="O1198" s="1">
        <f>J1198+L1198+IF(N1198&lt;=I1198-SUM($J$1178:$J$1233)-SUM($L$1178:$L$1233),1,0)</f>
        <v>20</v>
      </c>
    </row>
    <row r="1199" spans="1:15">
      <c r="A1199" s="1" t="s">
        <v>74</v>
      </c>
      <c r="B1199" s="1" t="s">
        <v>75</v>
      </c>
      <c r="C1199" s="1" t="s">
        <v>38</v>
      </c>
      <c r="D1199" s="1" t="s">
        <v>49</v>
      </c>
      <c r="E1199" s="1" t="s">
        <v>45</v>
      </c>
      <c r="F1199" s="1" t="s">
        <v>42</v>
      </c>
      <c r="G1199" s="1">
        <v>640</v>
      </c>
      <c r="H1199" s="1">
        <f>'1_Departamento_n'!C23</f>
        <v>76629</v>
      </c>
      <c r="I1199" s="1">
        <f>'1_Departamento_n'!H23</f>
        <v>1297</v>
      </c>
      <c r="J1199" s="1">
        <f>'0_Parametros'!B7</f>
        <v>10</v>
      </c>
      <c r="K1199" s="3">
        <f>(I1199-SUM($J$1178:$J$1233))*G1199/H1199</f>
        <v>6.155371987106709</v>
      </c>
      <c r="L1199" s="1">
        <f>INT(K1199)</f>
        <v>6</v>
      </c>
      <c r="M1199" s="3">
        <f>K1199-L1199</f>
        <v>0.15537198710670896</v>
      </c>
      <c r="N1199" s="1">
        <f>COUNTIF($M$1178:$M$1233,"&gt;"&amp;M1199)+COUNTIF($M$1178:M1199,M1199)</f>
        <v>49</v>
      </c>
      <c r="O1199" s="1">
        <f>J1199+L1199+IF(N1199&lt;=I1199-SUM($J$1178:$J$1233)-SUM($L$1178:$L$1233),1,0)</f>
        <v>16</v>
      </c>
    </row>
    <row r="1200" spans="1:15">
      <c r="A1200" s="1" t="s">
        <v>74</v>
      </c>
      <c r="B1200" s="1" t="s">
        <v>75</v>
      </c>
      <c r="C1200" s="1" t="s">
        <v>38</v>
      </c>
      <c r="D1200" s="1" t="s">
        <v>49</v>
      </c>
      <c r="E1200" s="1" t="s">
        <v>46</v>
      </c>
      <c r="F1200" s="1" t="s">
        <v>41</v>
      </c>
      <c r="G1200" s="1">
        <v>943</v>
      </c>
      <c r="H1200" s="1">
        <f>'1_Departamento_n'!C23</f>
        <v>76629</v>
      </c>
      <c r="I1200" s="1">
        <f>'1_Departamento_n'!H23</f>
        <v>1297</v>
      </c>
      <c r="J1200" s="1">
        <f>'0_Parametros'!B7</f>
        <v>10</v>
      </c>
      <c r="K1200" s="3">
        <f>(I1200-SUM($J$1178:$J$1233))*G1200/H1200</f>
        <v>9.069555912252541</v>
      </c>
      <c r="L1200" s="1">
        <f>INT(K1200)</f>
        <v>9</v>
      </c>
      <c r="M1200" s="3">
        <f>K1200-L1200</f>
        <v>0.06955591225254132</v>
      </c>
      <c r="N1200" s="1">
        <f>COUNTIF($M$1178:$M$1233,"&gt;"&amp;M1200)+COUNTIF($M$1178:M1200,M1200)</f>
        <v>55</v>
      </c>
      <c r="O1200" s="1">
        <f>J1200+L1200+IF(N1200&lt;=I1200-SUM($J$1178:$J$1233)-SUM($L$1178:$L$1233),1,0)</f>
        <v>19</v>
      </c>
    </row>
    <row r="1201" spans="1:15">
      <c r="A1201" s="1" t="s">
        <v>74</v>
      </c>
      <c r="B1201" s="1" t="s">
        <v>75</v>
      </c>
      <c r="C1201" s="1" t="s">
        <v>38</v>
      </c>
      <c r="D1201" s="1" t="s">
        <v>49</v>
      </c>
      <c r="E1201" s="1" t="s">
        <v>46</v>
      </c>
      <c r="F1201" s="1" t="s">
        <v>42</v>
      </c>
      <c r="G1201" s="1">
        <v>412</v>
      </c>
      <c r="H1201" s="1">
        <f>'1_Departamento_n'!C23</f>
        <v>76629</v>
      </c>
      <c r="I1201" s="1">
        <f>'1_Departamento_n'!H23</f>
        <v>1297</v>
      </c>
      <c r="J1201" s="1">
        <f>'0_Parametros'!B7</f>
        <v>10</v>
      </c>
      <c r="K1201" s="3">
        <f>(I1201-SUM($J$1178:$J$1233))*G1201/H1201</f>
        <v>3.962520716699944</v>
      </c>
      <c r="L1201" s="1">
        <f>INT(K1201)</f>
        <v>3</v>
      </c>
      <c r="M1201" s="3">
        <f>K1201-L1201</f>
        <v>0.9625207166999439</v>
      </c>
      <c r="N1201" s="1">
        <f>COUNTIF($M$1178:$M$1233,"&gt;"&amp;M1201)+COUNTIF($M$1178:M1201,M1201)</f>
        <v>2</v>
      </c>
      <c r="O1201" s="1">
        <f>J1201+L1201+IF(N1201&lt;=I1201-SUM($J$1178:$J$1233)-SUM($L$1178:$L$1233),1,0)</f>
        <v>14</v>
      </c>
    </row>
    <row r="1202" spans="1:15">
      <c r="A1202" s="1" t="s">
        <v>74</v>
      </c>
      <c r="B1202" s="1" t="s">
        <v>75</v>
      </c>
      <c r="C1202" s="1" t="s">
        <v>38</v>
      </c>
      <c r="D1202" s="1" t="s">
        <v>49</v>
      </c>
      <c r="E1202" s="1" t="s">
        <v>47</v>
      </c>
      <c r="F1202" s="1" t="s">
        <v>41</v>
      </c>
      <c r="G1202" s="1">
        <v>734</v>
      </c>
      <c r="H1202" s="1">
        <f>'1_Departamento_n'!C23</f>
        <v>76629</v>
      </c>
      <c r="I1202" s="1">
        <f>'1_Departamento_n'!H23</f>
        <v>1297</v>
      </c>
      <c r="J1202" s="1">
        <f>'0_Parametros'!B7</f>
        <v>10</v>
      </c>
      <c r="K1202" s="3">
        <f>(I1202-SUM($J$1178:$J$1233))*G1202/H1202</f>
        <v>7.059442247713007</v>
      </c>
      <c r="L1202" s="1">
        <f>INT(K1202)</f>
        <v>7</v>
      </c>
      <c r="M1202" s="3">
        <f>K1202-L1202</f>
        <v>0.05944224771300721</v>
      </c>
      <c r="N1202" s="1">
        <f>COUNTIF($M$1178:$M$1233,"&gt;"&amp;M1202)+COUNTIF($M$1178:M1202,M1202)</f>
        <v>56</v>
      </c>
      <c r="O1202" s="1">
        <f>J1202+L1202+IF(N1202&lt;=I1202-SUM($J$1178:$J$1233)-SUM($L$1178:$L$1233),1,0)</f>
        <v>17</v>
      </c>
    </row>
    <row r="1203" spans="1:15">
      <c r="A1203" s="1" t="s">
        <v>74</v>
      </c>
      <c r="B1203" s="1" t="s">
        <v>75</v>
      </c>
      <c r="C1203" s="1" t="s">
        <v>38</v>
      </c>
      <c r="D1203" s="1" t="s">
        <v>49</v>
      </c>
      <c r="E1203" s="1" t="s">
        <v>47</v>
      </c>
      <c r="F1203" s="1" t="s">
        <v>42</v>
      </c>
      <c r="G1203" s="1">
        <v>218</v>
      </c>
      <c r="H1203" s="1">
        <f>'1_Departamento_n'!C23</f>
        <v>76629</v>
      </c>
      <c r="I1203" s="1">
        <f>'1_Departamento_n'!H23</f>
        <v>1297</v>
      </c>
      <c r="J1203" s="1">
        <f>'0_Parametros'!B7</f>
        <v>10</v>
      </c>
      <c r="K1203" s="3">
        <f>(I1203-SUM($J$1178:$J$1233))*G1203/H1203</f>
        <v>2.0966735831082226</v>
      </c>
      <c r="L1203" s="1">
        <f>INT(K1203)</f>
        <v>2</v>
      </c>
      <c r="M1203" s="3">
        <f>K1203-L1203</f>
        <v>0.0966735831082226</v>
      </c>
      <c r="N1203" s="1">
        <f>COUNTIF($M$1178:$M$1233,"&gt;"&amp;M1203)+COUNTIF($M$1178:M1203,M1203)</f>
        <v>53</v>
      </c>
      <c r="O1203" s="1">
        <f>J1203+L1203+IF(N1203&lt;=I1203-SUM($J$1178:$J$1233)-SUM($L$1178:$L$1233),1,0)</f>
        <v>12</v>
      </c>
    </row>
    <row r="1204" spans="1:15">
      <c r="A1204" s="1" t="s">
        <v>74</v>
      </c>
      <c r="B1204" s="1" t="s">
        <v>75</v>
      </c>
      <c r="C1204" s="1" t="s">
        <v>38</v>
      </c>
      <c r="D1204" s="1" t="s">
        <v>49</v>
      </c>
      <c r="E1204" s="1" t="s">
        <v>48</v>
      </c>
      <c r="F1204" s="1" t="s">
        <v>41</v>
      </c>
      <c r="G1204" s="1">
        <v>879</v>
      </c>
      <c r="H1204" s="1">
        <f>'1_Departamento_n'!C23</f>
        <v>76629</v>
      </c>
      <c r="I1204" s="1">
        <f>'1_Departamento_n'!H23</f>
        <v>1297</v>
      </c>
      <c r="J1204" s="1">
        <f>'0_Parametros'!B7</f>
        <v>10</v>
      </c>
      <c r="K1204" s="3">
        <f>(I1204-SUM($J$1178:$J$1233))*G1204/H1204</f>
        <v>8.45401871354187</v>
      </c>
      <c r="L1204" s="1">
        <f>INT(K1204)</f>
        <v>8</v>
      </c>
      <c r="M1204" s="3">
        <f>K1204-L1204</f>
        <v>0.4540187135418705</v>
      </c>
      <c r="N1204" s="1">
        <f>COUNTIF($M$1178:$M$1233,"&gt;"&amp;M1204)+COUNTIF($M$1178:M1204,M1204)</f>
        <v>31</v>
      </c>
      <c r="O1204" s="1">
        <f>J1204+L1204+IF(N1204&lt;=I1204-SUM($J$1178:$J$1233)-SUM($L$1178:$L$1233),1,0)</f>
        <v>18</v>
      </c>
    </row>
    <row r="1205" spans="1:15">
      <c r="A1205" s="1" t="s">
        <v>74</v>
      </c>
      <c r="B1205" s="1" t="s">
        <v>75</v>
      </c>
      <c r="C1205" s="1" t="s">
        <v>38</v>
      </c>
      <c r="D1205" s="1" t="s">
        <v>49</v>
      </c>
      <c r="E1205" s="1" t="s">
        <v>48</v>
      </c>
      <c r="F1205" s="1" t="s">
        <v>42</v>
      </c>
      <c r="G1205" s="1">
        <v>113</v>
      </c>
      <c r="H1205" s="1">
        <f>'1_Departamento_n'!C23</f>
        <v>76629</v>
      </c>
      <c r="I1205" s="1">
        <f>'1_Departamento_n'!H23</f>
        <v>1297</v>
      </c>
      <c r="J1205" s="1">
        <f>'0_Parametros'!B7</f>
        <v>10</v>
      </c>
      <c r="K1205" s="3">
        <f>(I1205-SUM($J$1178:$J$1233))*G1205/H1205</f>
        <v>1.0868078664735283</v>
      </c>
      <c r="L1205" s="1">
        <f>INT(K1205)</f>
        <v>1</v>
      </c>
      <c r="M1205" s="3">
        <f>K1205-L1205</f>
        <v>0.08680786647352834</v>
      </c>
      <c r="N1205" s="1">
        <f>COUNTIF($M$1178:$M$1233,"&gt;"&amp;M1205)+COUNTIF($M$1178:M1205,M1205)</f>
        <v>54</v>
      </c>
      <c r="O1205" s="1">
        <f>J1205+L1205+IF(N1205&lt;=I1205-SUM($J$1178:$J$1233)-SUM($L$1178:$L$1233),1,0)</f>
        <v>11</v>
      </c>
    </row>
    <row r="1206" spans="1:15">
      <c r="A1206" s="1" t="s">
        <v>74</v>
      </c>
      <c r="B1206" s="1" t="s">
        <v>75</v>
      </c>
      <c r="C1206" s="1" t="s">
        <v>50</v>
      </c>
      <c r="D1206" s="1" t="s">
        <v>39</v>
      </c>
      <c r="E1206" s="1" t="s">
        <v>40</v>
      </c>
      <c r="F1206" s="1" t="s">
        <v>41</v>
      </c>
      <c r="G1206" s="1">
        <v>796</v>
      </c>
      <c r="H1206" s="1">
        <f>'1_Departamento_n'!C23</f>
        <v>76629</v>
      </c>
      <c r="I1206" s="1">
        <f>'1_Departamento_n'!H23</f>
        <v>1297</v>
      </c>
      <c r="J1206" s="1">
        <f>'0_Parametros'!B7</f>
        <v>10</v>
      </c>
      <c r="K1206" s="3">
        <f>(I1206-SUM($J$1178:$J$1233))*G1206/H1206</f>
        <v>7.655743908963969</v>
      </c>
      <c r="L1206" s="1">
        <f>INT(K1206)</f>
        <v>7</v>
      </c>
      <c r="M1206" s="3">
        <f>K1206-L1206</f>
        <v>0.6557439089639692</v>
      </c>
      <c r="N1206" s="1">
        <f>COUNTIF($M$1178:$M$1233,"&gt;"&amp;M1206)+COUNTIF($M$1178:M1206,M1206)</f>
        <v>19</v>
      </c>
      <c r="O1206" s="1">
        <f>J1206+L1206+IF(N1206&lt;=I1206-SUM($J$1178:$J$1233)-SUM($L$1178:$L$1233),1,0)</f>
        <v>18</v>
      </c>
    </row>
    <row r="1207" spans="1:15">
      <c r="A1207" s="1" t="s">
        <v>74</v>
      </c>
      <c r="B1207" s="1" t="s">
        <v>75</v>
      </c>
      <c r="C1207" s="1" t="s">
        <v>50</v>
      </c>
      <c r="D1207" s="1" t="s">
        <v>39</v>
      </c>
      <c r="E1207" s="1" t="s">
        <v>40</v>
      </c>
      <c r="F1207" s="1" t="s">
        <v>42</v>
      </c>
      <c r="G1207" s="1">
        <v>4134</v>
      </c>
      <c r="H1207" s="1">
        <f>'1_Departamento_n'!C23</f>
        <v>76629</v>
      </c>
      <c r="I1207" s="1">
        <f>'1_Departamento_n'!H23</f>
        <v>1297</v>
      </c>
      <c r="J1207" s="1">
        <f>'0_Parametros'!B7</f>
        <v>10</v>
      </c>
      <c r="K1207" s="3">
        <f>(I1207-SUM($J$1178:$J$1233))*G1207/H1207</f>
        <v>39.7598559292174</v>
      </c>
      <c r="L1207" s="1">
        <f>INT(K1207)</f>
        <v>39</v>
      </c>
      <c r="M1207" s="3">
        <f>K1207-L1207</f>
        <v>0.7598559292174016</v>
      </c>
      <c r="N1207" s="1">
        <f>COUNTIF($M$1178:$M$1233,"&gt;"&amp;M1207)+COUNTIF($M$1178:M1207,M1207)</f>
        <v>11</v>
      </c>
      <c r="O1207" s="1">
        <f>J1207+L1207+IF(N1207&lt;=I1207-SUM($J$1178:$J$1233)-SUM($L$1178:$L$1233),1,0)</f>
        <v>50</v>
      </c>
    </row>
    <row r="1208" spans="1:15">
      <c r="A1208" s="1" t="s">
        <v>74</v>
      </c>
      <c r="B1208" s="1" t="s">
        <v>75</v>
      </c>
      <c r="C1208" s="1" t="s">
        <v>50</v>
      </c>
      <c r="D1208" s="1" t="s">
        <v>39</v>
      </c>
      <c r="E1208" s="1" t="s">
        <v>43</v>
      </c>
      <c r="F1208" s="1" t="s">
        <v>41</v>
      </c>
      <c r="G1208" s="1">
        <v>2149</v>
      </c>
      <c r="H1208" s="1">
        <f>'1_Departamento_n'!C23</f>
        <v>76629</v>
      </c>
      <c r="I1208" s="1">
        <f>'1_Departamento_n'!H23</f>
        <v>1297</v>
      </c>
      <c r="J1208" s="1">
        <f>'0_Parametros'!B7</f>
        <v>10</v>
      </c>
      <c r="K1208" s="3">
        <f>(I1208-SUM($J$1178:$J$1233))*G1208/H1208</f>
        <v>20.668585000456748</v>
      </c>
      <c r="L1208" s="1">
        <f>INT(K1208)</f>
        <v>20</v>
      </c>
      <c r="M1208" s="3">
        <f>K1208-L1208</f>
        <v>0.6685850004567477</v>
      </c>
      <c r="N1208" s="1">
        <f>COUNTIF($M$1178:$M$1233,"&gt;"&amp;M1208)+COUNTIF($M$1178:M1208,M1208)</f>
        <v>16</v>
      </c>
      <c r="O1208" s="1">
        <f>J1208+L1208+IF(N1208&lt;=I1208-SUM($J$1178:$J$1233)-SUM($L$1178:$L$1233),1,0)</f>
        <v>31</v>
      </c>
    </row>
    <row r="1209" spans="1:15">
      <c r="A1209" s="1" t="s">
        <v>74</v>
      </c>
      <c r="B1209" s="1" t="s">
        <v>75</v>
      </c>
      <c r="C1209" s="1" t="s">
        <v>50</v>
      </c>
      <c r="D1209" s="1" t="s">
        <v>39</v>
      </c>
      <c r="E1209" s="1" t="s">
        <v>43</v>
      </c>
      <c r="F1209" s="1" t="s">
        <v>42</v>
      </c>
      <c r="G1209" s="1">
        <v>4531</v>
      </c>
      <c r="H1209" s="1">
        <f>'1_Departamento_n'!C23</f>
        <v>76629</v>
      </c>
      <c r="I1209" s="1">
        <f>'1_Departamento_n'!H23</f>
        <v>1297</v>
      </c>
      <c r="J1209" s="1">
        <f>'0_Parametros'!B7</f>
        <v>10</v>
      </c>
      <c r="K1209" s="3">
        <f>(I1209-SUM($J$1178:$J$1233))*G1209/H1209</f>
        <v>43.578110114969526</v>
      </c>
      <c r="L1209" s="1">
        <f>INT(K1209)</f>
        <v>43</v>
      </c>
      <c r="M1209" s="3">
        <f>K1209-L1209</f>
        <v>0.578110114969526</v>
      </c>
      <c r="N1209" s="1">
        <f>COUNTIF($M$1178:$M$1233,"&gt;"&amp;M1209)+COUNTIF($M$1178:M1209,M1209)</f>
        <v>23</v>
      </c>
      <c r="O1209" s="1">
        <f>J1209+L1209+IF(N1209&lt;=I1209-SUM($J$1178:$J$1233)-SUM($L$1178:$L$1233),1,0)</f>
        <v>54</v>
      </c>
    </row>
    <row r="1210" spans="1:15">
      <c r="A1210" s="1" t="s">
        <v>74</v>
      </c>
      <c r="B1210" s="1" t="s">
        <v>75</v>
      </c>
      <c r="C1210" s="1" t="s">
        <v>50</v>
      </c>
      <c r="D1210" s="1" t="s">
        <v>39</v>
      </c>
      <c r="E1210" s="1" t="s">
        <v>44</v>
      </c>
      <c r="F1210" s="1" t="s">
        <v>41</v>
      </c>
      <c r="G1210" s="1">
        <v>1742</v>
      </c>
      <c r="H1210" s="1">
        <f>'1_Departamento_n'!C23</f>
        <v>76629</v>
      </c>
      <c r="I1210" s="1">
        <f>'1_Departamento_n'!H23</f>
        <v>1297</v>
      </c>
      <c r="J1210" s="1">
        <f>'0_Parametros'!B7</f>
        <v>10</v>
      </c>
      <c r="K1210" s="3">
        <f>(I1210-SUM($J$1178:$J$1233))*G1210/H1210</f>
        <v>16.754153127406074</v>
      </c>
      <c r="L1210" s="1">
        <f>INT(K1210)</f>
        <v>16</v>
      </c>
      <c r="M1210" s="3">
        <f>K1210-L1210</f>
        <v>0.7541531274060738</v>
      </c>
      <c r="N1210" s="1">
        <f>COUNTIF($M$1178:$M$1233,"&gt;"&amp;M1210)+COUNTIF($M$1178:M1210,M1210)</f>
        <v>12</v>
      </c>
      <c r="O1210" s="1">
        <f>J1210+L1210+IF(N1210&lt;=I1210-SUM($J$1178:$J$1233)-SUM($L$1178:$L$1233),1,0)</f>
        <v>27</v>
      </c>
    </row>
    <row r="1211" spans="1:15">
      <c r="A1211" s="1" t="s">
        <v>74</v>
      </c>
      <c r="B1211" s="1" t="s">
        <v>75</v>
      </c>
      <c r="C1211" s="1" t="s">
        <v>50</v>
      </c>
      <c r="D1211" s="1" t="s">
        <v>39</v>
      </c>
      <c r="E1211" s="1" t="s">
        <v>44</v>
      </c>
      <c r="F1211" s="1" t="s">
        <v>42</v>
      </c>
      <c r="G1211" s="1">
        <v>3423</v>
      </c>
      <c r="H1211" s="1">
        <f>'1_Departamento_n'!C23</f>
        <v>76629</v>
      </c>
      <c r="I1211" s="1">
        <f>'1_Departamento_n'!H23</f>
        <v>1297</v>
      </c>
      <c r="J1211" s="1">
        <f>'0_Parametros'!B7</f>
        <v>10</v>
      </c>
      <c r="K1211" s="3">
        <f>(I1211-SUM($J$1178:$J$1233))*G1211/H1211</f>
        <v>32.92162236229104</v>
      </c>
      <c r="L1211" s="1">
        <f>INT(K1211)</f>
        <v>32</v>
      </c>
      <c r="M1211" s="3">
        <f>K1211-L1211</f>
        <v>0.9216223622910391</v>
      </c>
      <c r="N1211" s="1">
        <f>COUNTIF($M$1178:$M$1233,"&gt;"&amp;M1211)+COUNTIF($M$1178:M1211,M1211)</f>
        <v>3</v>
      </c>
      <c r="O1211" s="1">
        <f>J1211+L1211+IF(N1211&lt;=I1211-SUM($J$1178:$J$1233)-SUM($L$1178:$L$1233),1,0)</f>
        <v>43</v>
      </c>
    </row>
    <row r="1212" spans="1:15">
      <c r="A1212" s="1" t="s">
        <v>74</v>
      </c>
      <c r="B1212" s="1" t="s">
        <v>75</v>
      </c>
      <c r="C1212" s="1" t="s">
        <v>50</v>
      </c>
      <c r="D1212" s="1" t="s">
        <v>39</v>
      </c>
      <c r="E1212" s="1" t="s">
        <v>45</v>
      </c>
      <c r="F1212" s="1" t="s">
        <v>41</v>
      </c>
      <c r="G1212" s="1">
        <v>1308</v>
      </c>
      <c r="H1212" s="1">
        <f>'1_Departamento_n'!C23</f>
        <v>76629</v>
      </c>
      <c r="I1212" s="1">
        <f>'1_Departamento_n'!H23</f>
        <v>1297</v>
      </c>
      <c r="J1212" s="1">
        <f>'0_Parametros'!B7</f>
        <v>10</v>
      </c>
      <c r="K1212" s="3">
        <f>(I1212-SUM($J$1178:$J$1233))*G1212/H1212</f>
        <v>12.580041498649337</v>
      </c>
      <c r="L1212" s="1">
        <f>INT(K1212)</f>
        <v>12</v>
      </c>
      <c r="M1212" s="3">
        <f>K1212-L1212</f>
        <v>0.5800414986493365</v>
      </c>
      <c r="N1212" s="1">
        <f>COUNTIF($M$1178:$M$1233,"&gt;"&amp;M1212)+COUNTIF($M$1178:M1212,M1212)</f>
        <v>22</v>
      </c>
      <c r="O1212" s="1">
        <f>J1212+L1212+IF(N1212&lt;=I1212-SUM($J$1178:$J$1233)-SUM($L$1178:$L$1233),1,0)</f>
        <v>23</v>
      </c>
    </row>
    <row r="1213" spans="1:15">
      <c r="A1213" s="1" t="s">
        <v>74</v>
      </c>
      <c r="B1213" s="1" t="s">
        <v>75</v>
      </c>
      <c r="C1213" s="1" t="s">
        <v>50</v>
      </c>
      <c r="D1213" s="1" t="s">
        <v>39</v>
      </c>
      <c r="E1213" s="1" t="s">
        <v>45</v>
      </c>
      <c r="F1213" s="1" t="s">
        <v>42</v>
      </c>
      <c r="G1213" s="1">
        <v>2852</v>
      </c>
      <c r="H1213" s="1">
        <f>'1_Departamento_n'!C23</f>
        <v>76629</v>
      </c>
      <c r="I1213" s="1">
        <f>'1_Departamento_n'!H23</f>
        <v>1297</v>
      </c>
      <c r="J1213" s="1">
        <f>'0_Parametros'!B7</f>
        <v>10</v>
      </c>
      <c r="K1213" s="3">
        <f>(I1213-SUM($J$1178:$J$1233))*G1213/H1213</f>
        <v>27.42987641754427</v>
      </c>
      <c r="L1213" s="1">
        <f>INT(K1213)</f>
        <v>27</v>
      </c>
      <c r="M1213" s="3">
        <f>K1213-L1213</f>
        <v>0.4298764175442713</v>
      </c>
      <c r="N1213" s="1">
        <f>COUNTIF($M$1178:$M$1233,"&gt;"&amp;M1213)+COUNTIF($M$1178:M1213,M1213)</f>
        <v>34</v>
      </c>
      <c r="O1213" s="1">
        <f>J1213+L1213+IF(N1213&lt;=I1213-SUM($J$1178:$J$1233)-SUM($L$1178:$L$1233),1,0)</f>
        <v>37</v>
      </c>
    </row>
    <row r="1214" spans="1:15">
      <c r="A1214" s="1" t="s">
        <v>74</v>
      </c>
      <c r="B1214" s="1" t="s">
        <v>75</v>
      </c>
      <c r="C1214" s="1" t="s">
        <v>50</v>
      </c>
      <c r="D1214" s="1" t="s">
        <v>39</v>
      </c>
      <c r="E1214" s="1" t="s">
        <v>46</v>
      </c>
      <c r="F1214" s="1" t="s">
        <v>41</v>
      </c>
      <c r="G1214" s="1">
        <v>1164</v>
      </c>
      <c r="H1214" s="1">
        <f>'1_Departamento_n'!C23</f>
        <v>76629</v>
      </c>
      <c r="I1214" s="1">
        <f>'1_Departamento_n'!H23</f>
        <v>1297</v>
      </c>
      <c r="J1214" s="1">
        <f>'0_Parametros'!B7</f>
        <v>10</v>
      </c>
      <c r="K1214" s="3">
        <f>(I1214-SUM($J$1178:$J$1233))*G1214/H1214</f>
        <v>11.195082801550328</v>
      </c>
      <c r="L1214" s="1">
        <f>INT(K1214)</f>
        <v>11</v>
      </c>
      <c r="M1214" s="3">
        <f>K1214-L1214</f>
        <v>0.19508280155032764</v>
      </c>
      <c r="N1214" s="1">
        <f>COUNTIF($M$1178:$M$1233,"&gt;"&amp;M1214)+COUNTIF($M$1178:M1214,M1214)</f>
        <v>47</v>
      </c>
      <c r="O1214" s="1">
        <f>J1214+L1214+IF(N1214&lt;=I1214-SUM($J$1178:$J$1233)-SUM($L$1178:$L$1233),1,0)</f>
        <v>21</v>
      </c>
    </row>
    <row r="1215" spans="1:15">
      <c r="A1215" s="1" t="s">
        <v>74</v>
      </c>
      <c r="B1215" s="1" t="s">
        <v>75</v>
      </c>
      <c r="C1215" s="1" t="s">
        <v>50</v>
      </c>
      <c r="D1215" s="1" t="s">
        <v>39</v>
      </c>
      <c r="E1215" s="1" t="s">
        <v>46</v>
      </c>
      <c r="F1215" s="1" t="s">
        <v>42</v>
      </c>
      <c r="G1215" s="1">
        <v>1946</v>
      </c>
      <c r="H1215" s="1">
        <f>'1_Departamento_n'!C23</f>
        <v>76629</v>
      </c>
      <c r="I1215" s="1">
        <f>'1_Departamento_n'!H23</f>
        <v>1297</v>
      </c>
      <c r="J1215" s="1">
        <f>'0_Parametros'!B7</f>
        <v>10</v>
      </c>
      <c r="K1215" s="3">
        <f>(I1215-SUM($J$1178:$J$1233))*G1215/H1215</f>
        <v>18.716177948296338</v>
      </c>
      <c r="L1215" s="1">
        <f>INT(K1215)</f>
        <v>18</v>
      </c>
      <c r="M1215" s="3">
        <f>K1215-L1215</f>
        <v>0.7161779482963375</v>
      </c>
      <c r="N1215" s="1">
        <f>COUNTIF($M$1178:$M$1233,"&gt;"&amp;M1215)+COUNTIF($M$1178:M1215,M1215)</f>
        <v>13</v>
      </c>
      <c r="O1215" s="1">
        <f>J1215+L1215+IF(N1215&lt;=I1215-SUM($J$1178:$J$1233)-SUM($L$1178:$L$1233),1,0)</f>
        <v>29</v>
      </c>
    </row>
    <row r="1216" spans="1:15">
      <c r="A1216" s="1" t="s">
        <v>74</v>
      </c>
      <c r="B1216" s="1" t="s">
        <v>75</v>
      </c>
      <c r="C1216" s="1" t="s">
        <v>50</v>
      </c>
      <c r="D1216" s="1" t="s">
        <v>39</v>
      </c>
      <c r="E1216" s="1" t="s">
        <v>47</v>
      </c>
      <c r="F1216" s="1" t="s">
        <v>41</v>
      </c>
      <c r="G1216" s="1">
        <v>882</v>
      </c>
      <c r="H1216" s="1">
        <f>'1_Departamento_n'!C23</f>
        <v>76629</v>
      </c>
      <c r="I1216" s="1">
        <f>'1_Departamento_n'!H23</f>
        <v>1297</v>
      </c>
      <c r="J1216" s="1">
        <f>'0_Parametros'!B7</f>
        <v>10</v>
      </c>
      <c r="K1216" s="3">
        <f>(I1216-SUM($J$1178:$J$1233))*G1216/H1216</f>
        <v>8.482872019731433</v>
      </c>
      <c r="L1216" s="1">
        <f>INT(K1216)</f>
        <v>8</v>
      </c>
      <c r="M1216" s="3">
        <f>K1216-L1216</f>
        <v>0.4828720197314329</v>
      </c>
      <c r="N1216" s="1">
        <f>COUNTIF($M$1178:$M$1233,"&gt;"&amp;M1216)+COUNTIF($M$1178:M1216,M1216)</f>
        <v>28</v>
      </c>
      <c r="O1216" s="1">
        <f>J1216+L1216+IF(N1216&lt;=I1216-SUM($J$1178:$J$1233)-SUM($L$1178:$L$1233),1,0)</f>
        <v>19</v>
      </c>
    </row>
    <row r="1217" spans="1:15">
      <c r="A1217" s="1" t="s">
        <v>74</v>
      </c>
      <c r="B1217" s="1" t="s">
        <v>75</v>
      </c>
      <c r="C1217" s="1" t="s">
        <v>50</v>
      </c>
      <c r="D1217" s="1" t="s">
        <v>39</v>
      </c>
      <c r="E1217" s="1" t="s">
        <v>47</v>
      </c>
      <c r="F1217" s="1" t="s">
        <v>42</v>
      </c>
      <c r="G1217" s="1">
        <v>1377</v>
      </c>
      <c r="H1217" s="1">
        <f>'1_Departamento_n'!C23</f>
        <v>76629</v>
      </c>
      <c r="I1217" s="1">
        <f>'1_Departamento_n'!H23</f>
        <v>1297</v>
      </c>
      <c r="J1217" s="1">
        <f>'0_Parametros'!B7</f>
        <v>10</v>
      </c>
      <c r="K1217" s="3">
        <f>(I1217-SUM($J$1178:$J$1233))*G1217/H1217</f>
        <v>13.243667541009279</v>
      </c>
      <c r="L1217" s="1">
        <f>INT(K1217)</f>
        <v>13</v>
      </c>
      <c r="M1217" s="3">
        <f>K1217-L1217</f>
        <v>0.24366754100927857</v>
      </c>
      <c r="N1217" s="1">
        <f>COUNTIF($M$1178:$M$1233,"&gt;"&amp;M1217)+COUNTIF($M$1178:M1217,M1217)</f>
        <v>44</v>
      </c>
      <c r="O1217" s="1">
        <f>J1217+L1217+IF(N1217&lt;=I1217-SUM($J$1178:$J$1233)-SUM($L$1178:$L$1233),1,0)</f>
        <v>23</v>
      </c>
    </row>
    <row r="1218" spans="1:15">
      <c r="A1218" s="1" t="s">
        <v>74</v>
      </c>
      <c r="B1218" s="1" t="s">
        <v>75</v>
      </c>
      <c r="C1218" s="1" t="s">
        <v>50</v>
      </c>
      <c r="D1218" s="1" t="s">
        <v>39</v>
      </c>
      <c r="E1218" s="1" t="s">
        <v>48</v>
      </c>
      <c r="F1218" s="1" t="s">
        <v>41</v>
      </c>
      <c r="G1218" s="1">
        <v>999</v>
      </c>
      <c r="H1218" s="1">
        <f>'1_Departamento_n'!C23</f>
        <v>76629</v>
      </c>
      <c r="I1218" s="1">
        <f>'1_Departamento_n'!H23</f>
        <v>1297</v>
      </c>
      <c r="J1218" s="1">
        <f>'0_Parametros'!B7</f>
        <v>10</v>
      </c>
      <c r="K1218" s="3">
        <f>(I1218-SUM($J$1178:$J$1233))*G1218/H1218</f>
        <v>9.608150961124378</v>
      </c>
      <c r="L1218" s="1">
        <f>INT(K1218)</f>
        <v>9</v>
      </c>
      <c r="M1218" s="3">
        <f>K1218-L1218</f>
        <v>0.6081509611243785</v>
      </c>
      <c r="N1218" s="1">
        <f>COUNTIF($M$1178:$M$1233,"&gt;"&amp;M1218)+COUNTIF($M$1178:M1218,M1218)</f>
        <v>21</v>
      </c>
      <c r="O1218" s="1">
        <f>J1218+L1218+IF(N1218&lt;=I1218-SUM($J$1178:$J$1233)-SUM($L$1178:$L$1233),1,0)</f>
        <v>20</v>
      </c>
    </row>
    <row r="1219" spans="1:15">
      <c r="A1219" s="1" t="s">
        <v>74</v>
      </c>
      <c r="B1219" s="1" t="s">
        <v>75</v>
      </c>
      <c r="C1219" s="1" t="s">
        <v>50</v>
      </c>
      <c r="D1219" s="1" t="s">
        <v>39</v>
      </c>
      <c r="E1219" s="1" t="s">
        <v>48</v>
      </c>
      <c r="F1219" s="1" t="s">
        <v>42</v>
      </c>
      <c r="G1219" s="1">
        <v>1819</v>
      </c>
      <c r="H1219" s="1">
        <f>'1_Departamento_n'!C23</f>
        <v>76629</v>
      </c>
      <c r="I1219" s="1">
        <f>'1_Departamento_n'!H23</f>
        <v>1297</v>
      </c>
      <c r="J1219" s="1">
        <f>'0_Parametros'!B7</f>
        <v>10</v>
      </c>
      <c r="K1219" s="3">
        <f>(I1219-SUM($J$1178:$J$1233))*G1219/H1219</f>
        <v>17.49472131960485</v>
      </c>
      <c r="L1219" s="1">
        <f>INT(K1219)</f>
        <v>17</v>
      </c>
      <c r="M1219" s="3">
        <f>K1219-L1219</f>
        <v>0.49472131960484944</v>
      </c>
      <c r="N1219" s="1">
        <f>COUNTIF($M$1178:$M$1233,"&gt;"&amp;M1219)+COUNTIF($M$1178:M1219,M1219)</f>
        <v>27</v>
      </c>
      <c r="O1219" s="1">
        <f>J1219+L1219+IF(N1219&lt;=I1219-SUM($J$1178:$J$1233)-SUM($L$1178:$L$1233),1,0)</f>
        <v>28</v>
      </c>
    </row>
    <row r="1220" spans="1:15">
      <c r="A1220" s="1" t="s">
        <v>74</v>
      </c>
      <c r="B1220" s="1" t="s">
        <v>75</v>
      </c>
      <c r="C1220" s="1" t="s">
        <v>50</v>
      </c>
      <c r="D1220" s="1" t="s">
        <v>49</v>
      </c>
      <c r="E1220" s="1" t="s">
        <v>40</v>
      </c>
      <c r="F1220" s="1" t="s">
        <v>41</v>
      </c>
      <c r="G1220" s="1">
        <v>859</v>
      </c>
      <c r="H1220" s="1">
        <f>'1_Departamento_n'!C23</f>
        <v>76629</v>
      </c>
      <c r="I1220" s="1">
        <f>'1_Departamento_n'!H23</f>
        <v>1297</v>
      </c>
      <c r="J1220" s="1">
        <f>'0_Parametros'!B7</f>
        <v>10</v>
      </c>
      <c r="K1220" s="3">
        <f>(I1220-SUM($J$1178:$J$1233))*G1220/H1220</f>
        <v>8.261663338944786</v>
      </c>
      <c r="L1220" s="1">
        <f>INT(K1220)</f>
        <v>8</v>
      </c>
      <c r="M1220" s="3">
        <f>K1220-L1220</f>
        <v>0.26166333894478555</v>
      </c>
      <c r="N1220" s="1">
        <f>COUNTIF($M$1178:$M$1233,"&gt;"&amp;M1220)+COUNTIF($M$1178:M1220,M1220)</f>
        <v>42</v>
      </c>
      <c r="O1220" s="1">
        <f>J1220+L1220+IF(N1220&lt;=I1220-SUM($J$1178:$J$1233)-SUM($L$1178:$L$1233),1,0)</f>
        <v>18</v>
      </c>
    </row>
    <row r="1221" spans="1:15">
      <c r="A1221" s="1" t="s">
        <v>74</v>
      </c>
      <c r="B1221" s="1" t="s">
        <v>75</v>
      </c>
      <c r="C1221" s="1" t="s">
        <v>50</v>
      </c>
      <c r="D1221" s="1" t="s">
        <v>49</v>
      </c>
      <c r="E1221" s="1" t="s">
        <v>40</v>
      </c>
      <c r="F1221" s="1" t="s">
        <v>42</v>
      </c>
      <c r="G1221" s="1">
        <v>4232</v>
      </c>
      <c r="H1221" s="1">
        <f>'1_Departamento_n'!C23</f>
        <v>76629</v>
      </c>
      <c r="I1221" s="1">
        <f>'1_Departamento_n'!H23</f>
        <v>1297</v>
      </c>
      <c r="J1221" s="1">
        <f>'0_Parametros'!B7</f>
        <v>10</v>
      </c>
      <c r="K1221" s="3">
        <f>(I1221-SUM($J$1178:$J$1233))*G1221/H1221</f>
        <v>40.70239726474311</v>
      </c>
      <c r="L1221" s="1">
        <f>INT(K1221)</f>
        <v>40</v>
      </c>
      <c r="M1221" s="3">
        <f>K1221-L1221</f>
        <v>0.7023972647431123</v>
      </c>
      <c r="N1221" s="1">
        <f>COUNTIF($M$1178:$M$1233,"&gt;"&amp;M1221)+COUNTIF($M$1178:M1221,M1221)</f>
        <v>15</v>
      </c>
      <c r="O1221" s="1">
        <f>J1221+L1221+IF(N1221&lt;=I1221-SUM($J$1178:$J$1233)-SUM($L$1178:$L$1233),1,0)</f>
        <v>51</v>
      </c>
    </row>
    <row r="1222" spans="1:15">
      <c r="A1222" s="1" t="s">
        <v>74</v>
      </c>
      <c r="B1222" s="1" t="s">
        <v>75</v>
      </c>
      <c r="C1222" s="1" t="s">
        <v>50</v>
      </c>
      <c r="D1222" s="1" t="s">
        <v>49</v>
      </c>
      <c r="E1222" s="1" t="s">
        <v>43</v>
      </c>
      <c r="F1222" s="1" t="s">
        <v>41</v>
      </c>
      <c r="G1222" s="1">
        <v>2148</v>
      </c>
      <c r="H1222" s="1">
        <f>'1_Departamento_n'!C23</f>
        <v>76629</v>
      </c>
      <c r="I1222" s="1">
        <f>'1_Departamento_n'!H23</f>
        <v>1297</v>
      </c>
      <c r="J1222" s="1">
        <f>'0_Parametros'!B7</f>
        <v>10</v>
      </c>
      <c r="K1222" s="3">
        <f>(I1222-SUM($J$1178:$J$1233))*G1222/H1222</f>
        <v>20.65896723172689</v>
      </c>
      <c r="L1222" s="1">
        <f>INT(K1222)</f>
        <v>20</v>
      </c>
      <c r="M1222" s="3">
        <f>K1222-L1222</f>
        <v>0.6589672317268906</v>
      </c>
      <c r="N1222" s="1">
        <f>COUNTIF($M$1178:$M$1233,"&gt;"&amp;M1222)+COUNTIF($M$1178:M1222,M1222)</f>
        <v>18</v>
      </c>
      <c r="O1222" s="1">
        <f>J1222+L1222+IF(N1222&lt;=I1222-SUM($J$1178:$J$1233)-SUM($L$1178:$L$1233),1,0)</f>
        <v>31</v>
      </c>
    </row>
    <row r="1223" spans="1:15">
      <c r="A1223" s="1" t="s">
        <v>74</v>
      </c>
      <c r="B1223" s="1" t="s">
        <v>75</v>
      </c>
      <c r="C1223" s="1" t="s">
        <v>50</v>
      </c>
      <c r="D1223" s="1" t="s">
        <v>49</v>
      </c>
      <c r="E1223" s="1" t="s">
        <v>43</v>
      </c>
      <c r="F1223" s="1" t="s">
        <v>42</v>
      </c>
      <c r="G1223" s="1">
        <v>4599</v>
      </c>
      <c r="H1223" s="1">
        <f>'1_Departamento_n'!C23</f>
        <v>76629</v>
      </c>
      <c r="I1223" s="1">
        <f>'1_Departamento_n'!H23</f>
        <v>1297</v>
      </c>
      <c r="J1223" s="1">
        <f>'0_Parametros'!B7</f>
        <v>10</v>
      </c>
      <c r="K1223" s="3">
        <f>(I1223-SUM($J$1178:$J$1233))*G1223/H1223</f>
        <v>44.232118388599616</v>
      </c>
      <c r="L1223" s="1">
        <f>INT(K1223)</f>
        <v>44</v>
      </c>
      <c r="M1223" s="3">
        <f>K1223-L1223</f>
        <v>0.2321183885996163</v>
      </c>
      <c r="N1223" s="1">
        <f>COUNTIF($M$1178:$M$1233,"&gt;"&amp;M1223)+COUNTIF($M$1178:M1223,M1223)</f>
        <v>45</v>
      </c>
      <c r="O1223" s="1">
        <f>J1223+L1223+IF(N1223&lt;=I1223-SUM($J$1178:$J$1233)-SUM($L$1178:$L$1233),1,0)</f>
        <v>54</v>
      </c>
    </row>
    <row r="1224" spans="1:15">
      <c r="A1224" s="1" t="s">
        <v>74</v>
      </c>
      <c r="B1224" s="1" t="s">
        <v>75</v>
      </c>
      <c r="C1224" s="1" t="s">
        <v>50</v>
      </c>
      <c r="D1224" s="1" t="s">
        <v>49</v>
      </c>
      <c r="E1224" s="1" t="s">
        <v>44</v>
      </c>
      <c r="F1224" s="1" t="s">
        <v>41</v>
      </c>
      <c r="G1224" s="1">
        <v>1705</v>
      </c>
      <c r="H1224" s="1">
        <f>'1_Departamento_n'!C23</f>
        <v>76629</v>
      </c>
      <c r="I1224" s="1">
        <f>'1_Departamento_n'!H23</f>
        <v>1297</v>
      </c>
      <c r="J1224" s="1">
        <f>'0_Parametros'!B7</f>
        <v>10</v>
      </c>
      <c r="K1224" s="3">
        <f>(I1224-SUM($J$1178:$J$1233))*G1224/H1224</f>
        <v>16.398295684401468</v>
      </c>
      <c r="L1224" s="1">
        <f>INT(K1224)</f>
        <v>16</v>
      </c>
      <c r="M1224" s="3">
        <f>K1224-L1224</f>
        <v>0.398295684401468</v>
      </c>
      <c r="N1224" s="1">
        <f>COUNTIF($M$1178:$M$1233,"&gt;"&amp;M1224)+COUNTIF($M$1178:M1224,M1224)</f>
        <v>37</v>
      </c>
      <c r="O1224" s="1">
        <f>J1224+L1224+IF(N1224&lt;=I1224-SUM($J$1178:$J$1233)-SUM($L$1178:$L$1233),1,0)</f>
        <v>26</v>
      </c>
    </row>
    <row r="1225" spans="1:15">
      <c r="A1225" s="1" t="s">
        <v>74</v>
      </c>
      <c r="B1225" s="1" t="s">
        <v>75</v>
      </c>
      <c r="C1225" s="1" t="s">
        <v>50</v>
      </c>
      <c r="D1225" s="1" t="s">
        <v>49</v>
      </c>
      <c r="E1225" s="1" t="s">
        <v>44</v>
      </c>
      <c r="F1225" s="1" t="s">
        <v>42</v>
      </c>
      <c r="G1225" s="1">
        <v>3050</v>
      </c>
      <c r="H1225" s="1">
        <f>'1_Departamento_n'!C23</f>
        <v>76629</v>
      </c>
      <c r="I1225" s="1">
        <f>'1_Departamento_n'!H23</f>
        <v>1297</v>
      </c>
      <c r="J1225" s="1">
        <f>'0_Parametros'!B7</f>
        <v>10</v>
      </c>
      <c r="K1225" s="3">
        <f>(I1225-SUM($J$1178:$J$1233))*G1225/H1225</f>
        <v>29.33419462605541</v>
      </c>
      <c r="L1225" s="1">
        <f>INT(K1225)</f>
        <v>29</v>
      </c>
      <c r="M1225" s="3">
        <f>K1225-L1225</f>
        <v>0.3341946260554103</v>
      </c>
      <c r="N1225" s="1">
        <f>COUNTIF($M$1178:$M$1233,"&gt;"&amp;M1225)+COUNTIF($M$1178:M1225,M1225)</f>
        <v>40</v>
      </c>
      <c r="O1225" s="1">
        <f>J1225+L1225+IF(N1225&lt;=I1225-SUM($J$1178:$J$1233)-SUM($L$1178:$L$1233),1,0)</f>
        <v>39</v>
      </c>
    </row>
    <row r="1226" spans="1:15">
      <c r="A1226" s="1" t="s">
        <v>74</v>
      </c>
      <c r="B1226" s="1" t="s">
        <v>75</v>
      </c>
      <c r="C1226" s="1" t="s">
        <v>50</v>
      </c>
      <c r="D1226" s="1" t="s">
        <v>49</v>
      </c>
      <c r="E1226" s="1" t="s">
        <v>45</v>
      </c>
      <c r="F1226" s="1" t="s">
        <v>41</v>
      </c>
      <c r="G1226" s="1">
        <v>1238</v>
      </c>
      <c r="H1226" s="1">
        <f>'1_Departamento_n'!C23</f>
        <v>76629</v>
      </c>
      <c r="I1226" s="1">
        <f>'1_Departamento_n'!H23</f>
        <v>1297</v>
      </c>
      <c r="J1226" s="1">
        <f>'0_Parametros'!B7</f>
        <v>10</v>
      </c>
      <c r="K1226" s="3">
        <f>(I1226-SUM($J$1178:$J$1233))*G1226/H1226</f>
        <v>11.906797687559541</v>
      </c>
      <c r="L1226" s="1">
        <f>INT(K1226)</f>
        <v>11</v>
      </c>
      <c r="M1226" s="3">
        <f>K1226-L1226</f>
        <v>0.9067976875595409</v>
      </c>
      <c r="N1226" s="1">
        <f>COUNTIF($M$1178:$M$1233,"&gt;"&amp;M1226)+COUNTIF($M$1178:M1226,M1226)</f>
        <v>5</v>
      </c>
      <c r="O1226" s="1">
        <f>J1226+L1226+IF(N1226&lt;=I1226-SUM($J$1178:$J$1233)-SUM($L$1178:$L$1233),1,0)</f>
        <v>22</v>
      </c>
    </row>
    <row r="1227" spans="1:15">
      <c r="A1227" s="1" t="s">
        <v>74</v>
      </c>
      <c r="B1227" s="1" t="s">
        <v>75</v>
      </c>
      <c r="C1227" s="1" t="s">
        <v>50</v>
      </c>
      <c r="D1227" s="1" t="s">
        <v>49</v>
      </c>
      <c r="E1227" s="1" t="s">
        <v>45</v>
      </c>
      <c r="F1227" s="1" t="s">
        <v>42</v>
      </c>
      <c r="G1227" s="1">
        <v>2969</v>
      </c>
      <c r="H1227" s="1">
        <f>'1_Departamento_n'!C23</f>
        <v>76629</v>
      </c>
      <c r="I1227" s="1">
        <f>'1_Departamento_n'!H23</f>
        <v>1297</v>
      </c>
      <c r="J1227" s="1">
        <f>'0_Parametros'!B7</f>
        <v>10</v>
      </c>
      <c r="K1227" s="3">
        <f>(I1227-SUM($J$1178:$J$1233))*G1227/H1227</f>
        <v>28.555155358937217</v>
      </c>
      <c r="L1227" s="1">
        <f>INT(K1227)</f>
        <v>28</v>
      </c>
      <c r="M1227" s="3">
        <f>K1227-L1227</f>
        <v>0.5551553589372169</v>
      </c>
      <c r="N1227" s="1">
        <f>COUNTIF($M$1178:$M$1233,"&gt;"&amp;M1227)+COUNTIF($M$1178:M1227,M1227)</f>
        <v>25</v>
      </c>
      <c r="O1227" s="1">
        <f>J1227+L1227+IF(N1227&lt;=I1227-SUM($J$1178:$J$1233)-SUM($L$1178:$L$1233),1,0)</f>
        <v>39</v>
      </c>
    </row>
    <row r="1228" spans="1:15">
      <c r="A1228" s="1" t="s">
        <v>74</v>
      </c>
      <c r="B1228" s="1" t="s">
        <v>75</v>
      </c>
      <c r="C1228" s="1" t="s">
        <v>50</v>
      </c>
      <c r="D1228" s="1" t="s">
        <v>49</v>
      </c>
      <c r="E1228" s="1" t="s">
        <v>46</v>
      </c>
      <c r="F1228" s="1" t="s">
        <v>41</v>
      </c>
      <c r="G1228" s="1">
        <v>1094</v>
      </c>
      <c r="H1228" s="1">
        <f>'1_Departamento_n'!C23</f>
        <v>76629</v>
      </c>
      <c r="I1228" s="1">
        <f>'1_Departamento_n'!H23</f>
        <v>1297</v>
      </c>
      <c r="J1228" s="1">
        <f>'0_Parametros'!B7</f>
        <v>10</v>
      </c>
      <c r="K1228" s="3">
        <f>(I1228-SUM($J$1178:$J$1233))*G1228/H1228</f>
        <v>10.52183899046053</v>
      </c>
      <c r="L1228" s="1">
        <f>INT(K1228)</f>
        <v>10</v>
      </c>
      <c r="M1228" s="3">
        <f>K1228-L1228</f>
        <v>0.5218389904605303</v>
      </c>
      <c r="N1228" s="1">
        <f>COUNTIF($M$1178:$M$1233,"&gt;"&amp;M1228)+COUNTIF($M$1178:M1228,M1228)</f>
        <v>26</v>
      </c>
      <c r="O1228" s="1">
        <f>J1228+L1228+IF(N1228&lt;=I1228-SUM($J$1178:$J$1233)-SUM($L$1178:$L$1233),1,0)</f>
        <v>21</v>
      </c>
    </row>
    <row r="1229" spans="1:15">
      <c r="A1229" s="1" t="s">
        <v>74</v>
      </c>
      <c r="B1229" s="1" t="s">
        <v>75</v>
      </c>
      <c r="C1229" s="1" t="s">
        <v>50</v>
      </c>
      <c r="D1229" s="1" t="s">
        <v>49</v>
      </c>
      <c r="E1229" s="1" t="s">
        <v>46</v>
      </c>
      <c r="F1229" s="1" t="s">
        <v>42</v>
      </c>
      <c r="G1229" s="1">
        <v>2166</v>
      </c>
      <c r="H1229" s="1">
        <f>'1_Departamento_n'!C23</f>
        <v>76629</v>
      </c>
      <c r="I1229" s="1">
        <f>'1_Departamento_n'!H23</f>
        <v>1297</v>
      </c>
      <c r="J1229" s="1">
        <f>'0_Parametros'!B7</f>
        <v>10</v>
      </c>
      <c r="K1229" s="3">
        <f>(I1229-SUM($J$1178:$J$1233))*G1229/H1229</f>
        <v>20.83208706886427</v>
      </c>
      <c r="L1229" s="1">
        <f>INT(K1229)</f>
        <v>20</v>
      </c>
      <c r="M1229" s="3">
        <f>K1229-L1229</f>
        <v>0.8320870688642685</v>
      </c>
      <c r="N1229" s="1">
        <f>COUNTIF($M$1178:$M$1233,"&gt;"&amp;M1229)+COUNTIF($M$1178:M1229,M1229)</f>
        <v>9</v>
      </c>
      <c r="O1229" s="1">
        <f>J1229+L1229+IF(N1229&lt;=I1229-SUM($J$1178:$J$1233)-SUM($L$1178:$L$1233),1,0)</f>
        <v>31</v>
      </c>
    </row>
    <row r="1230" spans="1:15">
      <c r="A1230" s="1" t="s">
        <v>74</v>
      </c>
      <c r="B1230" s="1" t="s">
        <v>75</v>
      </c>
      <c r="C1230" s="1" t="s">
        <v>50</v>
      </c>
      <c r="D1230" s="1" t="s">
        <v>49</v>
      </c>
      <c r="E1230" s="1" t="s">
        <v>47</v>
      </c>
      <c r="F1230" s="1" t="s">
        <v>41</v>
      </c>
      <c r="G1230" s="1">
        <v>870</v>
      </c>
      <c r="H1230" s="1">
        <f>'1_Departamento_n'!C23</f>
        <v>76629</v>
      </c>
      <c r="I1230" s="1">
        <f>'1_Departamento_n'!H23</f>
        <v>1297</v>
      </c>
      <c r="J1230" s="1">
        <f>'0_Parametros'!B7</f>
        <v>10</v>
      </c>
      <c r="K1230" s="3">
        <f>(I1230-SUM($J$1178:$J$1233))*G1230/H1230</f>
        <v>8.367458794973183</v>
      </c>
      <c r="L1230" s="1">
        <f>INT(K1230)</f>
        <v>8</v>
      </c>
      <c r="M1230" s="3">
        <f>K1230-L1230</f>
        <v>0.36745879497318334</v>
      </c>
      <c r="N1230" s="1">
        <f>COUNTIF($M$1178:$M$1233,"&gt;"&amp;M1230)+COUNTIF($M$1178:M1230,M1230)</f>
        <v>38</v>
      </c>
      <c r="O1230" s="1">
        <f>J1230+L1230+IF(N1230&lt;=I1230-SUM($J$1178:$J$1233)-SUM($L$1178:$L$1233),1,0)</f>
        <v>18</v>
      </c>
    </row>
    <row r="1231" spans="1:15">
      <c r="A1231" s="1" t="s">
        <v>74</v>
      </c>
      <c r="B1231" s="1" t="s">
        <v>75</v>
      </c>
      <c r="C1231" s="1" t="s">
        <v>50</v>
      </c>
      <c r="D1231" s="1" t="s">
        <v>49</v>
      </c>
      <c r="E1231" s="1" t="s">
        <v>47</v>
      </c>
      <c r="F1231" s="1" t="s">
        <v>42</v>
      </c>
      <c r="G1231" s="1">
        <v>1708</v>
      </c>
      <c r="H1231" s="1">
        <f>'1_Departamento_n'!C23</f>
        <v>76629</v>
      </c>
      <c r="I1231" s="1">
        <f>'1_Departamento_n'!H23</f>
        <v>1297</v>
      </c>
      <c r="J1231" s="1">
        <f>'0_Parametros'!B7</f>
        <v>10</v>
      </c>
      <c r="K1231" s="3">
        <f>(I1231-SUM($J$1178:$J$1233))*G1231/H1231</f>
        <v>16.42714899059103</v>
      </c>
      <c r="L1231" s="1">
        <f>INT(K1231)</f>
        <v>16</v>
      </c>
      <c r="M1231" s="3">
        <f>K1231-L1231</f>
        <v>0.4271489905910286</v>
      </c>
      <c r="N1231" s="1">
        <f>COUNTIF($M$1178:$M$1233,"&gt;"&amp;M1231)+COUNTIF($M$1178:M1231,M1231)</f>
        <v>35</v>
      </c>
      <c r="O1231" s="1">
        <f>J1231+L1231+IF(N1231&lt;=I1231-SUM($J$1178:$J$1233)-SUM($L$1178:$L$1233),1,0)</f>
        <v>26</v>
      </c>
    </row>
    <row r="1232" spans="1:15">
      <c r="A1232" s="1" t="s">
        <v>74</v>
      </c>
      <c r="B1232" s="1" t="s">
        <v>75</v>
      </c>
      <c r="C1232" s="1" t="s">
        <v>50</v>
      </c>
      <c r="D1232" s="1" t="s">
        <v>49</v>
      </c>
      <c r="E1232" s="1" t="s">
        <v>48</v>
      </c>
      <c r="F1232" s="1" t="s">
        <v>41</v>
      </c>
      <c r="G1232" s="1">
        <v>1066</v>
      </c>
      <c r="H1232" s="1">
        <f>'1_Departamento_n'!C23</f>
        <v>76629</v>
      </c>
      <c r="I1232" s="1">
        <f>'1_Departamento_n'!H23</f>
        <v>1297</v>
      </c>
      <c r="J1232" s="1">
        <f>'0_Parametros'!B7</f>
        <v>10</v>
      </c>
      <c r="K1232" s="3">
        <f>(I1232-SUM($J$1178:$J$1233))*G1232/H1232</f>
        <v>10.252541466024612</v>
      </c>
      <c r="L1232" s="1">
        <f>INT(K1232)</f>
        <v>10</v>
      </c>
      <c r="M1232" s="3">
        <f>K1232-L1232</f>
        <v>0.2525414660246117</v>
      </c>
      <c r="N1232" s="1">
        <f>COUNTIF($M$1178:$M$1233,"&gt;"&amp;M1232)+COUNTIF($M$1178:M1232,M1232)</f>
        <v>43</v>
      </c>
      <c r="O1232" s="1">
        <f>J1232+L1232+IF(N1232&lt;=I1232-SUM($J$1178:$J$1233)-SUM($L$1178:$L$1233),1,0)</f>
        <v>20</v>
      </c>
    </row>
    <row r="1233" spans="1:15">
      <c r="A1233" s="1" t="s">
        <v>74</v>
      </c>
      <c r="B1233" s="1" t="s">
        <v>75</v>
      </c>
      <c r="C1233" s="1" t="s">
        <v>50</v>
      </c>
      <c r="D1233" s="1" t="s">
        <v>49</v>
      </c>
      <c r="E1233" s="1" t="s">
        <v>48</v>
      </c>
      <c r="F1233" s="1" t="s">
        <v>42</v>
      </c>
      <c r="G1233" s="1">
        <v>2199</v>
      </c>
      <c r="H1233" s="1">
        <f>'1_Departamento_n'!C23</f>
        <v>76629</v>
      </c>
      <c r="I1233" s="1">
        <f>'1_Departamento_n'!H23</f>
        <v>1297</v>
      </c>
      <c r="J1233" s="1">
        <f>'0_Parametros'!B7</f>
        <v>10</v>
      </c>
      <c r="K1233" s="3">
        <f>(I1233-SUM($J$1178:$J$1233))*G1233/H1233</f>
        <v>21.149473436949457</v>
      </c>
      <c r="L1233" s="1">
        <f>INT(K1233)</f>
        <v>21</v>
      </c>
      <c r="M1233" s="3">
        <f>K1233-L1233</f>
        <v>0.14947343694945658</v>
      </c>
      <c r="N1233" s="1">
        <f>COUNTIF($M$1178:$M$1233,"&gt;"&amp;M1233)+COUNTIF($M$1178:M1233,M1233)</f>
        <v>50</v>
      </c>
      <c r="O1233" s="1">
        <f>J1233+L1233+IF(N1233&lt;=I1233-SUM($J$1178:$J$1233)-SUM($L$1178:$L$1233),1,0)</f>
        <v>31</v>
      </c>
    </row>
    <row r="1234" spans="1:15">
      <c r="A1234" s="1" t="s">
        <v>74</v>
      </c>
      <c r="B1234" s="1" t="s">
        <v>76</v>
      </c>
      <c r="C1234" s="1" t="s">
        <v>38</v>
      </c>
      <c r="D1234" s="1" t="s">
        <v>39</v>
      </c>
      <c r="E1234" s="1" t="s">
        <v>40</v>
      </c>
      <c r="F1234" s="1" t="s">
        <v>41</v>
      </c>
      <c r="G1234" s="1">
        <v>1793</v>
      </c>
      <c r="H1234" s="1">
        <f>'1_Departamento_n'!C24</f>
        <v>319492</v>
      </c>
      <c r="I1234" s="1">
        <f>'1_Departamento_n'!H24</f>
        <v>1309</v>
      </c>
      <c r="J1234" s="1">
        <f>'0_Parametros'!B7</f>
        <v>10</v>
      </c>
      <c r="K1234" s="3">
        <f>(I1234-SUM($J$1234:$J$1289))*G1234/H1234</f>
        <v>4.203413544001101</v>
      </c>
      <c r="L1234" s="1">
        <f>INT(K1234)</f>
        <v>4</v>
      </c>
      <c r="M1234" s="3">
        <f>K1234-L1234</f>
        <v>0.20341354400110134</v>
      </c>
      <c r="N1234" s="1">
        <f>COUNTIF($M$1234:$M$1289,"&gt;"&amp;M1234)+COUNTIF($M$1234:M1234,M1234)</f>
        <v>45</v>
      </c>
      <c r="O1234" s="1">
        <f>J1234+L1234+IF(N1234&lt;=I1234-SUM($J$1234:$J$1289)-SUM($L$1234:$L$1289),1,0)</f>
        <v>14</v>
      </c>
    </row>
    <row r="1235" spans="1:15">
      <c r="A1235" s="1" t="s">
        <v>74</v>
      </c>
      <c r="B1235" s="1" t="s">
        <v>76</v>
      </c>
      <c r="C1235" s="1" t="s">
        <v>38</v>
      </c>
      <c r="D1235" s="1" t="s">
        <v>39</v>
      </c>
      <c r="E1235" s="1" t="s">
        <v>40</v>
      </c>
      <c r="F1235" s="1" t="s">
        <v>42</v>
      </c>
      <c r="G1235" s="1">
        <v>1161</v>
      </c>
      <c r="H1235" s="1">
        <f>'1_Departamento_n'!C24</f>
        <v>319492</v>
      </c>
      <c r="I1235" s="1">
        <f>'1_Departamento_n'!H24</f>
        <v>1309</v>
      </c>
      <c r="J1235" s="1">
        <f>'0_Parametros'!B7</f>
        <v>10</v>
      </c>
      <c r="K1235" s="3">
        <f>(I1235-SUM($J$1234:$J$1289))*G1235/H1235</f>
        <v>2.7217864610068485</v>
      </c>
      <c r="L1235" s="1">
        <f>INT(K1235)</f>
        <v>2</v>
      </c>
      <c r="M1235" s="3">
        <f>K1235-L1235</f>
        <v>0.7217864610068485</v>
      </c>
      <c r="N1235" s="1">
        <f>COUNTIF($M$1234:$M$1289,"&gt;"&amp;M1235)+COUNTIF($M$1234:M1235,M1235)</f>
        <v>23</v>
      </c>
      <c r="O1235" s="1">
        <f>J1235+L1235+IF(N1235&lt;=I1235-SUM($J$1234:$J$1289)-SUM($L$1234:$L$1289),1,0)</f>
        <v>13</v>
      </c>
    </row>
    <row r="1236" spans="1:15">
      <c r="A1236" s="1" t="s">
        <v>74</v>
      </c>
      <c r="B1236" s="1" t="s">
        <v>76</v>
      </c>
      <c r="C1236" s="1" t="s">
        <v>38</v>
      </c>
      <c r="D1236" s="1" t="s">
        <v>39</v>
      </c>
      <c r="E1236" s="1" t="s">
        <v>43</v>
      </c>
      <c r="F1236" s="1" t="s">
        <v>41</v>
      </c>
      <c r="G1236" s="1">
        <v>2254</v>
      </c>
      <c r="H1236" s="1">
        <f>'1_Departamento_n'!C24</f>
        <v>319492</v>
      </c>
      <c r="I1236" s="1">
        <f>'1_Departamento_n'!H24</f>
        <v>1309</v>
      </c>
      <c r="J1236" s="1">
        <f>'0_Parametros'!B7</f>
        <v>10</v>
      </c>
      <c r="K1236" s="3">
        <f>(I1236-SUM($J$1234:$J$1289))*G1236/H1236</f>
        <v>5.284157349792796</v>
      </c>
      <c r="L1236" s="1">
        <f>INT(K1236)</f>
        <v>5</v>
      </c>
      <c r="M1236" s="3">
        <f>K1236-L1236</f>
        <v>0.28415734979279605</v>
      </c>
      <c r="N1236" s="1">
        <f>COUNTIF($M$1234:$M$1289,"&gt;"&amp;M1236)+COUNTIF($M$1234:M1236,M1236)</f>
        <v>42</v>
      </c>
      <c r="O1236" s="1">
        <f>J1236+L1236+IF(N1236&lt;=I1236-SUM($J$1234:$J$1289)-SUM($L$1234:$L$1289),1,0)</f>
        <v>15</v>
      </c>
    </row>
    <row r="1237" spans="1:15">
      <c r="A1237" s="1" t="s">
        <v>74</v>
      </c>
      <c r="B1237" s="1" t="s">
        <v>76</v>
      </c>
      <c r="C1237" s="1" t="s">
        <v>38</v>
      </c>
      <c r="D1237" s="1" t="s">
        <v>39</v>
      </c>
      <c r="E1237" s="1" t="s">
        <v>43</v>
      </c>
      <c r="F1237" s="1" t="s">
        <v>42</v>
      </c>
      <c r="G1237" s="1">
        <v>815</v>
      </c>
      <c r="H1237" s="1">
        <f>'1_Departamento_n'!C24</f>
        <v>319492</v>
      </c>
      <c r="I1237" s="1">
        <f>'1_Departamento_n'!H24</f>
        <v>1309</v>
      </c>
      <c r="J1237" s="1">
        <f>'0_Parametros'!B7</f>
        <v>10</v>
      </c>
      <c r="K1237" s="3">
        <f>(I1237-SUM($J$1234:$J$1289))*G1237/H1237</f>
        <v>1.9106425200005008</v>
      </c>
      <c r="L1237" s="1">
        <f>INT(K1237)</f>
        <v>1</v>
      </c>
      <c r="M1237" s="3">
        <f>K1237-L1237</f>
        <v>0.9106425200005008</v>
      </c>
      <c r="N1237" s="1">
        <f>COUNTIF($M$1234:$M$1289,"&gt;"&amp;M1237)+COUNTIF($M$1234:M1237,M1237)</f>
        <v>9</v>
      </c>
      <c r="O1237" s="1">
        <f>J1237+L1237+IF(N1237&lt;=I1237-SUM($J$1234:$J$1289)-SUM($L$1234:$L$1289),1,0)</f>
        <v>12</v>
      </c>
    </row>
    <row r="1238" spans="1:15">
      <c r="A1238" s="1" t="s">
        <v>74</v>
      </c>
      <c r="B1238" s="1" t="s">
        <v>76</v>
      </c>
      <c r="C1238" s="1" t="s">
        <v>38</v>
      </c>
      <c r="D1238" s="1" t="s">
        <v>39</v>
      </c>
      <c r="E1238" s="1" t="s">
        <v>44</v>
      </c>
      <c r="F1238" s="1" t="s">
        <v>41</v>
      </c>
      <c r="G1238" s="1">
        <v>2856</v>
      </c>
      <c r="H1238" s="1">
        <f>'1_Departamento_n'!C24</f>
        <v>319492</v>
      </c>
      <c r="I1238" s="1">
        <f>'1_Departamento_n'!H24</f>
        <v>1309</v>
      </c>
      <c r="J1238" s="1">
        <f>'0_Parametros'!B7</f>
        <v>10</v>
      </c>
      <c r="K1238" s="3">
        <f>(I1238-SUM($J$1234:$J$1289))*G1238/H1238</f>
        <v>6.695454033277828</v>
      </c>
      <c r="L1238" s="1">
        <f>INT(K1238)</f>
        <v>6</v>
      </c>
      <c r="M1238" s="3">
        <f>K1238-L1238</f>
        <v>0.6954540332778283</v>
      </c>
      <c r="N1238" s="1">
        <f>COUNTIF($M$1234:$M$1289,"&gt;"&amp;M1238)+COUNTIF($M$1234:M1238,M1238)</f>
        <v>24</v>
      </c>
      <c r="O1238" s="1">
        <f>J1238+L1238+IF(N1238&lt;=I1238-SUM($J$1234:$J$1289)-SUM($L$1234:$L$1289),1,0)</f>
        <v>17</v>
      </c>
    </row>
    <row r="1239" spans="1:15">
      <c r="A1239" s="1" t="s">
        <v>74</v>
      </c>
      <c r="B1239" s="1" t="s">
        <v>76</v>
      </c>
      <c r="C1239" s="1" t="s">
        <v>38</v>
      </c>
      <c r="D1239" s="1" t="s">
        <v>39</v>
      </c>
      <c r="E1239" s="1" t="s">
        <v>44</v>
      </c>
      <c r="F1239" s="1" t="s">
        <v>42</v>
      </c>
      <c r="G1239" s="1">
        <v>1405</v>
      </c>
      <c r="H1239" s="1">
        <f>'1_Departamento_n'!C24</f>
        <v>319492</v>
      </c>
      <c r="I1239" s="1">
        <f>'1_Departamento_n'!H24</f>
        <v>1309</v>
      </c>
      <c r="J1239" s="1">
        <f>'0_Parametros'!B7</f>
        <v>10</v>
      </c>
      <c r="K1239" s="3">
        <f>(I1239-SUM($J$1234:$J$1289))*G1239/H1239</f>
        <v>3.293807043681845</v>
      </c>
      <c r="L1239" s="1">
        <f>INT(K1239)</f>
        <v>3</v>
      </c>
      <c r="M1239" s="3">
        <f>K1239-L1239</f>
        <v>0.29380704368184496</v>
      </c>
      <c r="N1239" s="1">
        <f>COUNTIF($M$1234:$M$1289,"&gt;"&amp;M1239)+COUNTIF($M$1234:M1239,M1239)</f>
        <v>41</v>
      </c>
      <c r="O1239" s="1">
        <f>J1239+L1239+IF(N1239&lt;=I1239-SUM($J$1234:$J$1289)-SUM($L$1234:$L$1289),1,0)</f>
        <v>13</v>
      </c>
    </row>
    <row r="1240" spans="1:15">
      <c r="A1240" s="1" t="s">
        <v>74</v>
      </c>
      <c r="B1240" s="1" t="s">
        <v>76</v>
      </c>
      <c r="C1240" s="1" t="s">
        <v>38</v>
      </c>
      <c r="D1240" s="1" t="s">
        <v>39</v>
      </c>
      <c r="E1240" s="1" t="s">
        <v>45</v>
      </c>
      <c r="F1240" s="1" t="s">
        <v>41</v>
      </c>
      <c r="G1240" s="1">
        <v>4064</v>
      </c>
      <c r="H1240" s="1">
        <f>'1_Departamento_n'!C24</f>
        <v>319492</v>
      </c>
      <c r="I1240" s="1">
        <f>'1_Departamento_n'!H24</f>
        <v>1309</v>
      </c>
      <c r="J1240" s="1">
        <f>'0_Parametros'!B7</f>
        <v>10</v>
      </c>
      <c r="K1240" s="3">
        <f>(I1240-SUM($J$1234:$J$1289))*G1240/H1240</f>
        <v>9.527424786849123</v>
      </c>
      <c r="L1240" s="1">
        <f>INT(K1240)</f>
        <v>9</v>
      </c>
      <c r="M1240" s="3">
        <f>K1240-L1240</f>
        <v>0.5274247868491226</v>
      </c>
      <c r="N1240" s="1">
        <f>COUNTIF($M$1234:$M$1289,"&gt;"&amp;M1240)+COUNTIF($M$1234:M1240,M1240)</f>
        <v>34</v>
      </c>
      <c r="O1240" s="1">
        <f>J1240+L1240+IF(N1240&lt;=I1240-SUM($J$1234:$J$1289)-SUM($L$1234:$L$1289),1,0)</f>
        <v>19</v>
      </c>
    </row>
    <row r="1241" spans="1:15">
      <c r="A1241" s="1" t="s">
        <v>74</v>
      </c>
      <c r="B1241" s="1" t="s">
        <v>76</v>
      </c>
      <c r="C1241" s="1" t="s">
        <v>38</v>
      </c>
      <c r="D1241" s="1" t="s">
        <v>39</v>
      </c>
      <c r="E1241" s="1" t="s">
        <v>45</v>
      </c>
      <c r="F1241" s="1" t="s">
        <v>42</v>
      </c>
      <c r="G1241" s="1">
        <v>1661</v>
      </c>
      <c r="H1241" s="1">
        <f>'1_Departamento_n'!C24</f>
        <v>319492</v>
      </c>
      <c r="I1241" s="1">
        <f>'1_Departamento_n'!H24</f>
        <v>1309</v>
      </c>
      <c r="J1241" s="1">
        <f>'0_Parametros'!B7</f>
        <v>10</v>
      </c>
      <c r="K1241" s="3">
        <f>(I1241-SUM($J$1234:$J$1289))*G1241/H1241</f>
        <v>3.8939597861605297</v>
      </c>
      <c r="L1241" s="1">
        <f>INT(K1241)</f>
        <v>3</v>
      </c>
      <c r="M1241" s="3">
        <f>K1241-L1241</f>
        <v>0.8939597861605297</v>
      </c>
      <c r="N1241" s="1">
        <f>COUNTIF($M$1234:$M$1289,"&gt;"&amp;M1241)+COUNTIF($M$1234:M1241,M1241)</f>
        <v>11</v>
      </c>
      <c r="O1241" s="1">
        <f>J1241+L1241+IF(N1241&lt;=I1241-SUM($J$1234:$J$1289)-SUM($L$1234:$L$1289),1,0)</f>
        <v>14</v>
      </c>
    </row>
    <row r="1242" spans="1:15">
      <c r="A1242" s="1" t="s">
        <v>74</v>
      </c>
      <c r="B1242" s="1" t="s">
        <v>76</v>
      </c>
      <c r="C1242" s="1" t="s">
        <v>38</v>
      </c>
      <c r="D1242" s="1" t="s">
        <v>39</v>
      </c>
      <c r="E1242" s="1" t="s">
        <v>46</v>
      </c>
      <c r="F1242" s="1" t="s">
        <v>41</v>
      </c>
      <c r="G1242" s="1">
        <v>2980</v>
      </c>
      <c r="H1242" s="1">
        <f>'1_Departamento_n'!C24</f>
        <v>319492</v>
      </c>
      <c r="I1242" s="1">
        <f>'1_Departamento_n'!H24</f>
        <v>1309</v>
      </c>
      <c r="J1242" s="1">
        <f>'0_Parametros'!B7</f>
        <v>10</v>
      </c>
      <c r="K1242" s="3">
        <f>(I1242-SUM($J$1234:$J$1289))*G1242/H1242</f>
        <v>6.9861530179159415</v>
      </c>
      <c r="L1242" s="1">
        <f>INT(K1242)</f>
        <v>6</v>
      </c>
      <c r="M1242" s="3">
        <f>K1242-L1242</f>
        <v>0.9861530179159415</v>
      </c>
      <c r="N1242" s="1">
        <f>COUNTIF($M$1234:$M$1289,"&gt;"&amp;M1242)+COUNTIF($M$1234:M1242,M1242)</f>
        <v>4</v>
      </c>
      <c r="O1242" s="1">
        <f>J1242+L1242+IF(N1242&lt;=I1242-SUM($J$1234:$J$1289)-SUM($L$1234:$L$1289),1,0)</f>
        <v>17</v>
      </c>
    </row>
    <row r="1243" spans="1:15">
      <c r="A1243" s="1" t="s">
        <v>74</v>
      </c>
      <c r="B1243" s="1" t="s">
        <v>76</v>
      </c>
      <c r="C1243" s="1" t="s">
        <v>38</v>
      </c>
      <c r="D1243" s="1" t="s">
        <v>39</v>
      </c>
      <c r="E1243" s="1" t="s">
        <v>46</v>
      </c>
      <c r="F1243" s="1" t="s">
        <v>42</v>
      </c>
      <c r="G1243" s="1">
        <v>959</v>
      </c>
      <c r="H1243" s="1">
        <f>'1_Departamento_n'!C24</f>
        <v>319492</v>
      </c>
      <c r="I1243" s="1">
        <f>'1_Departamento_n'!H24</f>
        <v>1309</v>
      </c>
      <c r="J1243" s="1">
        <f>'0_Parametros'!B7</f>
        <v>10</v>
      </c>
      <c r="K1243" s="3">
        <f>(I1243-SUM($J$1234:$J$1289))*G1243/H1243</f>
        <v>2.248228437644761</v>
      </c>
      <c r="L1243" s="1">
        <f>INT(K1243)</f>
        <v>2</v>
      </c>
      <c r="M1243" s="3">
        <f>K1243-L1243</f>
        <v>0.248228437644761</v>
      </c>
      <c r="N1243" s="1">
        <f>COUNTIF($M$1234:$M$1289,"&gt;"&amp;M1243)+COUNTIF($M$1234:M1243,M1243)</f>
        <v>44</v>
      </c>
      <c r="O1243" s="1">
        <f>J1243+L1243+IF(N1243&lt;=I1243-SUM($J$1234:$J$1289)-SUM($L$1234:$L$1289),1,0)</f>
        <v>12</v>
      </c>
    </row>
    <row r="1244" spans="1:15">
      <c r="A1244" s="1" t="s">
        <v>74</v>
      </c>
      <c r="B1244" s="1" t="s">
        <v>76</v>
      </c>
      <c r="C1244" s="1" t="s">
        <v>38</v>
      </c>
      <c r="D1244" s="1" t="s">
        <v>39</v>
      </c>
      <c r="E1244" s="1" t="s">
        <v>47</v>
      </c>
      <c r="F1244" s="1" t="s">
        <v>41</v>
      </c>
      <c r="G1244" s="1">
        <v>1975</v>
      </c>
      <c r="H1244" s="1">
        <f>'1_Departamento_n'!C24</f>
        <v>319492</v>
      </c>
      <c r="I1244" s="1">
        <f>'1_Departamento_n'!H24</f>
        <v>1309</v>
      </c>
      <c r="J1244" s="1">
        <f>'0_Parametros'!B7</f>
        <v>10</v>
      </c>
      <c r="K1244" s="3">
        <f>(I1244-SUM($J$1234:$J$1289))*G1244/H1244</f>
        <v>4.630084634357042</v>
      </c>
      <c r="L1244" s="1">
        <f>INT(K1244)</f>
        <v>4</v>
      </c>
      <c r="M1244" s="3">
        <f>K1244-L1244</f>
        <v>0.6300846343570417</v>
      </c>
      <c r="N1244" s="1">
        <f>COUNTIF($M$1234:$M$1289,"&gt;"&amp;M1244)+COUNTIF($M$1234:M1244,M1244)</f>
        <v>29</v>
      </c>
      <c r="O1244" s="1">
        <f>J1244+L1244+IF(N1244&lt;=I1244-SUM($J$1234:$J$1289)-SUM($L$1234:$L$1289),1,0)</f>
        <v>15</v>
      </c>
    </row>
    <row r="1245" spans="1:15">
      <c r="A1245" s="1" t="s">
        <v>74</v>
      </c>
      <c r="B1245" s="1" t="s">
        <v>76</v>
      </c>
      <c r="C1245" s="1" t="s">
        <v>38</v>
      </c>
      <c r="D1245" s="1" t="s">
        <v>39</v>
      </c>
      <c r="E1245" s="1" t="s">
        <v>47</v>
      </c>
      <c r="F1245" s="1" t="s">
        <v>42</v>
      </c>
      <c r="G1245" s="1">
        <v>425</v>
      </c>
      <c r="H1245" s="1">
        <f>'1_Departamento_n'!C24</f>
        <v>319492</v>
      </c>
      <c r="I1245" s="1">
        <f>'1_Departamento_n'!H24</f>
        <v>1309</v>
      </c>
      <c r="J1245" s="1">
        <f>'0_Parametros'!B7</f>
        <v>10</v>
      </c>
      <c r="K1245" s="3">
        <f>(I1245-SUM($J$1234:$J$1289))*G1245/H1245</f>
        <v>0.9963473263806293</v>
      </c>
      <c r="L1245" s="1">
        <f>INT(K1245)</f>
        <v>0</v>
      </c>
      <c r="M1245" s="3">
        <f>K1245-L1245</f>
        <v>0.9963473263806293</v>
      </c>
      <c r="N1245" s="1">
        <f>COUNTIF($M$1234:$M$1289,"&gt;"&amp;M1245)+COUNTIF($M$1234:M1245,M1245)</f>
        <v>1</v>
      </c>
      <c r="O1245" s="1">
        <f>J1245+L1245+IF(N1245&lt;=I1245-SUM($J$1234:$J$1289)-SUM($L$1234:$L$1289),1,0)</f>
        <v>11</v>
      </c>
    </row>
    <row r="1246" spans="1:15">
      <c r="A1246" s="1" t="s">
        <v>74</v>
      </c>
      <c r="B1246" s="1" t="s">
        <v>76</v>
      </c>
      <c r="C1246" s="1" t="s">
        <v>38</v>
      </c>
      <c r="D1246" s="1" t="s">
        <v>39</v>
      </c>
      <c r="E1246" s="1" t="s">
        <v>48</v>
      </c>
      <c r="F1246" s="1" t="s">
        <v>41</v>
      </c>
      <c r="G1246" s="1">
        <v>2030</v>
      </c>
      <c r="H1246" s="1">
        <f>'1_Departamento_n'!C24</f>
        <v>319492</v>
      </c>
      <c r="I1246" s="1">
        <f>'1_Departamento_n'!H24</f>
        <v>1309</v>
      </c>
      <c r="J1246" s="1">
        <f>'0_Parametros'!B7</f>
        <v>10</v>
      </c>
      <c r="K1246" s="3">
        <f>(I1246-SUM($J$1234:$J$1289))*G1246/H1246</f>
        <v>4.759023700123946</v>
      </c>
      <c r="L1246" s="1">
        <f>INT(K1246)</f>
        <v>4</v>
      </c>
      <c r="M1246" s="3">
        <f>K1246-L1246</f>
        <v>0.7590237001239464</v>
      </c>
      <c r="N1246" s="1">
        <f>COUNTIF($M$1234:$M$1289,"&gt;"&amp;M1246)+COUNTIF($M$1234:M1246,M1246)</f>
        <v>20</v>
      </c>
      <c r="O1246" s="1">
        <f>J1246+L1246+IF(N1246&lt;=I1246-SUM($J$1234:$J$1289)-SUM($L$1234:$L$1289),1,0)</f>
        <v>15</v>
      </c>
    </row>
    <row r="1247" spans="1:15">
      <c r="A1247" s="1" t="s">
        <v>74</v>
      </c>
      <c r="B1247" s="1" t="s">
        <v>76</v>
      </c>
      <c r="C1247" s="1" t="s">
        <v>38</v>
      </c>
      <c r="D1247" s="1" t="s">
        <v>39</v>
      </c>
      <c r="E1247" s="1" t="s">
        <v>48</v>
      </c>
      <c r="F1247" s="1" t="s">
        <v>42</v>
      </c>
      <c r="G1247" s="1">
        <v>256</v>
      </c>
      <c r="H1247" s="1">
        <f>'1_Departamento_n'!C24</f>
        <v>319492</v>
      </c>
      <c r="I1247" s="1">
        <f>'1_Departamento_n'!H24</f>
        <v>1309</v>
      </c>
      <c r="J1247" s="1">
        <f>'0_Parametros'!B7</f>
        <v>10</v>
      </c>
      <c r="K1247" s="3">
        <f>(I1247-SUM($J$1234:$J$1289))*G1247/H1247</f>
        <v>0.6001527424786849</v>
      </c>
      <c r="L1247" s="1">
        <f>INT(K1247)</f>
        <v>0</v>
      </c>
      <c r="M1247" s="3">
        <f>K1247-L1247</f>
        <v>0.6001527424786849</v>
      </c>
      <c r="N1247" s="1">
        <f>COUNTIF($M$1234:$M$1289,"&gt;"&amp;M1247)+COUNTIF($M$1234:M1247,M1247)</f>
        <v>31</v>
      </c>
      <c r="O1247" s="1">
        <f>J1247+L1247+IF(N1247&lt;=I1247-SUM($J$1234:$J$1289)-SUM($L$1234:$L$1289),1,0)</f>
        <v>11</v>
      </c>
    </row>
    <row r="1248" spans="1:15">
      <c r="A1248" s="1" t="s">
        <v>74</v>
      </c>
      <c r="B1248" s="1" t="s">
        <v>76</v>
      </c>
      <c r="C1248" s="1" t="s">
        <v>38</v>
      </c>
      <c r="D1248" s="1" t="s">
        <v>49</v>
      </c>
      <c r="E1248" s="1" t="s">
        <v>40</v>
      </c>
      <c r="F1248" s="1" t="s">
        <v>41</v>
      </c>
      <c r="G1248" s="1">
        <v>1786</v>
      </c>
      <c r="H1248" s="1">
        <f>'1_Departamento_n'!C24</f>
        <v>319492</v>
      </c>
      <c r="I1248" s="1">
        <f>'1_Departamento_n'!H24</f>
        <v>1309</v>
      </c>
      <c r="J1248" s="1">
        <f>'0_Parametros'!B7</f>
        <v>10</v>
      </c>
      <c r="K1248" s="3">
        <f>(I1248-SUM($J$1234:$J$1289))*G1248/H1248</f>
        <v>4.18700311744895</v>
      </c>
      <c r="L1248" s="1">
        <f>INT(K1248)</f>
        <v>4</v>
      </c>
      <c r="M1248" s="3">
        <f>K1248-L1248</f>
        <v>0.18700311744894993</v>
      </c>
      <c r="N1248" s="1">
        <f>COUNTIF($M$1234:$M$1289,"&gt;"&amp;M1248)+COUNTIF($M$1234:M1248,M1248)</f>
        <v>47</v>
      </c>
      <c r="O1248" s="1">
        <f>J1248+L1248+IF(N1248&lt;=I1248-SUM($J$1234:$J$1289)-SUM($L$1234:$L$1289),1,0)</f>
        <v>14</v>
      </c>
    </row>
    <row r="1249" spans="1:15">
      <c r="A1249" s="1" t="s">
        <v>74</v>
      </c>
      <c r="B1249" s="1" t="s">
        <v>76</v>
      </c>
      <c r="C1249" s="1" t="s">
        <v>38</v>
      </c>
      <c r="D1249" s="1" t="s">
        <v>49</v>
      </c>
      <c r="E1249" s="1" t="s">
        <v>40</v>
      </c>
      <c r="F1249" s="1" t="s">
        <v>42</v>
      </c>
      <c r="G1249" s="1">
        <v>1270</v>
      </c>
      <c r="H1249" s="1">
        <f>'1_Departamento_n'!C24</f>
        <v>319492</v>
      </c>
      <c r="I1249" s="1">
        <f>'1_Departamento_n'!H24</f>
        <v>1309</v>
      </c>
      <c r="J1249" s="1">
        <f>'0_Parametros'!B7</f>
        <v>10</v>
      </c>
      <c r="K1249" s="3">
        <f>(I1249-SUM($J$1234:$J$1289))*G1249/H1249</f>
        <v>2.977320245890351</v>
      </c>
      <c r="L1249" s="1">
        <f>INT(K1249)</f>
        <v>2</v>
      </c>
      <c r="M1249" s="3">
        <f>K1249-L1249</f>
        <v>0.9773202458903509</v>
      </c>
      <c r="N1249" s="1">
        <f>COUNTIF($M$1234:$M$1289,"&gt;"&amp;M1249)+COUNTIF($M$1234:M1249,M1249)</f>
        <v>5</v>
      </c>
      <c r="O1249" s="1">
        <f>J1249+L1249+IF(N1249&lt;=I1249-SUM($J$1234:$J$1289)-SUM($L$1234:$L$1289),1,0)</f>
        <v>13</v>
      </c>
    </row>
    <row r="1250" spans="1:15">
      <c r="A1250" s="1" t="s">
        <v>74</v>
      </c>
      <c r="B1250" s="1" t="s">
        <v>76</v>
      </c>
      <c r="C1250" s="1" t="s">
        <v>38</v>
      </c>
      <c r="D1250" s="1" t="s">
        <v>49</v>
      </c>
      <c r="E1250" s="1" t="s">
        <v>43</v>
      </c>
      <c r="F1250" s="1" t="s">
        <v>41</v>
      </c>
      <c r="G1250" s="1">
        <v>2425</v>
      </c>
      <c r="H1250" s="1">
        <f>'1_Departamento_n'!C24</f>
        <v>319492</v>
      </c>
      <c r="I1250" s="1">
        <f>'1_Departamento_n'!H24</f>
        <v>1309</v>
      </c>
      <c r="J1250" s="1">
        <f>'0_Parametros'!B7</f>
        <v>10</v>
      </c>
      <c r="K1250" s="3">
        <f>(I1250-SUM($J$1234:$J$1289))*G1250/H1250</f>
        <v>5.685040626995355</v>
      </c>
      <c r="L1250" s="1">
        <f>INT(K1250)</f>
        <v>5</v>
      </c>
      <c r="M1250" s="3">
        <f>K1250-L1250</f>
        <v>0.6850406269953551</v>
      </c>
      <c r="N1250" s="1">
        <f>COUNTIF($M$1234:$M$1289,"&gt;"&amp;M1250)+COUNTIF($M$1234:M1250,M1250)</f>
        <v>25</v>
      </c>
      <c r="O1250" s="1">
        <f>J1250+L1250+IF(N1250&lt;=I1250-SUM($J$1234:$J$1289)-SUM($L$1234:$L$1289),1,0)</f>
        <v>16</v>
      </c>
    </row>
    <row r="1251" spans="1:15">
      <c r="A1251" s="1" t="s">
        <v>74</v>
      </c>
      <c r="B1251" s="1" t="s">
        <v>76</v>
      </c>
      <c r="C1251" s="1" t="s">
        <v>38</v>
      </c>
      <c r="D1251" s="1" t="s">
        <v>49</v>
      </c>
      <c r="E1251" s="1" t="s">
        <v>43</v>
      </c>
      <c r="F1251" s="1" t="s">
        <v>42</v>
      </c>
      <c r="G1251" s="1">
        <v>936</v>
      </c>
      <c r="H1251" s="1">
        <f>'1_Departamento_n'!C24</f>
        <v>319492</v>
      </c>
      <c r="I1251" s="1">
        <f>'1_Departamento_n'!H24</f>
        <v>1309</v>
      </c>
      <c r="J1251" s="1">
        <f>'0_Parametros'!B7</f>
        <v>10</v>
      </c>
      <c r="K1251" s="3">
        <f>(I1251-SUM($J$1234:$J$1289))*G1251/H1251</f>
        <v>2.194308464687692</v>
      </c>
      <c r="L1251" s="1">
        <f>INT(K1251)</f>
        <v>2</v>
      </c>
      <c r="M1251" s="3">
        <f>K1251-L1251</f>
        <v>0.1943084646876918</v>
      </c>
      <c r="N1251" s="1">
        <f>COUNTIF($M$1234:$M$1289,"&gt;"&amp;M1251)+COUNTIF($M$1234:M1251,M1251)</f>
        <v>46</v>
      </c>
      <c r="O1251" s="1">
        <f>J1251+L1251+IF(N1251&lt;=I1251-SUM($J$1234:$J$1289)-SUM($L$1234:$L$1289),1,0)</f>
        <v>12</v>
      </c>
    </row>
    <row r="1252" spans="1:15">
      <c r="A1252" s="1" t="s">
        <v>74</v>
      </c>
      <c r="B1252" s="1" t="s">
        <v>76</v>
      </c>
      <c r="C1252" s="1" t="s">
        <v>38</v>
      </c>
      <c r="D1252" s="1" t="s">
        <v>49</v>
      </c>
      <c r="E1252" s="1" t="s">
        <v>44</v>
      </c>
      <c r="F1252" s="1" t="s">
        <v>41</v>
      </c>
      <c r="G1252" s="1">
        <v>3007</v>
      </c>
      <c r="H1252" s="1">
        <f>'1_Departamento_n'!C24</f>
        <v>319492</v>
      </c>
      <c r="I1252" s="1">
        <f>'1_Departamento_n'!H24</f>
        <v>1309</v>
      </c>
      <c r="J1252" s="1">
        <f>'0_Parametros'!B7</f>
        <v>10</v>
      </c>
      <c r="K1252" s="3">
        <f>(I1252-SUM($J$1234:$J$1289))*G1252/H1252</f>
        <v>7.0494503774742405</v>
      </c>
      <c r="L1252" s="1">
        <f>INT(K1252)</f>
        <v>7</v>
      </c>
      <c r="M1252" s="3">
        <f>K1252-L1252</f>
        <v>0.049450377474240526</v>
      </c>
      <c r="N1252" s="1">
        <f>COUNTIF($M$1234:$M$1289,"&gt;"&amp;M1252)+COUNTIF($M$1234:M1252,M1252)</f>
        <v>54</v>
      </c>
      <c r="O1252" s="1">
        <f>J1252+L1252+IF(N1252&lt;=I1252-SUM($J$1234:$J$1289)-SUM($L$1234:$L$1289),1,0)</f>
        <v>17</v>
      </c>
    </row>
    <row r="1253" spans="1:15">
      <c r="A1253" s="1" t="s">
        <v>74</v>
      </c>
      <c r="B1253" s="1" t="s">
        <v>76</v>
      </c>
      <c r="C1253" s="1" t="s">
        <v>38</v>
      </c>
      <c r="D1253" s="1" t="s">
        <v>49</v>
      </c>
      <c r="E1253" s="1" t="s">
        <v>44</v>
      </c>
      <c r="F1253" s="1" t="s">
        <v>42</v>
      </c>
      <c r="G1253" s="1">
        <v>1709</v>
      </c>
      <c r="H1253" s="1">
        <f>'1_Departamento_n'!C24</f>
        <v>319492</v>
      </c>
      <c r="I1253" s="1">
        <f>'1_Departamento_n'!H24</f>
        <v>1309</v>
      </c>
      <c r="J1253" s="1">
        <f>'0_Parametros'!B7</f>
        <v>10</v>
      </c>
      <c r="K1253" s="3">
        <f>(I1253-SUM($J$1234:$J$1289))*G1253/H1253</f>
        <v>4.0064884253752835</v>
      </c>
      <c r="L1253" s="1">
        <f>INT(K1253)</f>
        <v>4</v>
      </c>
      <c r="M1253" s="3">
        <f>K1253-L1253</f>
        <v>0.006488425375283491</v>
      </c>
      <c r="N1253" s="1">
        <f>COUNTIF($M$1234:$M$1289,"&gt;"&amp;M1253)+COUNTIF($M$1234:M1253,M1253)</f>
        <v>56</v>
      </c>
      <c r="O1253" s="1">
        <f>J1253+L1253+IF(N1253&lt;=I1253-SUM($J$1234:$J$1289)-SUM($L$1234:$L$1289),1,0)</f>
        <v>14</v>
      </c>
    </row>
    <row r="1254" spans="1:15">
      <c r="A1254" s="1" t="s">
        <v>74</v>
      </c>
      <c r="B1254" s="1" t="s">
        <v>76</v>
      </c>
      <c r="C1254" s="1" t="s">
        <v>38</v>
      </c>
      <c r="D1254" s="1" t="s">
        <v>49</v>
      </c>
      <c r="E1254" s="1" t="s">
        <v>45</v>
      </c>
      <c r="F1254" s="1" t="s">
        <v>41</v>
      </c>
      <c r="G1254" s="1">
        <v>4122</v>
      </c>
      <c r="H1254" s="1">
        <f>'1_Departamento_n'!C24</f>
        <v>319492</v>
      </c>
      <c r="I1254" s="1">
        <f>'1_Departamento_n'!H24</f>
        <v>1309</v>
      </c>
      <c r="J1254" s="1">
        <f>'0_Parametros'!B7</f>
        <v>10</v>
      </c>
      <c r="K1254" s="3">
        <f>(I1254-SUM($J$1234:$J$1289))*G1254/H1254</f>
        <v>9.66339689256695</v>
      </c>
      <c r="L1254" s="1">
        <f>INT(K1254)</f>
        <v>9</v>
      </c>
      <c r="M1254" s="3">
        <f>K1254-L1254</f>
        <v>0.6633968925669507</v>
      </c>
      <c r="N1254" s="1">
        <f>COUNTIF($M$1234:$M$1289,"&gt;"&amp;M1254)+COUNTIF($M$1234:M1254,M1254)</f>
        <v>27</v>
      </c>
      <c r="O1254" s="1">
        <f>J1254+L1254+IF(N1254&lt;=I1254-SUM($J$1234:$J$1289)-SUM($L$1234:$L$1289),1,0)</f>
        <v>20</v>
      </c>
    </row>
    <row r="1255" spans="1:15">
      <c r="A1255" s="1" t="s">
        <v>74</v>
      </c>
      <c r="B1255" s="1" t="s">
        <v>76</v>
      </c>
      <c r="C1255" s="1" t="s">
        <v>38</v>
      </c>
      <c r="D1255" s="1" t="s">
        <v>49</v>
      </c>
      <c r="E1255" s="1" t="s">
        <v>45</v>
      </c>
      <c r="F1255" s="1" t="s">
        <v>42</v>
      </c>
      <c r="G1255" s="1">
        <v>2212</v>
      </c>
      <c r="H1255" s="1">
        <f>'1_Departamento_n'!C24</f>
        <v>319492</v>
      </c>
      <c r="I1255" s="1">
        <f>'1_Departamento_n'!H24</f>
        <v>1309</v>
      </c>
      <c r="J1255" s="1">
        <f>'0_Parametros'!B7</f>
        <v>10</v>
      </c>
      <c r="K1255" s="3">
        <f>(I1255-SUM($J$1234:$J$1289))*G1255/H1255</f>
        <v>5.185694790479887</v>
      </c>
      <c r="L1255" s="1">
        <f>INT(K1255)</f>
        <v>5</v>
      </c>
      <c r="M1255" s="3">
        <f>K1255-L1255</f>
        <v>0.18569479047988668</v>
      </c>
      <c r="N1255" s="1">
        <f>COUNTIF($M$1234:$M$1289,"&gt;"&amp;M1255)+COUNTIF($M$1234:M1255,M1255)</f>
        <v>48</v>
      </c>
      <c r="O1255" s="1">
        <f>J1255+L1255+IF(N1255&lt;=I1255-SUM($J$1234:$J$1289)-SUM($L$1234:$L$1289),1,0)</f>
        <v>15</v>
      </c>
    </row>
    <row r="1256" spans="1:15">
      <c r="A1256" s="1" t="s">
        <v>74</v>
      </c>
      <c r="B1256" s="1" t="s">
        <v>76</v>
      </c>
      <c r="C1256" s="1" t="s">
        <v>38</v>
      </c>
      <c r="D1256" s="1" t="s">
        <v>49</v>
      </c>
      <c r="E1256" s="1" t="s">
        <v>46</v>
      </c>
      <c r="F1256" s="1" t="s">
        <v>41</v>
      </c>
      <c r="G1256" s="1">
        <v>3207</v>
      </c>
      <c r="H1256" s="1">
        <f>'1_Departamento_n'!C24</f>
        <v>319492</v>
      </c>
      <c r="I1256" s="1">
        <f>'1_Departamento_n'!H24</f>
        <v>1309</v>
      </c>
      <c r="J1256" s="1">
        <f>'0_Parametros'!B7</f>
        <v>10</v>
      </c>
      <c r="K1256" s="3">
        <f>(I1256-SUM($J$1234:$J$1289))*G1256/H1256</f>
        <v>7.518319707535713</v>
      </c>
      <c r="L1256" s="1">
        <f>INT(K1256)</f>
        <v>7</v>
      </c>
      <c r="M1256" s="3">
        <f>K1256-L1256</f>
        <v>0.5183197075357127</v>
      </c>
      <c r="N1256" s="1">
        <f>COUNTIF($M$1234:$M$1289,"&gt;"&amp;M1256)+COUNTIF($M$1234:M1256,M1256)</f>
        <v>35</v>
      </c>
      <c r="O1256" s="1">
        <f>J1256+L1256+IF(N1256&lt;=I1256-SUM($J$1234:$J$1289)-SUM($L$1234:$L$1289),1,0)</f>
        <v>17</v>
      </c>
    </row>
    <row r="1257" spans="1:15">
      <c r="A1257" s="1" t="s">
        <v>74</v>
      </c>
      <c r="B1257" s="1" t="s">
        <v>76</v>
      </c>
      <c r="C1257" s="1" t="s">
        <v>38</v>
      </c>
      <c r="D1257" s="1" t="s">
        <v>49</v>
      </c>
      <c r="E1257" s="1" t="s">
        <v>46</v>
      </c>
      <c r="F1257" s="1" t="s">
        <v>42</v>
      </c>
      <c r="G1257" s="1">
        <v>1465</v>
      </c>
      <c r="H1257" s="1">
        <f>'1_Departamento_n'!C24</f>
        <v>319492</v>
      </c>
      <c r="I1257" s="1">
        <f>'1_Departamento_n'!H24</f>
        <v>1309</v>
      </c>
      <c r="J1257" s="1">
        <f>'0_Parametros'!B7</f>
        <v>10</v>
      </c>
      <c r="K1257" s="3">
        <f>(I1257-SUM($J$1234:$J$1289))*G1257/H1257</f>
        <v>3.4344678427002866</v>
      </c>
      <c r="L1257" s="1">
        <f>INT(K1257)</f>
        <v>3</v>
      </c>
      <c r="M1257" s="3">
        <f>K1257-L1257</f>
        <v>0.4344678427002866</v>
      </c>
      <c r="N1257" s="1">
        <f>COUNTIF($M$1234:$M$1289,"&gt;"&amp;M1257)+COUNTIF($M$1234:M1257,M1257)</f>
        <v>39</v>
      </c>
      <c r="O1257" s="1">
        <f>J1257+L1257+IF(N1257&lt;=I1257-SUM($J$1234:$J$1289)-SUM($L$1234:$L$1289),1,0)</f>
        <v>13</v>
      </c>
    </row>
    <row r="1258" spans="1:15">
      <c r="A1258" s="1" t="s">
        <v>74</v>
      </c>
      <c r="B1258" s="1" t="s">
        <v>76</v>
      </c>
      <c r="C1258" s="1" t="s">
        <v>38</v>
      </c>
      <c r="D1258" s="1" t="s">
        <v>49</v>
      </c>
      <c r="E1258" s="1" t="s">
        <v>47</v>
      </c>
      <c r="F1258" s="1" t="s">
        <v>41</v>
      </c>
      <c r="G1258" s="1">
        <v>2080</v>
      </c>
      <c r="H1258" s="1">
        <f>'1_Departamento_n'!C24</f>
        <v>319492</v>
      </c>
      <c r="I1258" s="1">
        <f>'1_Departamento_n'!H24</f>
        <v>1309</v>
      </c>
      <c r="J1258" s="1">
        <f>'0_Parametros'!B7</f>
        <v>10</v>
      </c>
      <c r="K1258" s="3">
        <f>(I1258-SUM($J$1234:$J$1289))*G1258/H1258</f>
        <v>4.876241032639315</v>
      </c>
      <c r="L1258" s="1">
        <f>INT(K1258)</f>
        <v>4</v>
      </c>
      <c r="M1258" s="3">
        <f>K1258-L1258</f>
        <v>0.8762410326393146</v>
      </c>
      <c r="N1258" s="1">
        <f>COUNTIF($M$1234:$M$1289,"&gt;"&amp;M1258)+COUNTIF($M$1234:M1258,M1258)</f>
        <v>12</v>
      </c>
      <c r="O1258" s="1">
        <f>J1258+L1258+IF(N1258&lt;=I1258-SUM($J$1234:$J$1289)-SUM($L$1234:$L$1289),1,0)</f>
        <v>15</v>
      </c>
    </row>
    <row r="1259" spans="1:15">
      <c r="A1259" s="1" t="s">
        <v>74</v>
      </c>
      <c r="B1259" s="1" t="s">
        <v>76</v>
      </c>
      <c r="C1259" s="1" t="s">
        <v>38</v>
      </c>
      <c r="D1259" s="1" t="s">
        <v>49</v>
      </c>
      <c r="E1259" s="1" t="s">
        <v>47</v>
      </c>
      <c r="F1259" s="1" t="s">
        <v>42</v>
      </c>
      <c r="G1259" s="1">
        <v>687</v>
      </c>
      <c r="H1259" s="1">
        <f>'1_Departamento_n'!C24</f>
        <v>319492</v>
      </c>
      <c r="I1259" s="1">
        <f>'1_Departamento_n'!H24</f>
        <v>1309</v>
      </c>
      <c r="J1259" s="1">
        <f>'0_Parametros'!B7</f>
        <v>10</v>
      </c>
      <c r="K1259" s="3">
        <f>(I1259-SUM($J$1234:$J$1289))*G1259/H1259</f>
        <v>1.6105661487611584</v>
      </c>
      <c r="L1259" s="1">
        <f>INT(K1259)</f>
        <v>1</v>
      </c>
      <c r="M1259" s="3">
        <f>K1259-L1259</f>
        <v>0.6105661487611584</v>
      </c>
      <c r="N1259" s="1">
        <f>COUNTIF($M$1234:$M$1289,"&gt;"&amp;M1259)+COUNTIF($M$1234:M1259,M1259)</f>
        <v>30</v>
      </c>
      <c r="O1259" s="1">
        <f>J1259+L1259+IF(N1259&lt;=I1259-SUM($J$1234:$J$1289)-SUM($L$1234:$L$1289),1,0)</f>
        <v>12</v>
      </c>
    </row>
    <row r="1260" spans="1:15">
      <c r="A1260" s="1" t="s">
        <v>74</v>
      </c>
      <c r="B1260" s="1" t="s">
        <v>76</v>
      </c>
      <c r="C1260" s="1" t="s">
        <v>38</v>
      </c>
      <c r="D1260" s="1" t="s">
        <v>49</v>
      </c>
      <c r="E1260" s="1" t="s">
        <v>48</v>
      </c>
      <c r="F1260" s="1" t="s">
        <v>41</v>
      </c>
      <c r="G1260" s="1">
        <v>2098</v>
      </c>
      <c r="H1260" s="1">
        <f>'1_Departamento_n'!C24</f>
        <v>319492</v>
      </c>
      <c r="I1260" s="1">
        <f>'1_Departamento_n'!H24</f>
        <v>1309</v>
      </c>
      <c r="J1260" s="1">
        <f>'0_Parametros'!B7</f>
        <v>10</v>
      </c>
      <c r="K1260" s="3">
        <f>(I1260-SUM($J$1234:$J$1289))*G1260/H1260</f>
        <v>4.918439272344847</v>
      </c>
      <c r="L1260" s="1">
        <f>INT(K1260)</f>
        <v>4</v>
      </c>
      <c r="M1260" s="3">
        <f>K1260-L1260</f>
        <v>0.9184392723448473</v>
      </c>
      <c r="N1260" s="1">
        <f>COUNTIF($M$1234:$M$1289,"&gt;"&amp;M1260)+COUNTIF($M$1234:M1260,M1260)</f>
        <v>8</v>
      </c>
      <c r="O1260" s="1">
        <f>J1260+L1260+IF(N1260&lt;=I1260-SUM($J$1234:$J$1289)-SUM($L$1234:$L$1289),1,0)</f>
        <v>15</v>
      </c>
    </row>
    <row r="1261" spans="1:15">
      <c r="A1261" s="1" t="s">
        <v>74</v>
      </c>
      <c r="B1261" s="1" t="s">
        <v>76</v>
      </c>
      <c r="C1261" s="1" t="s">
        <v>38</v>
      </c>
      <c r="D1261" s="1" t="s">
        <v>49</v>
      </c>
      <c r="E1261" s="1" t="s">
        <v>48</v>
      </c>
      <c r="F1261" s="1" t="s">
        <v>42</v>
      </c>
      <c r="G1261" s="1">
        <v>422</v>
      </c>
      <c r="H1261" s="1">
        <f>'1_Departamento_n'!C24</f>
        <v>319492</v>
      </c>
      <c r="I1261" s="1">
        <f>'1_Departamento_n'!H24</f>
        <v>1309</v>
      </c>
      <c r="J1261" s="1">
        <f>'0_Parametros'!B7</f>
        <v>10</v>
      </c>
      <c r="K1261" s="3">
        <f>(I1261-SUM($J$1234:$J$1289))*G1261/H1261</f>
        <v>0.9893142864297072</v>
      </c>
      <c r="L1261" s="1">
        <f>INT(K1261)</f>
        <v>0</v>
      </c>
      <c r="M1261" s="3">
        <f>K1261-L1261</f>
        <v>0.9893142864297072</v>
      </c>
      <c r="N1261" s="1">
        <f>COUNTIF($M$1234:$M$1289,"&gt;"&amp;M1261)+COUNTIF($M$1234:M1261,M1261)</f>
        <v>2</v>
      </c>
      <c r="O1261" s="1">
        <f>J1261+L1261+IF(N1261&lt;=I1261-SUM($J$1234:$J$1289)-SUM($L$1234:$L$1289),1,0)</f>
        <v>11</v>
      </c>
    </row>
    <row r="1262" spans="1:15">
      <c r="A1262" s="1" t="s">
        <v>74</v>
      </c>
      <c r="B1262" s="1" t="s">
        <v>76</v>
      </c>
      <c r="C1262" s="1" t="s">
        <v>50</v>
      </c>
      <c r="D1262" s="1" t="s">
        <v>39</v>
      </c>
      <c r="E1262" s="1" t="s">
        <v>40</v>
      </c>
      <c r="F1262" s="1" t="s">
        <v>41</v>
      </c>
      <c r="G1262" s="1">
        <v>9805</v>
      </c>
      <c r="H1262" s="1">
        <f>'1_Departamento_n'!C24</f>
        <v>319492</v>
      </c>
      <c r="I1262" s="1">
        <f>'1_Departamento_n'!H24</f>
        <v>1309</v>
      </c>
      <c r="J1262" s="1">
        <f>'0_Parametros'!B7</f>
        <v>10</v>
      </c>
      <c r="K1262" s="3">
        <f>(I1262-SUM($J$1234:$J$1289))*G1262/H1262</f>
        <v>22.986318906263694</v>
      </c>
      <c r="L1262" s="1">
        <f>INT(K1262)</f>
        <v>22</v>
      </c>
      <c r="M1262" s="3">
        <f>K1262-L1262</f>
        <v>0.9863189062636941</v>
      </c>
      <c r="N1262" s="1">
        <f>COUNTIF($M$1234:$M$1289,"&gt;"&amp;M1262)+COUNTIF($M$1234:M1262,M1262)</f>
        <v>3</v>
      </c>
      <c r="O1262" s="1">
        <f>J1262+L1262+IF(N1262&lt;=I1262-SUM($J$1234:$J$1289)-SUM($L$1234:$L$1289),1,0)</f>
        <v>33</v>
      </c>
    </row>
    <row r="1263" spans="1:15">
      <c r="A1263" s="1" t="s">
        <v>74</v>
      </c>
      <c r="B1263" s="1" t="s">
        <v>76</v>
      </c>
      <c r="C1263" s="1" t="s">
        <v>50</v>
      </c>
      <c r="D1263" s="1" t="s">
        <v>39</v>
      </c>
      <c r="E1263" s="1" t="s">
        <v>40</v>
      </c>
      <c r="F1263" s="1" t="s">
        <v>42</v>
      </c>
      <c r="G1263" s="1">
        <v>11120</v>
      </c>
      <c r="H1263" s="1">
        <f>'1_Departamento_n'!C24</f>
        <v>319492</v>
      </c>
      <c r="I1263" s="1">
        <f>'1_Departamento_n'!H24</f>
        <v>1309</v>
      </c>
      <c r="J1263" s="1">
        <f>'0_Parametros'!B7</f>
        <v>10</v>
      </c>
      <c r="K1263" s="3">
        <f>(I1263-SUM($J$1234:$J$1289))*G1263/H1263</f>
        <v>26.069134751417877</v>
      </c>
      <c r="L1263" s="1">
        <f>INT(K1263)</f>
        <v>26</v>
      </c>
      <c r="M1263" s="3">
        <f>K1263-L1263</f>
        <v>0.06913475141787728</v>
      </c>
      <c r="N1263" s="1">
        <f>COUNTIF($M$1234:$M$1289,"&gt;"&amp;M1263)+COUNTIF($M$1234:M1263,M1263)</f>
        <v>53</v>
      </c>
      <c r="O1263" s="1">
        <f>J1263+L1263+IF(N1263&lt;=I1263-SUM($J$1234:$J$1289)-SUM($L$1234:$L$1289),1,0)</f>
        <v>36</v>
      </c>
    </row>
    <row r="1264" spans="1:15">
      <c r="A1264" s="1" t="s">
        <v>74</v>
      </c>
      <c r="B1264" s="1" t="s">
        <v>76</v>
      </c>
      <c r="C1264" s="1" t="s">
        <v>50</v>
      </c>
      <c r="D1264" s="1" t="s">
        <v>39</v>
      </c>
      <c r="E1264" s="1" t="s">
        <v>43</v>
      </c>
      <c r="F1264" s="1" t="s">
        <v>41</v>
      </c>
      <c r="G1264" s="1">
        <v>13965</v>
      </c>
      <c r="H1264" s="1">
        <f>'1_Departamento_n'!C24</f>
        <v>319492</v>
      </c>
      <c r="I1264" s="1">
        <f>'1_Departamento_n'!H24</f>
        <v>1309</v>
      </c>
      <c r="J1264" s="1">
        <f>'0_Parametros'!B7</f>
        <v>10</v>
      </c>
      <c r="K1264" s="3">
        <f>(I1264-SUM($J$1234:$J$1289))*G1264/H1264</f>
        <v>32.738800971542325</v>
      </c>
      <c r="L1264" s="1">
        <f>INT(K1264)</f>
        <v>32</v>
      </c>
      <c r="M1264" s="3">
        <f>K1264-L1264</f>
        <v>0.7388009715423252</v>
      </c>
      <c r="N1264" s="1">
        <f>COUNTIF($M$1234:$M$1289,"&gt;"&amp;M1264)+COUNTIF($M$1234:M1264,M1264)</f>
        <v>21</v>
      </c>
      <c r="O1264" s="1">
        <f>J1264+L1264+IF(N1264&lt;=I1264-SUM($J$1234:$J$1289)-SUM($L$1234:$L$1289),1,0)</f>
        <v>43</v>
      </c>
    </row>
    <row r="1265" spans="1:15">
      <c r="A1265" s="1" t="s">
        <v>74</v>
      </c>
      <c r="B1265" s="1" t="s">
        <v>76</v>
      </c>
      <c r="C1265" s="1" t="s">
        <v>50</v>
      </c>
      <c r="D1265" s="1" t="s">
        <v>39</v>
      </c>
      <c r="E1265" s="1" t="s">
        <v>43</v>
      </c>
      <c r="F1265" s="1" t="s">
        <v>42</v>
      </c>
      <c r="G1265" s="1">
        <v>11322</v>
      </c>
      <c r="H1265" s="1">
        <f>'1_Departamento_n'!C24</f>
        <v>319492</v>
      </c>
      <c r="I1265" s="1">
        <f>'1_Departamento_n'!H24</f>
        <v>1309</v>
      </c>
      <c r="J1265" s="1">
        <f>'0_Parametros'!B7</f>
        <v>10</v>
      </c>
      <c r="K1265" s="3">
        <f>(I1265-SUM($J$1234:$J$1289))*G1265/H1265</f>
        <v>26.54269277477996</v>
      </c>
      <c r="L1265" s="1">
        <f>INT(K1265)</f>
        <v>26</v>
      </c>
      <c r="M1265" s="3">
        <f>K1265-L1265</f>
        <v>0.5426927747799617</v>
      </c>
      <c r="N1265" s="1">
        <f>COUNTIF($M$1234:$M$1289,"&gt;"&amp;M1265)+COUNTIF($M$1234:M1265,M1265)</f>
        <v>33</v>
      </c>
      <c r="O1265" s="1">
        <f>J1265+L1265+IF(N1265&lt;=I1265-SUM($J$1234:$J$1289)-SUM($L$1234:$L$1289),1,0)</f>
        <v>36</v>
      </c>
    </row>
    <row r="1266" spans="1:15">
      <c r="A1266" s="1" t="s">
        <v>74</v>
      </c>
      <c r="B1266" s="1" t="s">
        <v>76</v>
      </c>
      <c r="C1266" s="1" t="s">
        <v>50</v>
      </c>
      <c r="D1266" s="1" t="s">
        <v>39</v>
      </c>
      <c r="E1266" s="1" t="s">
        <v>44</v>
      </c>
      <c r="F1266" s="1" t="s">
        <v>41</v>
      </c>
      <c r="G1266" s="1">
        <v>11805</v>
      </c>
      <c r="H1266" s="1">
        <f>'1_Departamento_n'!C24</f>
        <v>319492</v>
      </c>
      <c r="I1266" s="1">
        <f>'1_Departamento_n'!H24</f>
        <v>1309</v>
      </c>
      <c r="J1266" s="1">
        <f>'0_Parametros'!B7</f>
        <v>10</v>
      </c>
      <c r="K1266" s="3">
        <f>(I1266-SUM($J$1234:$J$1289))*G1266/H1266</f>
        <v>27.67501220687842</v>
      </c>
      <c r="L1266" s="1">
        <f>INT(K1266)</f>
        <v>27</v>
      </c>
      <c r="M1266" s="3">
        <f>K1266-L1266</f>
        <v>0.6750122068784208</v>
      </c>
      <c r="N1266" s="1">
        <f>COUNTIF($M$1234:$M$1289,"&gt;"&amp;M1266)+COUNTIF($M$1234:M1266,M1266)</f>
        <v>26</v>
      </c>
      <c r="O1266" s="1">
        <f>J1266+L1266+IF(N1266&lt;=I1266-SUM($J$1234:$J$1289)-SUM($L$1234:$L$1289),1,0)</f>
        <v>38</v>
      </c>
    </row>
    <row r="1267" spans="1:15">
      <c r="A1267" s="1" t="s">
        <v>74</v>
      </c>
      <c r="B1267" s="1" t="s">
        <v>76</v>
      </c>
      <c r="C1267" s="1" t="s">
        <v>50</v>
      </c>
      <c r="D1267" s="1" t="s">
        <v>39</v>
      </c>
      <c r="E1267" s="1" t="s">
        <v>44</v>
      </c>
      <c r="F1267" s="1" t="s">
        <v>42</v>
      </c>
      <c r="G1267" s="1">
        <v>9737</v>
      </c>
      <c r="H1267" s="1">
        <f>'1_Departamento_n'!C24</f>
        <v>319492</v>
      </c>
      <c r="I1267" s="1">
        <f>'1_Departamento_n'!H24</f>
        <v>1309</v>
      </c>
      <c r="J1267" s="1">
        <f>'0_Parametros'!B7</f>
        <v>10</v>
      </c>
      <c r="K1267" s="3">
        <f>(I1267-SUM($J$1234:$J$1289))*G1267/H1267</f>
        <v>22.826903334042793</v>
      </c>
      <c r="L1267" s="1">
        <f>INT(K1267)</f>
        <v>22</v>
      </c>
      <c r="M1267" s="3">
        <f>K1267-L1267</f>
        <v>0.8269033340427931</v>
      </c>
      <c r="N1267" s="1">
        <f>COUNTIF($M$1234:$M$1289,"&gt;"&amp;M1267)+COUNTIF($M$1234:M1267,M1267)</f>
        <v>15</v>
      </c>
      <c r="O1267" s="1">
        <f>J1267+L1267+IF(N1267&lt;=I1267-SUM($J$1234:$J$1289)-SUM($L$1234:$L$1289),1,0)</f>
        <v>33</v>
      </c>
    </row>
    <row r="1268" spans="1:15">
      <c r="A1268" s="1" t="s">
        <v>74</v>
      </c>
      <c r="B1268" s="1" t="s">
        <v>76</v>
      </c>
      <c r="C1268" s="1" t="s">
        <v>50</v>
      </c>
      <c r="D1268" s="1" t="s">
        <v>39</v>
      </c>
      <c r="E1268" s="1" t="s">
        <v>45</v>
      </c>
      <c r="F1268" s="1" t="s">
        <v>41</v>
      </c>
      <c r="G1268" s="1">
        <v>11864</v>
      </c>
      <c r="H1268" s="1">
        <f>'1_Departamento_n'!C24</f>
        <v>319492</v>
      </c>
      <c r="I1268" s="1">
        <f>'1_Departamento_n'!H24</f>
        <v>1309</v>
      </c>
      <c r="J1268" s="1">
        <f>'0_Parametros'!B7</f>
        <v>10</v>
      </c>
      <c r="K1268" s="3">
        <f>(I1268-SUM($J$1234:$J$1289))*G1268/H1268</f>
        <v>27.813328659246555</v>
      </c>
      <c r="L1268" s="1">
        <f>INT(K1268)</f>
        <v>27</v>
      </c>
      <c r="M1268" s="3">
        <f>K1268-L1268</f>
        <v>0.8133286592465545</v>
      </c>
      <c r="N1268" s="1">
        <f>COUNTIF($M$1234:$M$1289,"&gt;"&amp;M1268)+COUNTIF($M$1234:M1268,M1268)</f>
        <v>16</v>
      </c>
      <c r="O1268" s="1">
        <f>J1268+L1268+IF(N1268&lt;=I1268-SUM($J$1234:$J$1289)-SUM($L$1234:$L$1289),1,0)</f>
        <v>38</v>
      </c>
    </row>
    <row r="1269" spans="1:15">
      <c r="A1269" s="1" t="s">
        <v>74</v>
      </c>
      <c r="B1269" s="1" t="s">
        <v>76</v>
      </c>
      <c r="C1269" s="1" t="s">
        <v>50</v>
      </c>
      <c r="D1269" s="1" t="s">
        <v>39</v>
      </c>
      <c r="E1269" s="1" t="s">
        <v>45</v>
      </c>
      <c r="F1269" s="1" t="s">
        <v>42</v>
      </c>
      <c r="G1269" s="1">
        <v>8924</v>
      </c>
      <c r="H1269" s="1">
        <f>'1_Departamento_n'!C24</f>
        <v>319492</v>
      </c>
      <c r="I1269" s="1">
        <f>'1_Departamento_n'!H24</f>
        <v>1309</v>
      </c>
      <c r="J1269" s="1">
        <f>'0_Parametros'!B7</f>
        <v>10</v>
      </c>
      <c r="K1269" s="3">
        <f>(I1269-SUM($J$1234:$J$1289))*G1269/H1269</f>
        <v>20.920949507342907</v>
      </c>
      <c r="L1269" s="1">
        <f>INT(K1269)</f>
        <v>20</v>
      </c>
      <c r="M1269" s="3">
        <f>K1269-L1269</f>
        <v>0.9209495073429075</v>
      </c>
      <c r="N1269" s="1">
        <f>COUNTIF($M$1234:$M$1289,"&gt;"&amp;M1269)+COUNTIF($M$1234:M1269,M1269)</f>
        <v>7</v>
      </c>
      <c r="O1269" s="1">
        <f>J1269+L1269+IF(N1269&lt;=I1269-SUM($J$1234:$J$1289)-SUM($L$1234:$L$1289),1,0)</f>
        <v>31</v>
      </c>
    </row>
    <row r="1270" spans="1:15">
      <c r="A1270" s="1" t="s">
        <v>74</v>
      </c>
      <c r="B1270" s="1" t="s">
        <v>76</v>
      </c>
      <c r="C1270" s="1" t="s">
        <v>50</v>
      </c>
      <c r="D1270" s="1" t="s">
        <v>39</v>
      </c>
      <c r="E1270" s="1" t="s">
        <v>46</v>
      </c>
      <c r="F1270" s="1" t="s">
        <v>41</v>
      </c>
      <c r="G1270" s="1">
        <v>9858</v>
      </c>
      <c r="H1270" s="1">
        <f>'1_Departamento_n'!C24</f>
        <v>319492</v>
      </c>
      <c r="I1270" s="1">
        <f>'1_Departamento_n'!H24</f>
        <v>1309</v>
      </c>
      <c r="J1270" s="1">
        <f>'0_Parametros'!B7</f>
        <v>10</v>
      </c>
      <c r="K1270" s="3">
        <f>(I1270-SUM($J$1234:$J$1289))*G1270/H1270</f>
        <v>23.110569278729983</v>
      </c>
      <c r="L1270" s="1">
        <f>INT(K1270)</f>
        <v>23</v>
      </c>
      <c r="M1270" s="3">
        <f>K1270-L1270</f>
        <v>0.11056927872998301</v>
      </c>
      <c r="N1270" s="1">
        <f>COUNTIF($M$1234:$M$1289,"&gt;"&amp;M1270)+COUNTIF($M$1234:M1270,M1270)</f>
        <v>51</v>
      </c>
      <c r="O1270" s="1">
        <f>J1270+L1270+IF(N1270&lt;=I1270-SUM($J$1234:$J$1289)-SUM($L$1234:$L$1289),1,0)</f>
        <v>33</v>
      </c>
    </row>
    <row r="1271" spans="1:15">
      <c r="A1271" s="1" t="s">
        <v>74</v>
      </c>
      <c r="B1271" s="1" t="s">
        <v>76</v>
      </c>
      <c r="C1271" s="1" t="s">
        <v>50</v>
      </c>
      <c r="D1271" s="1" t="s">
        <v>39</v>
      </c>
      <c r="E1271" s="1" t="s">
        <v>46</v>
      </c>
      <c r="F1271" s="1" t="s">
        <v>42</v>
      </c>
      <c r="G1271" s="1">
        <v>7360</v>
      </c>
      <c r="H1271" s="1">
        <f>'1_Departamento_n'!C24</f>
        <v>319492</v>
      </c>
      <c r="I1271" s="1">
        <f>'1_Departamento_n'!H24</f>
        <v>1309</v>
      </c>
      <c r="J1271" s="1">
        <f>'0_Parametros'!B7</f>
        <v>10</v>
      </c>
      <c r="K1271" s="3">
        <f>(I1271-SUM($J$1234:$J$1289))*G1271/H1271</f>
        <v>17.254391346262192</v>
      </c>
      <c r="L1271" s="1">
        <f>INT(K1271)</f>
        <v>17</v>
      </c>
      <c r="M1271" s="3">
        <f>K1271-L1271</f>
        <v>0.2543913462621923</v>
      </c>
      <c r="N1271" s="1">
        <f>COUNTIF($M$1234:$M$1289,"&gt;"&amp;M1271)+COUNTIF($M$1234:M1271,M1271)</f>
        <v>43</v>
      </c>
      <c r="O1271" s="1">
        <f>J1271+L1271+IF(N1271&lt;=I1271-SUM($J$1234:$J$1289)-SUM($L$1234:$L$1289),1,0)</f>
        <v>27</v>
      </c>
    </row>
    <row r="1272" spans="1:15">
      <c r="A1272" s="1" t="s">
        <v>74</v>
      </c>
      <c r="B1272" s="1" t="s">
        <v>76</v>
      </c>
      <c r="C1272" s="1" t="s">
        <v>50</v>
      </c>
      <c r="D1272" s="1" t="s">
        <v>39</v>
      </c>
      <c r="E1272" s="1" t="s">
        <v>47</v>
      </c>
      <c r="F1272" s="1" t="s">
        <v>41</v>
      </c>
      <c r="G1272" s="1">
        <v>8170</v>
      </c>
      <c r="H1272" s="1">
        <f>'1_Departamento_n'!C24</f>
        <v>319492</v>
      </c>
      <c r="I1272" s="1">
        <f>'1_Departamento_n'!H24</f>
        <v>1309</v>
      </c>
      <c r="J1272" s="1">
        <f>'0_Parametros'!B7</f>
        <v>10</v>
      </c>
      <c r="K1272" s="3">
        <f>(I1272-SUM($J$1234:$J$1289))*G1272/H1272</f>
        <v>19.153312133011156</v>
      </c>
      <c r="L1272" s="1">
        <f>INT(K1272)</f>
        <v>19</v>
      </c>
      <c r="M1272" s="3">
        <f>K1272-L1272</f>
        <v>0.15331213301115554</v>
      </c>
      <c r="N1272" s="1">
        <f>COUNTIF($M$1234:$M$1289,"&gt;"&amp;M1272)+COUNTIF($M$1234:M1272,M1272)</f>
        <v>49</v>
      </c>
      <c r="O1272" s="1">
        <f>J1272+L1272+IF(N1272&lt;=I1272-SUM($J$1234:$J$1289)-SUM($L$1234:$L$1289),1,0)</f>
        <v>29</v>
      </c>
    </row>
    <row r="1273" spans="1:15">
      <c r="A1273" s="1" t="s">
        <v>74</v>
      </c>
      <c r="B1273" s="1" t="s">
        <v>76</v>
      </c>
      <c r="C1273" s="1" t="s">
        <v>50</v>
      </c>
      <c r="D1273" s="1" t="s">
        <v>39</v>
      </c>
      <c r="E1273" s="1" t="s">
        <v>47</v>
      </c>
      <c r="F1273" s="1" t="s">
        <v>42</v>
      </c>
      <c r="G1273" s="1">
        <v>5871</v>
      </c>
      <c r="H1273" s="1">
        <f>'1_Departamento_n'!C24</f>
        <v>319492</v>
      </c>
      <c r="I1273" s="1">
        <f>'1_Departamento_n'!H24</f>
        <v>1309</v>
      </c>
      <c r="J1273" s="1">
        <f>'0_Parametros'!B7</f>
        <v>10</v>
      </c>
      <c r="K1273" s="3">
        <f>(I1273-SUM($J$1234:$J$1289))*G1273/H1273</f>
        <v>13.763659183954529</v>
      </c>
      <c r="L1273" s="1">
        <f>INT(K1273)</f>
        <v>13</v>
      </c>
      <c r="M1273" s="3">
        <f>K1273-L1273</f>
        <v>0.7636591839545286</v>
      </c>
      <c r="N1273" s="1">
        <f>COUNTIF($M$1234:$M$1289,"&gt;"&amp;M1273)+COUNTIF($M$1234:M1273,M1273)</f>
        <v>19</v>
      </c>
      <c r="O1273" s="1">
        <f>J1273+L1273+IF(N1273&lt;=I1273-SUM($J$1234:$J$1289)-SUM($L$1234:$L$1289),1,0)</f>
        <v>24</v>
      </c>
    </row>
    <row r="1274" spans="1:15">
      <c r="A1274" s="1" t="s">
        <v>74</v>
      </c>
      <c r="B1274" s="1" t="s">
        <v>76</v>
      </c>
      <c r="C1274" s="1" t="s">
        <v>50</v>
      </c>
      <c r="D1274" s="1" t="s">
        <v>39</v>
      </c>
      <c r="E1274" s="1" t="s">
        <v>48</v>
      </c>
      <c r="F1274" s="1" t="s">
        <v>41</v>
      </c>
      <c r="G1274" s="1">
        <v>10470</v>
      </c>
      <c r="H1274" s="1">
        <f>'1_Departamento_n'!C24</f>
        <v>319492</v>
      </c>
      <c r="I1274" s="1">
        <f>'1_Departamento_n'!H24</f>
        <v>1309</v>
      </c>
      <c r="J1274" s="1">
        <f>'0_Parametros'!B7</f>
        <v>10</v>
      </c>
      <c r="K1274" s="3">
        <f>(I1274-SUM($J$1234:$J$1289))*G1274/H1274</f>
        <v>24.54530942871809</v>
      </c>
      <c r="L1274" s="1">
        <f>INT(K1274)</f>
        <v>24</v>
      </c>
      <c r="M1274" s="3">
        <f>K1274-L1274</f>
        <v>0.5453094287180917</v>
      </c>
      <c r="N1274" s="1">
        <f>COUNTIF($M$1234:$M$1289,"&gt;"&amp;M1274)+COUNTIF($M$1234:M1274,M1274)</f>
        <v>32</v>
      </c>
      <c r="O1274" s="1">
        <f>J1274+L1274+IF(N1274&lt;=I1274-SUM($J$1234:$J$1289)-SUM($L$1234:$L$1289),1,0)</f>
        <v>35</v>
      </c>
    </row>
    <row r="1275" spans="1:15">
      <c r="A1275" s="1" t="s">
        <v>74</v>
      </c>
      <c r="B1275" s="1" t="s">
        <v>76</v>
      </c>
      <c r="C1275" s="1" t="s">
        <v>50</v>
      </c>
      <c r="D1275" s="1" t="s">
        <v>39</v>
      </c>
      <c r="E1275" s="1" t="s">
        <v>48</v>
      </c>
      <c r="F1275" s="1" t="s">
        <v>42</v>
      </c>
      <c r="G1275" s="1">
        <v>6730</v>
      </c>
      <c r="H1275" s="1">
        <f>'1_Departamento_n'!C24</f>
        <v>319492</v>
      </c>
      <c r="I1275" s="1">
        <f>'1_Departamento_n'!H24</f>
        <v>1309</v>
      </c>
      <c r="J1275" s="1">
        <f>'0_Parametros'!B7</f>
        <v>10</v>
      </c>
      <c r="K1275" s="3">
        <f>(I1275-SUM($J$1234:$J$1289))*G1275/H1275</f>
        <v>15.777452956568553</v>
      </c>
      <c r="L1275" s="1">
        <f>INT(K1275)</f>
        <v>15</v>
      </c>
      <c r="M1275" s="3">
        <f>K1275-L1275</f>
        <v>0.7774529565685526</v>
      </c>
      <c r="N1275" s="1">
        <f>COUNTIF($M$1234:$M$1289,"&gt;"&amp;M1275)+COUNTIF($M$1234:M1275,M1275)</f>
        <v>17</v>
      </c>
      <c r="O1275" s="1">
        <f>J1275+L1275+IF(N1275&lt;=I1275-SUM($J$1234:$J$1289)-SUM($L$1234:$L$1289),1,0)</f>
        <v>26</v>
      </c>
    </row>
    <row r="1276" spans="1:15">
      <c r="A1276" s="1" t="s">
        <v>74</v>
      </c>
      <c r="B1276" s="1" t="s">
        <v>76</v>
      </c>
      <c r="C1276" s="1" t="s">
        <v>50</v>
      </c>
      <c r="D1276" s="1" t="s">
        <v>49</v>
      </c>
      <c r="E1276" s="1" t="s">
        <v>40</v>
      </c>
      <c r="F1276" s="1" t="s">
        <v>41</v>
      </c>
      <c r="G1276" s="1">
        <v>10184</v>
      </c>
      <c r="H1276" s="1">
        <f>'1_Departamento_n'!C24</f>
        <v>319492</v>
      </c>
      <c r="I1276" s="1">
        <f>'1_Departamento_n'!H24</f>
        <v>1309</v>
      </c>
      <c r="J1276" s="1">
        <f>'0_Parametros'!B7</f>
        <v>10</v>
      </c>
      <c r="K1276" s="3">
        <f>(I1276-SUM($J$1234:$J$1289))*G1276/H1276</f>
        <v>23.874826286730183</v>
      </c>
      <c r="L1276" s="1">
        <f>INT(K1276)</f>
        <v>23</v>
      </c>
      <c r="M1276" s="3">
        <f>K1276-L1276</f>
        <v>0.8748262867301833</v>
      </c>
      <c r="N1276" s="1">
        <f>COUNTIF($M$1234:$M$1289,"&gt;"&amp;M1276)+COUNTIF($M$1234:M1276,M1276)</f>
        <v>13</v>
      </c>
      <c r="O1276" s="1">
        <f>J1276+L1276+IF(N1276&lt;=I1276-SUM($J$1234:$J$1289)-SUM($L$1234:$L$1289),1,0)</f>
        <v>34</v>
      </c>
    </row>
    <row r="1277" spans="1:15">
      <c r="A1277" s="1" t="s">
        <v>74</v>
      </c>
      <c r="B1277" s="1" t="s">
        <v>76</v>
      </c>
      <c r="C1277" s="1" t="s">
        <v>50</v>
      </c>
      <c r="D1277" s="1" t="s">
        <v>49</v>
      </c>
      <c r="E1277" s="1" t="s">
        <v>40</v>
      </c>
      <c r="F1277" s="1" t="s">
        <v>42</v>
      </c>
      <c r="G1277" s="1">
        <v>11668</v>
      </c>
      <c r="H1277" s="1">
        <f>'1_Departamento_n'!C24</f>
        <v>319492</v>
      </c>
      <c r="I1277" s="1">
        <f>'1_Departamento_n'!H24</f>
        <v>1309</v>
      </c>
      <c r="J1277" s="1">
        <f>'0_Parametros'!B7</f>
        <v>10</v>
      </c>
      <c r="K1277" s="3">
        <f>(I1277-SUM($J$1234:$J$1289))*G1277/H1277</f>
        <v>27.35383671578631</v>
      </c>
      <c r="L1277" s="1">
        <f>INT(K1277)</f>
        <v>27</v>
      </c>
      <c r="M1277" s="3">
        <f>K1277-L1277</f>
        <v>0.3538367157863114</v>
      </c>
      <c r="N1277" s="1">
        <f>COUNTIF($M$1234:$M$1289,"&gt;"&amp;M1277)+COUNTIF($M$1234:M1277,M1277)</f>
        <v>40</v>
      </c>
      <c r="O1277" s="1">
        <f>J1277+L1277+IF(N1277&lt;=I1277-SUM($J$1234:$J$1289)-SUM($L$1234:$L$1289),1,0)</f>
        <v>37</v>
      </c>
    </row>
    <row r="1278" spans="1:15">
      <c r="A1278" s="1" t="s">
        <v>74</v>
      </c>
      <c r="B1278" s="1" t="s">
        <v>76</v>
      </c>
      <c r="C1278" s="1" t="s">
        <v>50</v>
      </c>
      <c r="D1278" s="1" t="s">
        <v>49</v>
      </c>
      <c r="E1278" s="1" t="s">
        <v>43</v>
      </c>
      <c r="F1278" s="1" t="s">
        <v>41</v>
      </c>
      <c r="G1278" s="1">
        <v>14053</v>
      </c>
      <c r="H1278" s="1">
        <f>'1_Departamento_n'!C24</f>
        <v>319492</v>
      </c>
      <c r="I1278" s="1">
        <f>'1_Departamento_n'!H24</f>
        <v>1309</v>
      </c>
      <c r="J1278" s="1">
        <f>'0_Parametros'!B7</f>
        <v>10</v>
      </c>
      <c r="K1278" s="3">
        <f>(I1278-SUM($J$1234:$J$1289))*G1278/H1278</f>
        <v>32.94510347676937</v>
      </c>
      <c r="L1278" s="1">
        <f>INT(K1278)</f>
        <v>32</v>
      </c>
      <c r="M1278" s="3">
        <f>K1278-L1278</f>
        <v>0.9451034767693685</v>
      </c>
      <c r="N1278" s="1">
        <f>COUNTIF($M$1234:$M$1289,"&gt;"&amp;M1278)+COUNTIF($M$1234:M1278,M1278)</f>
        <v>6</v>
      </c>
      <c r="O1278" s="1">
        <f>J1278+L1278+IF(N1278&lt;=I1278-SUM($J$1234:$J$1289)-SUM($L$1234:$L$1289),1,0)</f>
        <v>43</v>
      </c>
    </row>
    <row r="1279" spans="1:15">
      <c r="A1279" s="1" t="s">
        <v>74</v>
      </c>
      <c r="B1279" s="1" t="s">
        <v>76</v>
      </c>
      <c r="C1279" s="1" t="s">
        <v>50</v>
      </c>
      <c r="D1279" s="1" t="s">
        <v>49</v>
      </c>
      <c r="E1279" s="1" t="s">
        <v>43</v>
      </c>
      <c r="F1279" s="1" t="s">
        <v>42</v>
      </c>
      <c r="G1279" s="1">
        <v>11405</v>
      </c>
      <c r="H1279" s="1">
        <f>'1_Departamento_n'!C24</f>
        <v>319492</v>
      </c>
      <c r="I1279" s="1">
        <f>'1_Departamento_n'!H24</f>
        <v>1309</v>
      </c>
      <c r="J1279" s="1">
        <f>'0_Parametros'!B7</f>
        <v>10</v>
      </c>
      <c r="K1279" s="3">
        <f>(I1279-SUM($J$1234:$J$1289))*G1279/H1279</f>
        <v>26.737273546755475</v>
      </c>
      <c r="L1279" s="1">
        <f>INT(K1279)</f>
        <v>26</v>
      </c>
      <c r="M1279" s="3">
        <f>K1279-L1279</f>
        <v>0.7372735467554747</v>
      </c>
      <c r="N1279" s="1">
        <f>COUNTIF($M$1234:$M$1289,"&gt;"&amp;M1279)+COUNTIF($M$1234:M1279,M1279)</f>
        <v>22</v>
      </c>
      <c r="O1279" s="1">
        <f>J1279+L1279+IF(N1279&lt;=I1279-SUM($J$1234:$J$1289)-SUM($L$1234:$L$1289),1,0)</f>
        <v>37</v>
      </c>
    </row>
    <row r="1280" spans="1:15">
      <c r="A1280" s="1" t="s">
        <v>74</v>
      </c>
      <c r="B1280" s="1" t="s">
        <v>76</v>
      </c>
      <c r="C1280" s="1" t="s">
        <v>50</v>
      </c>
      <c r="D1280" s="1" t="s">
        <v>49</v>
      </c>
      <c r="E1280" s="1" t="s">
        <v>44</v>
      </c>
      <c r="F1280" s="1" t="s">
        <v>41</v>
      </c>
      <c r="G1280" s="1">
        <v>9852</v>
      </c>
      <c r="H1280" s="1">
        <f>'1_Departamento_n'!C24</f>
        <v>319492</v>
      </c>
      <c r="I1280" s="1">
        <f>'1_Departamento_n'!H24</f>
        <v>1309</v>
      </c>
      <c r="J1280" s="1">
        <f>'0_Parametros'!B7</f>
        <v>10</v>
      </c>
      <c r="K1280" s="3">
        <f>(I1280-SUM($J$1234:$J$1289))*G1280/H1280</f>
        <v>23.096503198828138</v>
      </c>
      <c r="L1280" s="1">
        <f>INT(K1280)</f>
        <v>23</v>
      </c>
      <c r="M1280" s="3">
        <f>K1280-L1280</f>
        <v>0.09650319882813818</v>
      </c>
      <c r="N1280" s="1">
        <f>COUNTIF($M$1234:$M$1289,"&gt;"&amp;M1280)+COUNTIF($M$1234:M1280,M1280)</f>
        <v>52</v>
      </c>
      <c r="O1280" s="1">
        <f>J1280+L1280+IF(N1280&lt;=I1280-SUM($J$1234:$J$1289)-SUM($L$1234:$L$1289),1,0)</f>
        <v>33</v>
      </c>
    </row>
    <row r="1281" spans="1:15">
      <c r="A1281" s="1" t="s">
        <v>74</v>
      </c>
      <c r="B1281" s="1" t="s">
        <v>76</v>
      </c>
      <c r="C1281" s="1" t="s">
        <v>50</v>
      </c>
      <c r="D1281" s="1" t="s">
        <v>49</v>
      </c>
      <c r="E1281" s="1" t="s">
        <v>44</v>
      </c>
      <c r="F1281" s="1" t="s">
        <v>42</v>
      </c>
      <c r="G1281" s="1">
        <v>8293</v>
      </c>
      <c r="H1281" s="1">
        <f>'1_Departamento_n'!C24</f>
        <v>319492</v>
      </c>
      <c r="I1281" s="1">
        <f>'1_Departamento_n'!H24</f>
        <v>1309</v>
      </c>
      <c r="J1281" s="1">
        <f>'0_Parametros'!B7</f>
        <v>10</v>
      </c>
      <c r="K1281" s="3">
        <f>(I1281-SUM($J$1234:$J$1289))*G1281/H1281</f>
        <v>19.44166677099896</v>
      </c>
      <c r="L1281" s="1">
        <f>INT(K1281)</f>
        <v>19</v>
      </c>
      <c r="M1281" s="3">
        <f>K1281-L1281</f>
        <v>0.44166677099896035</v>
      </c>
      <c r="N1281" s="1">
        <f>COUNTIF($M$1234:$M$1289,"&gt;"&amp;M1281)+COUNTIF($M$1234:M1281,M1281)</f>
        <v>38</v>
      </c>
      <c r="O1281" s="1">
        <f>J1281+L1281+IF(N1281&lt;=I1281-SUM($J$1234:$J$1289)-SUM($L$1234:$L$1289),1,0)</f>
        <v>29</v>
      </c>
    </row>
    <row r="1282" spans="1:15">
      <c r="A1282" s="1" t="s">
        <v>74</v>
      </c>
      <c r="B1282" s="1" t="s">
        <v>76</v>
      </c>
      <c r="C1282" s="1" t="s">
        <v>50</v>
      </c>
      <c r="D1282" s="1" t="s">
        <v>49</v>
      </c>
      <c r="E1282" s="1" t="s">
        <v>45</v>
      </c>
      <c r="F1282" s="1" t="s">
        <v>41</v>
      </c>
      <c r="G1282" s="1">
        <v>9178</v>
      </c>
      <c r="H1282" s="1">
        <f>'1_Departamento_n'!C24</f>
        <v>319492</v>
      </c>
      <c r="I1282" s="1">
        <f>'1_Departamento_n'!H24</f>
        <v>1309</v>
      </c>
      <c r="J1282" s="1">
        <f>'0_Parametros'!B7</f>
        <v>10</v>
      </c>
      <c r="K1282" s="3">
        <f>(I1282-SUM($J$1234:$J$1289))*G1282/H1282</f>
        <v>21.516413556520977</v>
      </c>
      <c r="L1282" s="1">
        <f>INT(K1282)</f>
        <v>21</v>
      </c>
      <c r="M1282" s="3">
        <f>K1282-L1282</f>
        <v>0.5164135565209769</v>
      </c>
      <c r="N1282" s="1">
        <f>COUNTIF($M$1234:$M$1289,"&gt;"&amp;M1282)+COUNTIF($M$1234:M1282,M1282)</f>
        <v>36</v>
      </c>
      <c r="O1282" s="1">
        <f>J1282+L1282+IF(N1282&lt;=I1282-SUM($J$1234:$J$1289)-SUM($L$1234:$L$1289),1,0)</f>
        <v>31</v>
      </c>
    </row>
    <row r="1283" spans="1:15">
      <c r="A1283" s="1" t="s">
        <v>74</v>
      </c>
      <c r="B1283" s="1" t="s">
        <v>76</v>
      </c>
      <c r="C1283" s="1" t="s">
        <v>50</v>
      </c>
      <c r="D1283" s="1" t="s">
        <v>49</v>
      </c>
      <c r="E1283" s="1" t="s">
        <v>45</v>
      </c>
      <c r="F1283" s="1" t="s">
        <v>42</v>
      </c>
      <c r="G1283" s="1">
        <v>8538</v>
      </c>
      <c r="H1283" s="1">
        <f>'1_Departamento_n'!C24</f>
        <v>319492</v>
      </c>
      <c r="I1283" s="1">
        <f>'1_Departamento_n'!H24</f>
        <v>1309</v>
      </c>
      <c r="J1283" s="1">
        <f>'0_Parametros'!B7</f>
        <v>10</v>
      </c>
      <c r="K1283" s="3">
        <f>(I1283-SUM($J$1234:$J$1289))*G1283/H1283</f>
        <v>20.016031700324266</v>
      </c>
      <c r="L1283" s="1">
        <f>INT(K1283)</f>
        <v>20</v>
      </c>
      <c r="M1283" s="3">
        <f>K1283-L1283</f>
        <v>0.01603170032426604</v>
      </c>
      <c r="N1283" s="1">
        <f>COUNTIF($M$1234:$M$1289,"&gt;"&amp;M1283)+COUNTIF($M$1234:M1283,M1283)</f>
        <v>55</v>
      </c>
      <c r="O1283" s="1">
        <f>J1283+L1283+IF(N1283&lt;=I1283-SUM($J$1234:$J$1289)-SUM($L$1234:$L$1289),1,0)</f>
        <v>30</v>
      </c>
    </row>
    <row r="1284" spans="1:15">
      <c r="A1284" s="1" t="s">
        <v>74</v>
      </c>
      <c r="B1284" s="1" t="s">
        <v>76</v>
      </c>
      <c r="C1284" s="1" t="s">
        <v>50</v>
      </c>
      <c r="D1284" s="1" t="s">
        <v>49</v>
      </c>
      <c r="E1284" s="1" t="s">
        <v>46</v>
      </c>
      <c r="F1284" s="1" t="s">
        <v>41</v>
      </c>
      <c r="G1284" s="1">
        <v>7887</v>
      </c>
      <c r="H1284" s="1">
        <f>'1_Departamento_n'!C24</f>
        <v>319492</v>
      </c>
      <c r="I1284" s="1">
        <f>'1_Departamento_n'!H24</f>
        <v>1309</v>
      </c>
      <c r="J1284" s="1">
        <f>'0_Parametros'!B7</f>
        <v>10</v>
      </c>
      <c r="K1284" s="3">
        <f>(I1284-SUM($J$1234:$J$1289))*G1284/H1284</f>
        <v>18.489862030974173</v>
      </c>
      <c r="L1284" s="1">
        <f>INT(K1284)</f>
        <v>18</v>
      </c>
      <c r="M1284" s="3">
        <f>K1284-L1284</f>
        <v>0.489862030974173</v>
      </c>
      <c r="N1284" s="1">
        <f>COUNTIF($M$1234:$M$1289,"&gt;"&amp;M1284)+COUNTIF($M$1234:M1284,M1284)</f>
        <v>37</v>
      </c>
      <c r="O1284" s="1">
        <f>J1284+L1284+IF(N1284&lt;=I1284-SUM($J$1234:$J$1289)-SUM($L$1234:$L$1289),1,0)</f>
        <v>28</v>
      </c>
    </row>
    <row r="1285" spans="1:15">
      <c r="A1285" s="1" t="s">
        <v>74</v>
      </c>
      <c r="B1285" s="1" t="s">
        <v>76</v>
      </c>
      <c r="C1285" s="1" t="s">
        <v>50</v>
      </c>
      <c r="D1285" s="1" t="s">
        <v>49</v>
      </c>
      <c r="E1285" s="1" t="s">
        <v>46</v>
      </c>
      <c r="F1285" s="1" t="s">
        <v>42</v>
      </c>
      <c r="G1285" s="1">
        <v>7533</v>
      </c>
      <c r="H1285" s="1">
        <f>'1_Departamento_n'!C24</f>
        <v>319492</v>
      </c>
      <c r="I1285" s="1">
        <f>'1_Departamento_n'!H24</f>
        <v>1309</v>
      </c>
      <c r="J1285" s="1">
        <f>'0_Parametros'!B7</f>
        <v>10</v>
      </c>
      <c r="K1285" s="3">
        <f>(I1285-SUM($J$1234:$J$1289))*G1285/H1285</f>
        <v>17.659963316765364</v>
      </c>
      <c r="L1285" s="1">
        <f>INT(K1285)</f>
        <v>17</v>
      </c>
      <c r="M1285" s="3">
        <f>K1285-L1285</f>
        <v>0.6599633167653636</v>
      </c>
      <c r="N1285" s="1">
        <f>COUNTIF($M$1234:$M$1289,"&gt;"&amp;M1285)+COUNTIF($M$1234:M1285,M1285)</f>
        <v>28</v>
      </c>
      <c r="O1285" s="1">
        <f>J1285+L1285+IF(N1285&lt;=I1285-SUM($J$1234:$J$1289)-SUM($L$1234:$L$1289),1,0)</f>
        <v>28</v>
      </c>
    </row>
    <row r="1286" spans="1:15">
      <c r="A1286" s="1" t="s">
        <v>74</v>
      </c>
      <c r="B1286" s="1" t="s">
        <v>76</v>
      </c>
      <c r="C1286" s="1" t="s">
        <v>50</v>
      </c>
      <c r="D1286" s="1" t="s">
        <v>49</v>
      </c>
      <c r="E1286" s="1" t="s">
        <v>47</v>
      </c>
      <c r="F1286" s="1" t="s">
        <v>41</v>
      </c>
      <c r="G1286" s="1">
        <v>6780</v>
      </c>
      <c r="H1286" s="1">
        <f>'1_Departamento_n'!C24</f>
        <v>319492</v>
      </c>
      <c r="I1286" s="1">
        <f>'1_Departamento_n'!H24</f>
        <v>1309</v>
      </c>
      <c r="J1286" s="1">
        <f>'0_Parametros'!B7</f>
        <v>10</v>
      </c>
      <c r="K1286" s="3">
        <f>(I1286-SUM($J$1234:$J$1289))*G1286/H1286</f>
        <v>15.89467028908392</v>
      </c>
      <c r="L1286" s="1">
        <f>INT(K1286)</f>
        <v>15</v>
      </c>
      <c r="M1286" s="3">
        <f>K1286-L1286</f>
        <v>0.8946702890839209</v>
      </c>
      <c r="N1286" s="1">
        <f>COUNTIF($M$1234:$M$1289,"&gt;"&amp;M1286)+COUNTIF($M$1234:M1286,M1286)</f>
        <v>10</v>
      </c>
      <c r="O1286" s="1">
        <f>J1286+L1286+IF(N1286&lt;=I1286-SUM($J$1234:$J$1289)-SUM($L$1234:$L$1289),1,0)</f>
        <v>26</v>
      </c>
    </row>
    <row r="1287" spans="1:15">
      <c r="A1287" s="1" t="s">
        <v>74</v>
      </c>
      <c r="B1287" s="1" t="s">
        <v>76</v>
      </c>
      <c r="C1287" s="1" t="s">
        <v>50</v>
      </c>
      <c r="D1287" s="1" t="s">
        <v>49</v>
      </c>
      <c r="E1287" s="1" t="s">
        <v>47</v>
      </c>
      <c r="F1287" s="1" t="s">
        <v>42</v>
      </c>
      <c r="G1287" s="1">
        <v>6024</v>
      </c>
      <c r="H1287" s="1">
        <f>'1_Departamento_n'!C24</f>
        <v>319492</v>
      </c>
      <c r="I1287" s="1">
        <f>'1_Departamento_n'!H24</f>
        <v>1309</v>
      </c>
      <c r="J1287" s="1">
        <f>'0_Parametros'!B7</f>
        <v>10</v>
      </c>
      <c r="K1287" s="3">
        <f>(I1287-SUM($J$1234:$J$1289))*G1287/H1287</f>
        <v>14.122344221451554</v>
      </c>
      <c r="L1287" s="1">
        <f>INT(K1287)</f>
        <v>14</v>
      </c>
      <c r="M1287" s="3">
        <f>K1287-L1287</f>
        <v>0.12234422145155399</v>
      </c>
      <c r="N1287" s="1">
        <f>COUNTIF($M$1234:$M$1289,"&gt;"&amp;M1287)+COUNTIF($M$1234:M1287,M1287)</f>
        <v>50</v>
      </c>
      <c r="O1287" s="1">
        <f>J1287+L1287+IF(N1287&lt;=I1287-SUM($J$1234:$J$1289)-SUM($L$1234:$L$1289),1,0)</f>
        <v>24</v>
      </c>
    </row>
    <row r="1288" spans="1:15">
      <c r="A1288" s="1" t="s">
        <v>74</v>
      </c>
      <c r="B1288" s="1" t="s">
        <v>76</v>
      </c>
      <c r="C1288" s="1" t="s">
        <v>50</v>
      </c>
      <c r="D1288" s="1" t="s">
        <v>49</v>
      </c>
      <c r="E1288" s="1" t="s">
        <v>48</v>
      </c>
      <c r="F1288" s="1" t="s">
        <v>41</v>
      </c>
      <c r="G1288" s="1">
        <v>10140</v>
      </c>
      <c r="H1288" s="1">
        <f>'1_Departamento_n'!C24</f>
        <v>319492</v>
      </c>
      <c r="I1288" s="1">
        <f>'1_Departamento_n'!H24</f>
        <v>1309</v>
      </c>
      <c r="J1288" s="1">
        <f>'0_Parametros'!B7</f>
        <v>10</v>
      </c>
      <c r="K1288" s="3">
        <f>(I1288-SUM($J$1234:$J$1289))*G1288/H1288</f>
        <v>23.77167503411666</v>
      </c>
      <c r="L1288" s="1">
        <f>INT(K1288)</f>
        <v>23</v>
      </c>
      <c r="M1288" s="3">
        <f>K1288-L1288</f>
        <v>0.7716750341166616</v>
      </c>
      <c r="N1288" s="1">
        <f>COUNTIF($M$1234:$M$1289,"&gt;"&amp;M1288)+COUNTIF($M$1234:M1288,M1288)</f>
        <v>18</v>
      </c>
      <c r="O1288" s="1">
        <f>J1288+L1288+IF(N1288&lt;=I1288-SUM($J$1234:$J$1289)-SUM($L$1234:$L$1289),1,0)</f>
        <v>34</v>
      </c>
    </row>
    <row r="1289" spans="1:15">
      <c r="A1289" s="1" t="s">
        <v>74</v>
      </c>
      <c r="B1289" s="1" t="s">
        <v>76</v>
      </c>
      <c r="C1289" s="1" t="s">
        <v>50</v>
      </c>
      <c r="D1289" s="1" t="s">
        <v>49</v>
      </c>
      <c r="E1289" s="1" t="s">
        <v>48</v>
      </c>
      <c r="F1289" s="1" t="s">
        <v>42</v>
      </c>
      <c r="G1289" s="1">
        <v>8896</v>
      </c>
      <c r="H1289" s="1">
        <f>'1_Departamento_n'!C24</f>
        <v>319492</v>
      </c>
      <c r="I1289" s="1">
        <f>'1_Departamento_n'!H24</f>
        <v>1309</v>
      </c>
      <c r="J1289" s="1">
        <f>'0_Parametros'!B7</f>
        <v>10</v>
      </c>
      <c r="K1289" s="3">
        <f>(I1289-SUM($J$1234:$J$1289))*G1289/H1289</f>
        <v>20.855307801134302</v>
      </c>
      <c r="L1289" s="1">
        <f>INT(K1289)</f>
        <v>20</v>
      </c>
      <c r="M1289" s="3">
        <f>K1289-L1289</f>
        <v>0.8553078011343018</v>
      </c>
      <c r="N1289" s="1">
        <f>COUNTIF($M$1234:$M$1289,"&gt;"&amp;M1289)+COUNTIF($M$1234:M1289,M1289)</f>
        <v>14</v>
      </c>
      <c r="O1289" s="1">
        <f>J1289+L1289+IF(N1289&lt;=I1289-SUM($J$1234:$J$1289)-SUM($L$1234:$L$1289),1,0)</f>
        <v>31</v>
      </c>
    </row>
    <row r="1290" spans="1:15">
      <c r="A1290" s="1" t="s">
        <v>74</v>
      </c>
      <c r="B1290" s="1" t="s">
        <v>77</v>
      </c>
      <c r="C1290" s="1" t="s">
        <v>38</v>
      </c>
      <c r="D1290" s="1" t="s">
        <v>39</v>
      </c>
      <c r="E1290" s="1" t="s">
        <v>40</v>
      </c>
      <c r="F1290" s="1" t="s">
        <v>41</v>
      </c>
      <c r="G1290" s="1">
        <v>6649</v>
      </c>
      <c r="H1290" s="1">
        <f>'1_Departamento_n'!C25</f>
        <v>434332</v>
      </c>
      <c r="I1290" s="1">
        <f>'1_Departamento_n'!H25</f>
        <v>1310</v>
      </c>
      <c r="J1290" s="1">
        <f>'0_Parametros'!B7</f>
        <v>10</v>
      </c>
      <c r="K1290" s="3">
        <f>(I1290-SUM($J$1290:$J$1345))*G1290/H1290</f>
        <v>11.48142434819447</v>
      </c>
      <c r="L1290" s="1">
        <f>INT(K1290)</f>
        <v>11</v>
      </c>
      <c r="M1290" s="3">
        <f>K1290-L1290</f>
        <v>0.48142434819446933</v>
      </c>
      <c r="N1290" s="1">
        <f>COUNTIF($M$1290:$M$1345,"&gt;"&amp;M1290)+COUNTIF($M$1290:M1290,M1290)</f>
        <v>30</v>
      </c>
      <c r="O1290" s="1">
        <f>J1290+L1290+IF(N1290&lt;=I1290-SUM($J$1290:$J$1345)-SUM($L$1290:$L$1345),1,0)</f>
        <v>22</v>
      </c>
    </row>
    <row r="1291" spans="1:15">
      <c r="A1291" s="1" t="s">
        <v>74</v>
      </c>
      <c r="B1291" s="1" t="s">
        <v>77</v>
      </c>
      <c r="C1291" s="1" t="s">
        <v>38</v>
      </c>
      <c r="D1291" s="1" t="s">
        <v>39</v>
      </c>
      <c r="E1291" s="1" t="s">
        <v>40</v>
      </c>
      <c r="F1291" s="1" t="s">
        <v>42</v>
      </c>
      <c r="G1291" s="1">
        <v>2130</v>
      </c>
      <c r="H1291" s="1">
        <f>'1_Departamento_n'!C25</f>
        <v>434332</v>
      </c>
      <c r="I1291" s="1">
        <f>'1_Departamento_n'!H25</f>
        <v>1310</v>
      </c>
      <c r="J1291" s="1">
        <f>'0_Parametros'!B7</f>
        <v>10</v>
      </c>
      <c r="K1291" s="3">
        <f>(I1291-SUM($J$1290:$J$1345))*G1291/H1291</f>
        <v>3.678061943398138</v>
      </c>
      <c r="L1291" s="1">
        <f>INT(K1291)</f>
        <v>3</v>
      </c>
      <c r="M1291" s="3">
        <f>K1291-L1291</f>
        <v>0.6780619433981379</v>
      </c>
      <c r="N1291" s="1">
        <f>COUNTIF($M$1290:$M$1345,"&gt;"&amp;M1291)+COUNTIF($M$1290:M1291,M1291)</f>
        <v>20</v>
      </c>
      <c r="O1291" s="1">
        <f>J1291+L1291+IF(N1291&lt;=I1291-SUM($J$1290:$J$1345)-SUM($L$1290:$L$1345),1,0)</f>
        <v>14</v>
      </c>
    </row>
    <row r="1292" spans="1:15">
      <c r="A1292" s="1" t="s">
        <v>74</v>
      </c>
      <c r="B1292" s="1" t="s">
        <v>77</v>
      </c>
      <c r="C1292" s="1" t="s">
        <v>38</v>
      </c>
      <c r="D1292" s="1" t="s">
        <v>39</v>
      </c>
      <c r="E1292" s="1" t="s">
        <v>43</v>
      </c>
      <c r="F1292" s="1" t="s">
        <v>41</v>
      </c>
      <c r="G1292" s="1">
        <v>9272</v>
      </c>
      <c r="H1292" s="1">
        <f>'1_Departamento_n'!C25</f>
        <v>434332</v>
      </c>
      <c r="I1292" s="1">
        <f>'1_Departamento_n'!H25</f>
        <v>1310</v>
      </c>
      <c r="J1292" s="1">
        <f>'0_Parametros'!B7</f>
        <v>10</v>
      </c>
      <c r="K1292" s="3">
        <f>(I1292-SUM($J$1290:$J$1345))*G1292/H1292</f>
        <v>16.01079358647302</v>
      </c>
      <c r="L1292" s="1">
        <f>INT(K1292)</f>
        <v>16</v>
      </c>
      <c r="M1292" s="3">
        <f>K1292-L1292</f>
        <v>0.010793586473020866</v>
      </c>
      <c r="N1292" s="1">
        <f>COUNTIF($M$1290:$M$1345,"&gt;"&amp;M1292)+COUNTIF($M$1290:M1292,M1292)</f>
        <v>56</v>
      </c>
      <c r="O1292" s="1">
        <f>J1292+L1292+IF(N1292&lt;=I1292-SUM($J$1290:$J$1345)-SUM($L$1290:$L$1345),1,0)</f>
        <v>26</v>
      </c>
    </row>
    <row r="1293" spans="1:15">
      <c r="A1293" s="1" t="s">
        <v>74</v>
      </c>
      <c r="B1293" s="1" t="s">
        <v>77</v>
      </c>
      <c r="C1293" s="1" t="s">
        <v>38</v>
      </c>
      <c r="D1293" s="1" t="s">
        <v>39</v>
      </c>
      <c r="E1293" s="1" t="s">
        <v>43</v>
      </c>
      <c r="F1293" s="1" t="s">
        <v>42</v>
      </c>
      <c r="G1293" s="1">
        <v>2053</v>
      </c>
      <c r="H1293" s="1">
        <f>'1_Departamento_n'!C25</f>
        <v>434332</v>
      </c>
      <c r="I1293" s="1">
        <f>'1_Departamento_n'!H25</f>
        <v>1310</v>
      </c>
      <c r="J1293" s="1">
        <f>'0_Parametros'!B7</f>
        <v>10</v>
      </c>
      <c r="K1293" s="3">
        <f>(I1293-SUM($J$1290:$J$1345))*G1293/H1293</f>
        <v>3.545099140749473</v>
      </c>
      <c r="L1293" s="1">
        <f>INT(K1293)</f>
        <v>3</v>
      </c>
      <c r="M1293" s="3">
        <f>K1293-L1293</f>
        <v>0.545099140749473</v>
      </c>
      <c r="N1293" s="1">
        <f>COUNTIF($M$1290:$M$1345,"&gt;"&amp;M1293)+COUNTIF($M$1290:M1293,M1293)</f>
        <v>27</v>
      </c>
      <c r="O1293" s="1">
        <f>J1293+L1293+IF(N1293&lt;=I1293-SUM($J$1290:$J$1345)-SUM($L$1290:$L$1345),1,0)</f>
        <v>14</v>
      </c>
    </row>
    <row r="1294" spans="1:15">
      <c r="A1294" s="1" t="s">
        <v>74</v>
      </c>
      <c r="B1294" s="1" t="s">
        <v>77</v>
      </c>
      <c r="C1294" s="1" t="s">
        <v>38</v>
      </c>
      <c r="D1294" s="1" t="s">
        <v>39</v>
      </c>
      <c r="E1294" s="1" t="s">
        <v>44</v>
      </c>
      <c r="F1294" s="1" t="s">
        <v>41</v>
      </c>
      <c r="G1294" s="1">
        <v>10358</v>
      </c>
      <c r="H1294" s="1">
        <f>'1_Departamento_n'!C25</f>
        <v>434332</v>
      </c>
      <c r="I1294" s="1">
        <f>'1_Departamento_n'!H25</f>
        <v>1310</v>
      </c>
      <c r="J1294" s="1">
        <f>'0_Parametros'!B7</f>
        <v>10</v>
      </c>
      <c r="K1294" s="3">
        <f>(I1294-SUM($J$1290:$J$1345))*G1294/H1294</f>
        <v>17.886087140712636</v>
      </c>
      <c r="L1294" s="1">
        <f>INT(K1294)</f>
        <v>17</v>
      </c>
      <c r="M1294" s="3">
        <f>K1294-L1294</f>
        <v>0.8860871407126361</v>
      </c>
      <c r="N1294" s="1">
        <f>COUNTIF($M$1290:$M$1345,"&gt;"&amp;M1294)+COUNTIF($M$1290:M1294,M1294)</f>
        <v>9</v>
      </c>
      <c r="O1294" s="1">
        <f>J1294+L1294+IF(N1294&lt;=I1294-SUM($J$1290:$J$1345)-SUM($L$1290:$L$1345),1,0)</f>
        <v>28</v>
      </c>
    </row>
    <row r="1295" spans="1:15">
      <c r="A1295" s="1" t="s">
        <v>74</v>
      </c>
      <c r="B1295" s="1" t="s">
        <v>77</v>
      </c>
      <c r="C1295" s="1" t="s">
        <v>38</v>
      </c>
      <c r="D1295" s="1" t="s">
        <v>39</v>
      </c>
      <c r="E1295" s="1" t="s">
        <v>44</v>
      </c>
      <c r="F1295" s="1" t="s">
        <v>42</v>
      </c>
      <c r="G1295" s="1">
        <v>2833</v>
      </c>
      <c r="H1295" s="1">
        <f>'1_Departamento_n'!C25</f>
        <v>434332</v>
      </c>
      <c r="I1295" s="1">
        <f>'1_Departamento_n'!H25</f>
        <v>1310</v>
      </c>
      <c r="J1295" s="1">
        <f>'0_Parametros'!B7</f>
        <v>10</v>
      </c>
      <c r="K1295" s="3">
        <f>(I1295-SUM($J$1290:$J$1345))*G1295/H1295</f>
        <v>4.891995063684002</v>
      </c>
      <c r="L1295" s="1">
        <f>INT(K1295)</f>
        <v>4</v>
      </c>
      <c r="M1295" s="3">
        <f>K1295-L1295</f>
        <v>0.8919950636840017</v>
      </c>
      <c r="N1295" s="1">
        <f>COUNTIF($M$1290:$M$1345,"&gt;"&amp;M1295)+COUNTIF($M$1290:M1295,M1295)</f>
        <v>8</v>
      </c>
      <c r="O1295" s="1">
        <f>J1295+L1295+IF(N1295&lt;=I1295-SUM($J$1290:$J$1345)-SUM($L$1290:$L$1345),1,0)</f>
        <v>15</v>
      </c>
    </row>
    <row r="1296" spans="1:15">
      <c r="A1296" s="1" t="s">
        <v>74</v>
      </c>
      <c r="B1296" s="1" t="s">
        <v>77</v>
      </c>
      <c r="C1296" s="1" t="s">
        <v>38</v>
      </c>
      <c r="D1296" s="1" t="s">
        <v>39</v>
      </c>
      <c r="E1296" s="1" t="s">
        <v>45</v>
      </c>
      <c r="F1296" s="1" t="s">
        <v>41</v>
      </c>
      <c r="G1296" s="1">
        <v>13600</v>
      </c>
      <c r="H1296" s="1">
        <f>'1_Departamento_n'!C25</f>
        <v>434332</v>
      </c>
      <c r="I1296" s="1">
        <f>'1_Departamento_n'!H25</f>
        <v>1310</v>
      </c>
      <c r="J1296" s="1">
        <f>'0_Parametros'!B7</f>
        <v>10</v>
      </c>
      <c r="K1296" s="3">
        <f>(I1296-SUM($J$1290:$J$1345))*G1296/H1296</f>
        <v>23.48433916911487</v>
      </c>
      <c r="L1296" s="1">
        <f>INT(K1296)</f>
        <v>23</v>
      </c>
      <c r="M1296" s="3">
        <f>K1296-L1296</f>
        <v>0.48433916911487174</v>
      </c>
      <c r="N1296" s="1">
        <f>COUNTIF($M$1290:$M$1345,"&gt;"&amp;M1296)+COUNTIF($M$1290:M1296,M1296)</f>
        <v>29</v>
      </c>
      <c r="O1296" s="1">
        <f>J1296+L1296+IF(N1296&lt;=I1296-SUM($J$1290:$J$1345)-SUM($L$1290:$L$1345),1,0)</f>
        <v>34</v>
      </c>
    </row>
    <row r="1297" spans="1:15">
      <c r="A1297" s="1" t="s">
        <v>74</v>
      </c>
      <c r="B1297" s="1" t="s">
        <v>77</v>
      </c>
      <c r="C1297" s="1" t="s">
        <v>38</v>
      </c>
      <c r="D1297" s="1" t="s">
        <v>39</v>
      </c>
      <c r="E1297" s="1" t="s">
        <v>45</v>
      </c>
      <c r="F1297" s="1" t="s">
        <v>42</v>
      </c>
      <c r="G1297" s="1">
        <v>2917</v>
      </c>
      <c r="H1297" s="1">
        <f>'1_Departamento_n'!C25</f>
        <v>434332</v>
      </c>
      <c r="I1297" s="1">
        <f>'1_Departamento_n'!H25</f>
        <v>1310</v>
      </c>
      <c r="J1297" s="1">
        <f>'0_Parametros'!B7</f>
        <v>10</v>
      </c>
      <c r="K1297" s="3">
        <f>(I1297-SUM($J$1290:$J$1345))*G1297/H1297</f>
        <v>5.037045393846182</v>
      </c>
      <c r="L1297" s="1">
        <f>INT(K1297)</f>
        <v>5</v>
      </c>
      <c r="M1297" s="3">
        <f>K1297-L1297</f>
        <v>0.03704539384618233</v>
      </c>
      <c r="N1297" s="1">
        <f>COUNTIF($M$1290:$M$1345,"&gt;"&amp;M1297)+COUNTIF($M$1290:M1297,M1297)</f>
        <v>55</v>
      </c>
      <c r="O1297" s="1">
        <f>J1297+L1297+IF(N1297&lt;=I1297-SUM($J$1290:$J$1345)-SUM($L$1290:$L$1345),1,0)</f>
        <v>15</v>
      </c>
    </row>
    <row r="1298" spans="1:15">
      <c r="A1298" s="1" t="s">
        <v>74</v>
      </c>
      <c r="B1298" s="1" t="s">
        <v>77</v>
      </c>
      <c r="C1298" s="1" t="s">
        <v>38</v>
      </c>
      <c r="D1298" s="1" t="s">
        <v>39</v>
      </c>
      <c r="E1298" s="1" t="s">
        <v>46</v>
      </c>
      <c r="F1298" s="1" t="s">
        <v>41</v>
      </c>
      <c r="G1298" s="1">
        <v>10588</v>
      </c>
      <c r="H1298" s="1">
        <f>'1_Departamento_n'!C25</f>
        <v>434332</v>
      </c>
      <c r="I1298" s="1">
        <f>'1_Departamento_n'!H25</f>
        <v>1310</v>
      </c>
      <c r="J1298" s="1">
        <f>'0_Parametros'!B7</f>
        <v>10</v>
      </c>
      <c r="K1298" s="3">
        <f>(I1298-SUM($J$1290:$J$1345))*G1298/H1298</f>
        <v>18.28324875901384</v>
      </c>
      <c r="L1298" s="1">
        <f>INT(K1298)</f>
        <v>18</v>
      </c>
      <c r="M1298" s="3">
        <f>K1298-L1298</f>
        <v>0.2832487590138406</v>
      </c>
      <c r="N1298" s="1">
        <f>COUNTIF($M$1290:$M$1345,"&gt;"&amp;M1298)+COUNTIF($M$1290:M1298,M1298)</f>
        <v>44</v>
      </c>
      <c r="O1298" s="1">
        <f>J1298+L1298+IF(N1298&lt;=I1298-SUM($J$1290:$J$1345)-SUM($L$1290:$L$1345),1,0)</f>
        <v>28</v>
      </c>
    </row>
    <row r="1299" spans="1:15">
      <c r="A1299" s="1" t="s">
        <v>74</v>
      </c>
      <c r="B1299" s="1" t="s">
        <v>77</v>
      </c>
      <c r="C1299" s="1" t="s">
        <v>38</v>
      </c>
      <c r="D1299" s="1" t="s">
        <v>39</v>
      </c>
      <c r="E1299" s="1" t="s">
        <v>46</v>
      </c>
      <c r="F1299" s="1" t="s">
        <v>42</v>
      </c>
      <c r="G1299" s="1">
        <v>1936</v>
      </c>
      <c r="H1299" s="1">
        <f>'1_Departamento_n'!C25</f>
        <v>434332</v>
      </c>
      <c r="I1299" s="1">
        <f>'1_Departamento_n'!H25</f>
        <v>1310</v>
      </c>
      <c r="J1299" s="1">
        <f>'0_Parametros'!B7</f>
        <v>10</v>
      </c>
      <c r="K1299" s="3">
        <f>(I1299-SUM($J$1290:$J$1345))*G1299/H1299</f>
        <v>3.3430647523092936</v>
      </c>
      <c r="L1299" s="1">
        <f>INT(K1299)</f>
        <v>3</v>
      </c>
      <c r="M1299" s="3">
        <f>K1299-L1299</f>
        <v>0.34306475230929356</v>
      </c>
      <c r="N1299" s="1">
        <f>COUNTIF($M$1290:$M$1345,"&gt;"&amp;M1299)+COUNTIF($M$1290:M1299,M1299)</f>
        <v>39</v>
      </c>
      <c r="O1299" s="1">
        <f>J1299+L1299+IF(N1299&lt;=I1299-SUM($J$1290:$J$1345)-SUM($L$1290:$L$1345),1,0)</f>
        <v>13</v>
      </c>
    </row>
    <row r="1300" spans="1:15">
      <c r="A1300" s="1" t="s">
        <v>74</v>
      </c>
      <c r="B1300" s="1" t="s">
        <v>77</v>
      </c>
      <c r="C1300" s="1" t="s">
        <v>38</v>
      </c>
      <c r="D1300" s="1" t="s">
        <v>39</v>
      </c>
      <c r="E1300" s="1" t="s">
        <v>47</v>
      </c>
      <c r="F1300" s="1" t="s">
        <v>41</v>
      </c>
      <c r="G1300" s="1">
        <v>6496</v>
      </c>
      <c r="H1300" s="1">
        <f>'1_Departamento_n'!C25</f>
        <v>434332</v>
      </c>
      <c r="I1300" s="1">
        <f>'1_Departamento_n'!H25</f>
        <v>1310</v>
      </c>
      <c r="J1300" s="1">
        <f>'0_Parametros'!B7</f>
        <v>10</v>
      </c>
      <c r="K1300" s="3">
        <f>(I1300-SUM($J$1290:$J$1345))*G1300/H1300</f>
        <v>11.217225532541926</v>
      </c>
      <c r="L1300" s="1">
        <f>INT(K1300)</f>
        <v>11</v>
      </c>
      <c r="M1300" s="3">
        <f>K1300-L1300</f>
        <v>0.21722553254192611</v>
      </c>
      <c r="N1300" s="1">
        <f>COUNTIF($M$1290:$M$1345,"&gt;"&amp;M1300)+COUNTIF($M$1290:M1300,M1300)</f>
        <v>48</v>
      </c>
      <c r="O1300" s="1">
        <f>J1300+L1300+IF(N1300&lt;=I1300-SUM($J$1290:$J$1345)-SUM($L$1290:$L$1345),1,0)</f>
        <v>21</v>
      </c>
    </row>
    <row r="1301" spans="1:15">
      <c r="A1301" s="1" t="s">
        <v>74</v>
      </c>
      <c r="B1301" s="1" t="s">
        <v>77</v>
      </c>
      <c r="C1301" s="1" t="s">
        <v>38</v>
      </c>
      <c r="D1301" s="1" t="s">
        <v>39</v>
      </c>
      <c r="E1301" s="1" t="s">
        <v>47</v>
      </c>
      <c r="F1301" s="1" t="s">
        <v>42</v>
      </c>
      <c r="G1301" s="1">
        <v>1005</v>
      </c>
      <c r="H1301" s="1">
        <f>'1_Departamento_n'!C25</f>
        <v>434332</v>
      </c>
      <c r="I1301" s="1">
        <f>'1_Departamento_n'!H25</f>
        <v>1310</v>
      </c>
      <c r="J1301" s="1">
        <f>'0_Parametros'!B7</f>
        <v>10</v>
      </c>
      <c r="K1301" s="3">
        <f>(I1301-SUM($J$1290:$J$1345))*G1301/H1301</f>
        <v>1.7354235930117974</v>
      </c>
      <c r="L1301" s="1">
        <f>INT(K1301)</f>
        <v>1</v>
      </c>
      <c r="M1301" s="3">
        <f>K1301-L1301</f>
        <v>0.7354235930117974</v>
      </c>
      <c r="N1301" s="1">
        <f>COUNTIF($M$1290:$M$1345,"&gt;"&amp;M1301)+COUNTIF($M$1290:M1301,M1301)</f>
        <v>18</v>
      </c>
      <c r="O1301" s="1">
        <f>J1301+L1301+IF(N1301&lt;=I1301-SUM($J$1290:$J$1345)-SUM($L$1290:$L$1345),1,0)</f>
        <v>12</v>
      </c>
    </row>
    <row r="1302" spans="1:15">
      <c r="A1302" s="1" t="s">
        <v>74</v>
      </c>
      <c r="B1302" s="1" t="s">
        <v>77</v>
      </c>
      <c r="C1302" s="1" t="s">
        <v>38</v>
      </c>
      <c r="D1302" s="1" t="s">
        <v>39</v>
      </c>
      <c r="E1302" s="1" t="s">
        <v>48</v>
      </c>
      <c r="F1302" s="1" t="s">
        <v>41</v>
      </c>
      <c r="G1302" s="1">
        <v>5680</v>
      </c>
      <c r="H1302" s="1">
        <f>'1_Departamento_n'!C25</f>
        <v>434332</v>
      </c>
      <c r="I1302" s="1">
        <f>'1_Departamento_n'!H25</f>
        <v>1310</v>
      </c>
      <c r="J1302" s="1">
        <f>'0_Parametros'!B7</f>
        <v>10</v>
      </c>
      <c r="K1302" s="3">
        <f>(I1302-SUM($J$1290:$J$1345))*G1302/H1302</f>
        <v>9.808165182395035</v>
      </c>
      <c r="L1302" s="1">
        <f>INT(K1302)</f>
        <v>9</v>
      </c>
      <c r="M1302" s="3">
        <f>K1302-L1302</f>
        <v>0.8081651823950349</v>
      </c>
      <c r="N1302" s="1">
        <f>COUNTIF($M$1290:$M$1345,"&gt;"&amp;M1302)+COUNTIF($M$1290:M1302,M1302)</f>
        <v>13</v>
      </c>
      <c r="O1302" s="1">
        <f>J1302+L1302+IF(N1302&lt;=I1302-SUM($J$1290:$J$1345)-SUM($L$1290:$L$1345),1,0)</f>
        <v>20</v>
      </c>
    </row>
    <row r="1303" spans="1:15">
      <c r="A1303" s="1" t="s">
        <v>74</v>
      </c>
      <c r="B1303" s="1" t="s">
        <v>77</v>
      </c>
      <c r="C1303" s="1" t="s">
        <v>38</v>
      </c>
      <c r="D1303" s="1" t="s">
        <v>39</v>
      </c>
      <c r="E1303" s="1" t="s">
        <v>48</v>
      </c>
      <c r="F1303" s="1" t="s">
        <v>42</v>
      </c>
      <c r="G1303" s="1">
        <v>579</v>
      </c>
      <c r="H1303" s="1">
        <f>'1_Departamento_n'!C25</f>
        <v>434332</v>
      </c>
      <c r="I1303" s="1">
        <f>'1_Departamento_n'!H25</f>
        <v>1310</v>
      </c>
      <c r="J1303" s="1">
        <f>'0_Parametros'!B7</f>
        <v>10</v>
      </c>
      <c r="K1303" s="3">
        <f>(I1303-SUM($J$1290:$J$1345))*G1303/H1303</f>
        <v>0.9998112043321699</v>
      </c>
      <c r="L1303" s="1">
        <f>INT(K1303)</f>
        <v>0</v>
      </c>
      <c r="M1303" s="3">
        <f>K1303-L1303</f>
        <v>0.9998112043321699</v>
      </c>
      <c r="N1303" s="1">
        <f>COUNTIF($M$1290:$M$1345,"&gt;"&amp;M1303)+COUNTIF($M$1290:M1303,M1303)</f>
        <v>1</v>
      </c>
      <c r="O1303" s="1">
        <f>J1303+L1303+IF(N1303&lt;=I1303-SUM($J$1290:$J$1345)-SUM($L$1290:$L$1345),1,0)</f>
        <v>11</v>
      </c>
    </row>
    <row r="1304" spans="1:15">
      <c r="A1304" s="1" t="s">
        <v>74</v>
      </c>
      <c r="B1304" s="1" t="s">
        <v>77</v>
      </c>
      <c r="C1304" s="1" t="s">
        <v>38</v>
      </c>
      <c r="D1304" s="1" t="s">
        <v>49</v>
      </c>
      <c r="E1304" s="1" t="s">
        <v>40</v>
      </c>
      <c r="F1304" s="1" t="s">
        <v>41</v>
      </c>
      <c r="G1304" s="1">
        <v>7086</v>
      </c>
      <c r="H1304" s="1">
        <f>'1_Departamento_n'!C25</f>
        <v>434332</v>
      </c>
      <c r="I1304" s="1">
        <f>'1_Departamento_n'!H25</f>
        <v>1310</v>
      </c>
      <c r="J1304" s="1">
        <f>'0_Parametros'!B7</f>
        <v>10</v>
      </c>
      <c r="K1304" s="3">
        <f>(I1304-SUM($J$1290:$J$1345))*G1304/H1304</f>
        <v>12.236031422966763</v>
      </c>
      <c r="L1304" s="1">
        <f>INT(K1304)</f>
        <v>12</v>
      </c>
      <c r="M1304" s="3">
        <f>K1304-L1304</f>
        <v>0.2360314229667626</v>
      </c>
      <c r="N1304" s="1">
        <f>COUNTIF($M$1290:$M$1345,"&gt;"&amp;M1304)+COUNTIF($M$1290:M1304,M1304)</f>
        <v>47</v>
      </c>
      <c r="O1304" s="1">
        <f>J1304+L1304+IF(N1304&lt;=I1304-SUM($J$1290:$J$1345)-SUM($L$1290:$L$1345),1,0)</f>
        <v>22</v>
      </c>
    </row>
    <row r="1305" spans="1:15">
      <c r="A1305" s="1" t="s">
        <v>74</v>
      </c>
      <c r="B1305" s="1" t="s">
        <v>77</v>
      </c>
      <c r="C1305" s="1" t="s">
        <v>38</v>
      </c>
      <c r="D1305" s="1" t="s">
        <v>49</v>
      </c>
      <c r="E1305" s="1" t="s">
        <v>40</v>
      </c>
      <c r="F1305" s="1" t="s">
        <v>42</v>
      </c>
      <c r="G1305" s="1">
        <v>2276</v>
      </c>
      <c r="H1305" s="1">
        <f>'1_Departamento_n'!C25</f>
        <v>434332</v>
      </c>
      <c r="I1305" s="1">
        <f>'1_Departamento_n'!H25</f>
        <v>1310</v>
      </c>
      <c r="J1305" s="1">
        <f>'0_Parametros'!B7</f>
        <v>10</v>
      </c>
      <c r="K1305" s="3">
        <f>(I1305-SUM($J$1290:$J$1345))*G1305/H1305</f>
        <v>3.930173231537165</v>
      </c>
      <c r="L1305" s="1">
        <f>INT(K1305)</f>
        <v>3</v>
      </c>
      <c r="M1305" s="3">
        <f>K1305-L1305</f>
        <v>0.9301732315371649</v>
      </c>
      <c r="N1305" s="1">
        <f>COUNTIF($M$1290:$M$1345,"&gt;"&amp;M1305)+COUNTIF($M$1290:M1305,M1305)</f>
        <v>5</v>
      </c>
      <c r="O1305" s="1">
        <f>J1305+L1305+IF(N1305&lt;=I1305-SUM($J$1290:$J$1345)-SUM($L$1290:$L$1345),1,0)</f>
        <v>14</v>
      </c>
    </row>
    <row r="1306" spans="1:15">
      <c r="A1306" s="1" t="s">
        <v>74</v>
      </c>
      <c r="B1306" s="1" t="s">
        <v>77</v>
      </c>
      <c r="C1306" s="1" t="s">
        <v>38</v>
      </c>
      <c r="D1306" s="1" t="s">
        <v>49</v>
      </c>
      <c r="E1306" s="1" t="s">
        <v>43</v>
      </c>
      <c r="F1306" s="1" t="s">
        <v>41</v>
      </c>
      <c r="G1306" s="1">
        <v>9693</v>
      </c>
      <c r="H1306" s="1">
        <f>'1_Departamento_n'!C25</f>
        <v>434332</v>
      </c>
      <c r="I1306" s="1">
        <f>'1_Departamento_n'!H25</f>
        <v>1310</v>
      </c>
      <c r="J1306" s="1">
        <f>'0_Parametros'!B7</f>
        <v>10</v>
      </c>
      <c r="K1306" s="3">
        <f>(I1306-SUM($J$1290:$J$1345))*G1306/H1306</f>
        <v>16.73777202692871</v>
      </c>
      <c r="L1306" s="1">
        <f>INT(K1306)</f>
        <v>16</v>
      </c>
      <c r="M1306" s="3">
        <f>K1306-L1306</f>
        <v>0.7377720269287096</v>
      </c>
      <c r="N1306" s="1">
        <f>COUNTIF($M$1290:$M$1345,"&gt;"&amp;M1306)+COUNTIF($M$1290:M1306,M1306)</f>
        <v>17</v>
      </c>
      <c r="O1306" s="1">
        <f>J1306+L1306+IF(N1306&lt;=I1306-SUM($J$1290:$J$1345)-SUM($L$1290:$L$1345),1,0)</f>
        <v>27</v>
      </c>
    </row>
    <row r="1307" spans="1:15">
      <c r="A1307" s="1" t="s">
        <v>74</v>
      </c>
      <c r="B1307" s="1" t="s">
        <v>77</v>
      </c>
      <c r="C1307" s="1" t="s">
        <v>38</v>
      </c>
      <c r="D1307" s="1" t="s">
        <v>49</v>
      </c>
      <c r="E1307" s="1" t="s">
        <v>43</v>
      </c>
      <c r="F1307" s="1" t="s">
        <v>42</v>
      </c>
      <c r="G1307" s="1">
        <v>2212</v>
      </c>
      <c r="H1307" s="1">
        <f>'1_Departamento_n'!C25</f>
        <v>434332</v>
      </c>
      <c r="I1307" s="1">
        <f>'1_Departamento_n'!H25</f>
        <v>1310</v>
      </c>
      <c r="J1307" s="1">
        <f>'0_Parametros'!B7</f>
        <v>10</v>
      </c>
      <c r="K1307" s="3">
        <f>(I1307-SUM($J$1290:$J$1345))*G1307/H1307</f>
        <v>3.8196586942707422</v>
      </c>
      <c r="L1307" s="1">
        <f>INT(K1307)</f>
        <v>3</v>
      </c>
      <c r="M1307" s="3">
        <f>K1307-L1307</f>
        <v>0.8196586942707422</v>
      </c>
      <c r="N1307" s="1">
        <f>COUNTIF($M$1290:$M$1345,"&gt;"&amp;M1307)+COUNTIF($M$1290:M1307,M1307)</f>
        <v>12</v>
      </c>
      <c r="O1307" s="1">
        <f>J1307+L1307+IF(N1307&lt;=I1307-SUM($J$1290:$J$1345)-SUM($L$1290:$L$1345),1,0)</f>
        <v>14</v>
      </c>
    </row>
    <row r="1308" spans="1:15">
      <c r="A1308" s="1" t="s">
        <v>74</v>
      </c>
      <c r="B1308" s="1" t="s">
        <v>77</v>
      </c>
      <c r="C1308" s="1" t="s">
        <v>38</v>
      </c>
      <c r="D1308" s="1" t="s">
        <v>49</v>
      </c>
      <c r="E1308" s="1" t="s">
        <v>44</v>
      </c>
      <c r="F1308" s="1" t="s">
        <v>41</v>
      </c>
      <c r="G1308" s="1">
        <v>11582</v>
      </c>
      <c r="H1308" s="1">
        <f>'1_Departamento_n'!C25</f>
        <v>434332</v>
      </c>
      <c r="I1308" s="1">
        <f>'1_Departamento_n'!H25</f>
        <v>1310</v>
      </c>
      <c r="J1308" s="1">
        <f>'0_Parametros'!B7</f>
        <v>10</v>
      </c>
      <c r="K1308" s="3">
        <f>(I1308-SUM($J$1290:$J$1345))*G1308/H1308</f>
        <v>19.999677665932975</v>
      </c>
      <c r="L1308" s="1">
        <f>INT(K1308)</f>
        <v>19</v>
      </c>
      <c r="M1308" s="3">
        <f>K1308-L1308</f>
        <v>0.9996776659329747</v>
      </c>
      <c r="N1308" s="1">
        <f>COUNTIF($M$1290:$M$1345,"&gt;"&amp;M1308)+COUNTIF($M$1290:M1308,M1308)</f>
        <v>2</v>
      </c>
      <c r="O1308" s="1">
        <f>J1308+L1308+IF(N1308&lt;=I1308-SUM($J$1290:$J$1345)-SUM($L$1290:$L$1345),1,0)</f>
        <v>30</v>
      </c>
    </row>
    <row r="1309" spans="1:15">
      <c r="A1309" s="1" t="s">
        <v>74</v>
      </c>
      <c r="B1309" s="1" t="s">
        <v>77</v>
      </c>
      <c r="C1309" s="1" t="s">
        <v>38</v>
      </c>
      <c r="D1309" s="1" t="s">
        <v>49</v>
      </c>
      <c r="E1309" s="1" t="s">
        <v>44</v>
      </c>
      <c r="F1309" s="1" t="s">
        <v>42</v>
      </c>
      <c r="G1309" s="1">
        <v>4424</v>
      </c>
      <c r="H1309" s="1">
        <f>'1_Departamento_n'!C25</f>
        <v>434332</v>
      </c>
      <c r="I1309" s="1">
        <f>'1_Departamento_n'!H25</f>
        <v>1310</v>
      </c>
      <c r="J1309" s="1">
        <f>'0_Parametros'!B7</f>
        <v>10</v>
      </c>
      <c r="K1309" s="3">
        <f>(I1309-SUM($J$1290:$J$1345))*G1309/H1309</f>
        <v>7.6393173885414845</v>
      </c>
      <c r="L1309" s="1">
        <f>INT(K1309)</f>
        <v>7</v>
      </c>
      <c r="M1309" s="3">
        <f>K1309-L1309</f>
        <v>0.6393173885414845</v>
      </c>
      <c r="N1309" s="1">
        <f>COUNTIF($M$1290:$M$1345,"&gt;"&amp;M1309)+COUNTIF($M$1290:M1309,M1309)</f>
        <v>25</v>
      </c>
      <c r="O1309" s="1">
        <f>J1309+L1309+IF(N1309&lt;=I1309-SUM($J$1290:$J$1345)-SUM($L$1290:$L$1345),1,0)</f>
        <v>18</v>
      </c>
    </row>
    <row r="1310" spans="1:15">
      <c r="A1310" s="1" t="s">
        <v>74</v>
      </c>
      <c r="B1310" s="1" t="s">
        <v>77</v>
      </c>
      <c r="C1310" s="1" t="s">
        <v>38</v>
      </c>
      <c r="D1310" s="1" t="s">
        <v>49</v>
      </c>
      <c r="E1310" s="1" t="s">
        <v>45</v>
      </c>
      <c r="F1310" s="1" t="s">
        <v>41</v>
      </c>
      <c r="G1310" s="1">
        <v>14736</v>
      </c>
      <c r="H1310" s="1">
        <f>'1_Departamento_n'!C25</f>
        <v>434332</v>
      </c>
      <c r="I1310" s="1">
        <f>'1_Departamento_n'!H25</f>
        <v>1310</v>
      </c>
      <c r="J1310" s="1">
        <f>'0_Parametros'!B7</f>
        <v>10</v>
      </c>
      <c r="K1310" s="3">
        <f>(I1310-SUM($J$1290:$J$1345))*G1310/H1310</f>
        <v>25.44597220559388</v>
      </c>
      <c r="L1310" s="1">
        <f>INT(K1310)</f>
        <v>25</v>
      </c>
      <c r="M1310" s="3">
        <f>K1310-L1310</f>
        <v>0.44597220559387907</v>
      </c>
      <c r="N1310" s="1">
        <f>COUNTIF($M$1290:$M$1345,"&gt;"&amp;M1310)+COUNTIF($M$1290:M1310,M1310)</f>
        <v>34</v>
      </c>
      <c r="O1310" s="1">
        <f>J1310+L1310+IF(N1310&lt;=I1310-SUM($J$1290:$J$1345)-SUM($L$1290:$L$1345),1,0)</f>
        <v>35</v>
      </c>
    </row>
    <row r="1311" spans="1:15">
      <c r="A1311" s="1" t="s">
        <v>74</v>
      </c>
      <c r="B1311" s="1" t="s">
        <v>77</v>
      </c>
      <c r="C1311" s="1" t="s">
        <v>38</v>
      </c>
      <c r="D1311" s="1" t="s">
        <v>49</v>
      </c>
      <c r="E1311" s="1" t="s">
        <v>45</v>
      </c>
      <c r="F1311" s="1" t="s">
        <v>42</v>
      </c>
      <c r="G1311" s="1">
        <v>4736</v>
      </c>
      <c r="H1311" s="1">
        <f>'1_Departamento_n'!C25</f>
        <v>434332</v>
      </c>
      <c r="I1311" s="1">
        <f>'1_Departamento_n'!H25</f>
        <v>1310</v>
      </c>
      <c r="J1311" s="1">
        <f>'0_Parametros'!B7</f>
        <v>10</v>
      </c>
      <c r="K1311" s="3">
        <f>(I1311-SUM($J$1290:$J$1345))*G1311/H1311</f>
        <v>8.178075757715296</v>
      </c>
      <c r="L1311" s="1">
        <f>INT(K1311)</f>
        <v>8</v>
      </c>
      <c r="M1311" s="3">
        <f>K1311-L1311</f>
        <v>0.1780757577152965</v>
      </c>
      <c r="N1311" s="1">
        <f>COUNTIF($M$1290:$M$1345,"&gt;"&amp;M1311)+COUNTIF($M$1290:M1311,M1311)</f>
        <v>50</v>
      </c>
      <c r="O1311" s="1">
        <f>J1311+L1311+IF(N1311&lt;=I1311-SUM($J$1290:$J$1345)-SUM($L$1290:$L$1345),1,0)</f>
        <v>18</v>
      </c>
    </row>
    <row r="1312" spans="1:15">
      <c r="A1312" s="1" t="s">
        <v>74</v>
      </c>
      <c r="B1312" s="1" t="s">
        <v>77</v>
      </c>
      <c r="C1312" s="1" t="s">
        <v>38</v>
      </c>
      <c r="D1312" s="1" t="s">
        <v>49</v>
      </c>
      <c r="E1312" s="1" t="s">
        <v>46</v>
      </c>
      <c r="F1312" s="1" t="s">
        <v>41</v>
      </c>
      <c r="G1312" s="1">
        <v>12029</v>
      </c>
      <c r="H1312" s="1">
        <f>'1_Departamento_n'!C25</f>
        <v>434332</v>
      </c>
      <c r="I1312" s="1">
        <f>'1_Departamento_n'!H25</f>
        <v>1310</v>
      </c>
      <c r="J1312" s="1">
        <f>'0_Parametros'!B7</f>
        <v>10</v>
      </c>
      <c r="K1312" s="3">
        <f>(I1312-SUM($J$1290:$J$1345))*G1312/H1312</f>
        <v>20.771552637153146</v>
      </c>
      <c r="L1312" s="1">
        <f>INT(K1312)</f>
        <v>20</v>
      </c>
      <c r="M1312" s="3">
        <f>K1312-L1312</f>
        <v>0.771552637153146</v>
      </c>
      <c r="N1312" s="1">
        <f>COUNTIF($M$1290:$M$1345,"&gt;"&amp;M1312)+COUNTIF($M$1290:M1312,M1312)</f>
        <v>16</v>
      </c>
      <c r="O1312" s="1">
        <f>J1312+L1312+IF(N1312&lt;=I1312-SUM($J$1290:$J$1345)-SUM($L$1290:$L$1345),1,0)</f>
        <v>31</v>
      </c>
    </row>
    <row r="1313" spans="1:15">
      <c r="A1313" s="1" t="s">
        <v>74</v>
      </c>
      <c r="B1313" s="1" t="s">
        <v>77</v>
      </c>
      <c r="C1313" s="1" t="s">
        <v>38</v>
      </c>
      <c r="D1313" s="1" t="s">
        <v>49</v>
      </c>
      <c r="E1313" s="1" t="s">
        <v>46</v>
      </c>
      <c r="F1313" s="1" t="s">
        <v>42</v>
      </c>
      <c r="G1313" s="1">
        <v>3289</v>
      </c>
      <c r="H1313" s="1">
        <f>'1_Departamento_n'!C25</f>
        <v>434332</v>
      </c>
      <c r="I1313" s="1">
        <f>'1_Departamento_n'!H25</f>
        <v>1310</v>
      </c>
      <c r="J1313" s="1">
        <f>'0_Parametros'!B7</f>
        <v>10</v>
      </c>
      <c r="K1313" s="3">
        <f>(I1313-SUM($J$1290:$J$1345))*G1313/H1313</f>
        <v>5.6794111417072655</v>
      </c>
      <c r="L1313" s="1">
        <f>INT(K1313)</f>
        <v>5</v>
      </c>
      <c r="M1313" s="3">
        <f>K1313-L1313</f>
        <v>0.6794111417072655</v>
      </c>
      <c r="N1313" s="1">
        <f>COUNTIF($M$1290:$M$1345,"&gt;"&amp;M1313)+COUNTIF($M$1290:M1313,M1313)</f>
        <v>19</v>
      </c>
      <c r="O1313" s="1">
        <f>J1313+L1313+IF(N1313&lt;=I1313-SUM($J$1290:$J$1345)-SUM($L$1290:$L$1345),1,0)</f>
        <v>16</v>
      </c>
    </row>
    <row r="1314" spans="1:15">
      <c r="A1314" s="1" t="s">
        <v>74</v>
      </c>
      <c r="B1314" s="1" t="s">
        <v>77</v>
      </c>
      <c r="C1314" s="1" t="s">
        <v>38</v>
      </c>
      <c r="D1314" s="1" t="s">
        <v>49</v>
      </c>
      <c r="E1314" s="1" t="s">
        <v>47</v>
      </c>
      <c r="F1314" s="1" t="s">
        <v>41</v>
      </c>
      <c r="G1314" s="1">
        <v>8021</v>
      </c>
      <c r="H1314" s="1">
        <f>'1_Departamento_n'!C25</f>
        <v>434332</v>
      </c>
      <c r="I1314" s="1">
        <f>'1_Departamento_n'!H25</f>
        <v>1310</v>
      </c>
      <c r="J1314" s="1">
        <f>'0_Parametros'!B7</f>
        <v>10</v>
      </c>
      <c r="K1314" s="3">
        <f>(I1314-SUM($J$1290:$J$1345))*G1314/H1314</f>
        <v>13.85057974084341</v>
      </c>
      <c r="L1314" s="1">
        <f>INT(K1314)</f>
        <v>13</v>
      </c>
      <c r="M1314" s="3">
        <f>K1314-L1314</f>
        <v>0.8505797408434095</v>
      </c>
      <c r="N1314" s="1">
        <f>COUNTIF($M$1290:$M$1345,"&gt;"&amp;M1314)+COUNTIF($M$1290:M1314,M1314)</f>
        <v>10</v>
      </c>
      <c r="O1314" s="1">
        <f>J1314+L1314+IF(N1314&lt;=I1314-SUM($J$1290:$J$1345)-SUM($L$1290:$L$1345),1,0)</f>
        <v>24</v>
      </c>
    </row>
    <row r="1315" spans="1:15">
      <c r="A1315" s="1" t="s">
        <v>74</v>
      </c>
      <c r="B1315" s="1" t="s">
        <v>77</v>
      </c>
      <c r="C1315" s="1" t="s">
        <v>38</v>
      </c>
      <c r="D1315" s="1" t="s">
        <v>49</v>
      </c>
      <c r="E1315" s="1" t="s">
        <v>47</v>
      </c>
      <c r="F1315" s="1" t="s">
        <v>42</v>
      </c>
      <c r="G1315" s="1">
        <v>1938</v>
      </c>
      <c r="H1315" s="1">
        <f>'1_Departamento_n'!C25</f>
        <v>434332</v>
      </c>
      <c r="I1315" s="1">
        <f>'1_Departamento_n'!H25</f>
        <v>1310</v>
      </c>
      <c r="J1315" s="1">
        <f>'0_Parametros'!B7</f>
        <v>10</v>
      </c>
      <c r="K1315" s="3">
        <f>(I1315-SUM($J$1290:$J$1345))*G1315/H1315</f>
        <v>3.346518331598869</v>
      </c>
      <c r="L1315" s="1">
        <f>INT(K1315)</f>
        <v>3</v>
      </c>
      <c r="M1315" s="3">
        <f>K1315-L1315</f>
        <v>0.3465183315988689</v>
      </c>
      <c r="N1315" s="1">
        <f>COUNTIF($M$1290:$M$1345,"&gt;"&amp;M1315)+COUNTIF($M$1290:M1315,M1315)</f>
        <v>38</v>
      </c>
      <c r="O1315" s="1">
        <f>J1315+L1315+IF(N1315&lt;=I1315-SUM($J$1290:$J$1345)-SUM($L$1290:$L$1345),1,0)</f>
        <v>13</v>
      </c>
    </row>
    <row r="1316" spans="1:15">
      <c r="A1316" s="1" t="s">
        <v>74</v>
      </c>
      <c r="B1316" s="1" t="s">
        <v>77</v>
      </c>
      <c r="C1316" s="1" t="s">
        <v>38</v>
      </c>
      <c r="D1316" s="1" t="s">
        <v>49</v>
      </c>
      <c r="E1316" s="1" t="s">
        <v>48</v>
      </c>
      <c r="F1316" s="1" t="s">
        <v>41</v>
      </c>
      <c r="G1316" s="1">
        <v>6427</v>
      </c>
      <c r="H1316" s="1">
        <f>'1_Departamento_n'!C25</f>
        <v>434332</v>
      </c>
      <c r="I1316" s="1">
        <f>'1_Departamento_n'!H25</f>
        <v>1310</v>
      </c>
      <c r="J1316" s="1">
        <f>'0_Parametros'!B7</f>
        <v>10</v>
      </c>
      <c r="K1316" s="3">
        <f>(I1316-SUM($J$1290:$J$1345))*G1316/H1316</f>
        <v>11.098077047051564</v>
      </c>
      <c r="L1316" s="1">
        <f>INT(K1316)</f>
        <v>11</v>
      </c>
      <c r="M1316" s="3">
        <f>K1316-L1316</f>
        <v>0.09807704705156439</v>
      </c>
      <c r="N1316" s="1">
        <f>COUNTIF($M$1290:$M$1345,"&gt;"&amp;M1316)+COUNTIF($M$1290:M1316,M1316)</f>
        <v>52</v>
      </c>
      <c r="O1316" s="1">
        <f>J1316+L1316+IF(N1316&lt;=I1316-SUM($J$1290:$J$1345)-SUM($L$1290:$L$1345),1,0)</f>
        <v>21</v>
      </c>
    </row>
    <row r="1317" spans="1:15">
      <c r="A1317" s="1" t="s">
        <v>74</v>
      </c>
      <c r="B1317" s="1" t="s">
        <v>77</v>
      </c>
      <c r="C1317" s="1" t="s">
        <v>38</v>
      </c>
      <c r="D1317" s="1" t="s">
        <v>49</v>
      </c>
      <c r="E1317" s="1" t="s">
        <v>48</v>
      </c>
      <c r="F1317" s="1" t="s">
        <v>42</v>
      </c>
      <c r="G1317" s="1">
        <v>1046</v>
      </c>
      <c r="H1317" s="1">
        <f>'1_Departamento_n'!C25</f>
        <v>434332</v>
      </c>
      <c r="I1317" s="1">
        <f>'1_Departamento_n'!H25</f>
        <v>1310</v>
      </c>
      <c r="J1317" s="1">
        <f>'0_Parametros'!B7</f>
        <v>10</v>
      </c>
      <c r="K1317" s="3">
        <f>(I1317-SUM($J$1290:$J$1345))*G1317/H1317</f>
        <v>1.8062219684480996</v>
      </c>
      <c r="L1317" s="1">
        <f>INT(K1317)</f>
        <v>1</v>
      </c>
      <c r="M1317" s="3">
        <f>K1317-L1317</f>
        <v>0.8062219684480996</v>
      </c>
      <c r="N1317" s="1">
        <f>COUNTIF($M$1290:$M$1345,"&gt;"&amp;M1317)+COUNTIF($M$1290:M1317,M1317)</f>
        <v>14</v>
      </c>
      <c r="O1317" s="1">
        <f>J1317+L1317+IF(N1317&lt;=I1317-SUM($J$1290:$J$1345)-SUM($L$1290:$L$1345),1,0)</f>
        <v>12</v>
      </c>
    </row>
    <row r="1318" spans="1:15">
      <c r="A1318" s="1" t="s">
        <v>74</v>
      </c>
      <c r="B1318" s="1" t="s">
        <v>77</v>
      </c>
      <c r="C1318" s="1" t="s">
        <v>50</v>
      </c>
      <c r="D1318" s="1" t="s">
        <v>39</v>
      </c>
      <c r="E1318" s="1" t="s">
        <v>40</v>
      </c>
      <c r="F1318" s="1" t="s">
        <v>41</v>
      </c>
      <c r="G1318" s="1">
        <v>11973</v>
      </c>
      <c r="H1318" s="1">
        <f>'1_Departamento_n'!C25</f>
        <v>434332</v>
      </c>
      <c r="I1318" s="1">
        <f>'1_Departamento_n'!H25</f>
        <v>1310</v>
      </c>
      <c r="J1318" s="1">
        <f>'0_Parametros'!B7</f>
        <v>10</v>
      </c>
      <c r="K1318" s="3">
        <f>(I1318-SUM($J$1290:$J$1345))*G1318/H1318</f>
        <v>20.674852417045024</v>
      </c>
      <c r="L1318" s="1">
        <f>INT(K1318)</f>
        <v>20</v>
      </c>
      <c r="M1318" s="3">
        <f>K1318-L1318</f>
        <v>0.6748524170450239</v>
      </c>
      <c r="N1318" s="1">
        <f>COUNTIF($M$1290:$M$1345,"&gt;"&amp;M1318)+COUNTIF($M$1290:M1318,M1318)</f>
        <v>22</v>
      </c>
      <c r="O1318" s="1">
        <f>J1318+L1318+IF(N1318&lt;=I1318-SUM($J$1290:$J$1345)-SUM($L$1290:$L$1345),1,0)</f>
        <v>31</v>
      </c>
    </row>
    <row r="1319" spans="1:15">
      <c r="A1319" s="1" t="s">
        <v>74</v>
      </c>
      <c r="B1319" s="1" t="s">
        <v>77</v>
      </c>
      <c r="C1319" s="1" t="s">
        <v>50</v>
      </c>
      <c r="D1319" s="1" t="s">
        <v>39</v>
      </c>
      <c r="E1319" s="1" t="s">
        <v>40</v>
      </c>
      <c r="F1319" s="1" t="s">
        <v>42</v>
      </c>
      <c r="G1319" s="1">
        <v>8377</v>
      </c>
      <c r="H1319" s="1">
        <f>'1_Departamento_n'!C25</f>
        <v>434332</v>
      </c>
      <c r="I1319" s="1">
        <f>'1_Departamento_n'!H25</f>
        <v>1310</v>
      </c>
      <c r="J1319" s="1">
        <f>'0_Parametros'!B7</f>
        <v>10</v>
      </c>
      <c r="K1319" s="3">
        <f>(I1319-SUM($J$1290:$J$1345))*G1319/H1319</f>
        <v>14.465316854387888</v>
      </c>
      <c r="L1319" s="1">
        <f>INT(K1319)</f>
        <v>14</v>
      </c>
      <c r="M1319" s="3">
        <f>K1319-L1319</f>
        <v>0.46531685438788806</v>
      </c>
      <c r="N1319" s="1">
        <f>COUNTIF($M$1290:$M$1345,"&gt;"&amp;M1319)+COUNTIF($M$1290:M1319,M1319)</f>
        <v>33</v>
      </c>
      <c r="O1319" s="1">
        <f>J1319+L1319+IF(N1319&lt;=I1319-SUM($J$1290:$J$1345)-SUM($L$1290:$L$1345),1,0)</f>
        <v>24</v>
      </c>
    </row>
    <row r="1320" spans="1:15">
      <c r="A1320" s="1" t="s">
        <v>74</v>
      </c>
      <c r="B1320" s="1" t="s">
        <v>77</v>
      </c>
      <c r="C1320" s="1" t="s">
        <v>50</v>
      </c>
      <c r="D1320" s="1" t="s">
        <v>39</v>
      </c>
      <c r="E1320" s="1" t="s">
        <v>43</v>
      </c>
      <c r="F1320" s="1" t="s">
        <v>41</v>
      </c>
      <c r="G1320" s="1">
        <v>15889</v>
      </c>
      <c r="H1320" s="1">
        <f>'1_Departamento_n'!C25</f>
        <v>434332</v>
      </c>
      <c r="I1320" s="1">
        <f>'1_Departamento_n'!H25</f>
        <v>1310</v>
      </c>
      <c r="J1320" s="1">
        <f>'0_Parametros'!B7</f>
        <v>10</v>
      </c>
      <c r="K1320" s="3">
        <f>(I1320-SUM($J$1290:$J$1345))*G1320/H1320</f>
        <v>27.436960666034278</v>
      </c>
      <c r="L1320" s="1">
        <f>INT(K1320)</f>
        <v>27</v>
      </c>
      <c r="M1320" s="3">
        <f>K1320-L1320</f>
        <v>0.4369606660342775</v>
      </c>
      <c r="N1320" s="1">
        <f>COUNTIF($M$1290:$M$1345,"&gt;"&amp;M1320)+COUNTIF($M$1290:M1320,M1320)</f>
        <v>35</v>
      </c>
      <c r="O1320" s="1">
        <f>J1320+L1320+IF(N1320&lt;=I1320-SUM($J$1290:$J$1345)-SUM($L$1290:$L$1345),1,0)</f>
        <v>37</v>
      </c>
    </row>
    <row r="1321" spans="1:15">
      <c r="A1321" s="1" t="s">
        <v>74</v>
      </c>
      <c r="B1321" s="1" t="s">
        <v>77</v>
      </c>
      <c r="C1321" s="1" t="s">
        <v>50</v>
      </c>
      <c r="D1321" s="1" t="s">
        <v>39</v>
      </c>
      <c r="E1321" s="1" t="s">
        <v>43</v>
      </c>
      <c r="F1321" s="1" t="s">
        <v>42</v>
      </c>
      <c r="G1321" s="1">
        <v>8380</v>
      </c>
      <c r="H1321" s="1">
        <f>'1_Departamento_n'!C25</f>
        <v>434332</v>
      </c>
      <c r="I1321" s="1">
        <f>'1_Departamento_n'!H25</f>
        <v>1310</v>
      </c>
      <c r="J1321" s="1">
        <f>'0_Parametros'!B7</f>
        <v>10</v>
      </c>
      <c r="K1321" s="3">
        <f>(I1321-SUM($J$1290:$J$1345))*G1321/H1321</f>
        <v>14.470497223322251</v>
      </c>
      <c r="L1321" s="1">
        <f>INT(K1321)</f>
        <v>14</v>
      </c>
      <c r="M1321" s="3">
        <f>K1321-L1321</f>
        <v>0.4704972233222513</v>
      </c>
      <c r="N1321" s="1">
        <f>COUNTIF($M$1290:$M$1345,"&gt;"&amp;M1321)+COUNTIF($M$1290:M1321,M1321)</f>
        <v>31</v>
      </c>
      <c r="O1321" s="1">
        <f>J1321+L1321+IF(N1321&lt;=I1321-SUM($J$1290:$J$1345)-SUM($L$1290:$L$1345),1,0)</f>
        <v>24</v>
      </c>
    </row>
    <row r="1322" spans="1:15">
      <c r="A1322" s="1" t="s">
        <v>74</v>
      </c>
      <c r="B1322" s="1" t="s">
        <v>77</v>
      </c>
      <c r="C1322" s="1" t="s">
        <v>50</v>
      </c>
      <c r="D1322" s="1" t="s">
        <v>39</v>
      </c>
      <c r="E1322" s="1" t="s">
        <v>44</v>
      </c>
      <c r="F1322" s="1" t="s">
        <v>41</v>
      </c>
      <c r="G1322" s="1">
        <v>15505</v>
      </c>
      <c r="H1322" s="1">
        <f>'1_Departamento_n'!C25</f>
        <v>434332</v>
      </c>
      <c r="I1322" s="1">
        <f>'1_Departamento_n'!H25</f>
        <v>1310</v>
      </c>
      <c r="J1322" s="1">
        <f>'0_Parametros'!B7</f>
        <v>10</v>
      </c>
      <c r="K1322" s="3">
        <f>(I1322-SUM($J$1290:$J$1345))*G1322/H1322</f>
        <v>26.77387344243574</v>
      </c>
      <c r="L1322" s="1">
        <f>INT(K1322)</f>
        <v>26</v>
      </c>
      <c r="M1322" s="3">
        <f>K1322-L1322</f>
        <v>0.7738734424357396</v>
      </c>
      <c r="N1322" s="1">
        <f>COUNTIF($M$1290:$M$1345,"&gt;"&amp;M1322)+COUNTIF($M$1290:M1322,M1322)</f>
        <v>15</v>
      </c>
      <c r="O1322" s="1">
        <f>J1322+L1322+IF(N1322&lt;=I1322-SUM($J$1290:$J$1345)-SUM($L$1290:$L$1345),1,0)</f>
        <v>37</v>
      </c>
    </row>
    <row r="1323" spans="1:15">
      <c r="A1323" s="1" t="s">
        <v>74</v>
      </c>
      <c r="B1323" s="1" t="s">
        <v>77</v>
      </c>
      <c r="C1323" s="1" t="s">
        <v>50</v>
      </c>
      <c r="D1323" s="1" t="s">
        <v>39</v>
      </c>
      <c r="E1323" s="1" t="s">
        <v>44</v>
      </c>
      <c r="F1323" s="1" t="s">
        <v>42</v>
      </c>
      <c r="G1323" s="1">
        <v>8284</v>
      </c>
      <c r="H1323" s="1">
        <f>'1_Departamento_n'!C25</f>
        <v>434332</v>
      </c>
      <c r="I1323" s="1">
        <f>'1_Departamento_n'!H25</f>
        <v>1310</v>
      </c>
      <c r="J1323" s="1">
        <f>'0_Parametros'!B7</f>
        <v>10</v>
      </c>
      <c r="K1323" s="3">
        <f>(I1323-SUM($J$1290:$J$1345))*G1323/H1323</f>
        <v>14.304725417422617</v>
      </c>
      <c r="L1323" s="1">
        <f>INT(K1323)</f>
        <v>14</v>
      </c>
      <c r="M1323" s="3">
        <f>K1323-L1323</f>
        <v>0.30472541742261683</v>
      </c>
      <c r="N1323" s="1">
        <f>COUNTIF($M$1290:$M$1345,"&gt;"&amp;M1323)+COUNTIF($M$1290:M1323,M1323)</f>
        <v>43</v>
      </c>
      <c r="O1323" s="1">
        <f>J1323+L1323+IF(N1323&lt;=I1323-SUM($J$1290:$J$1345)-SUM($L$1290:$L$1345),1,0)</f>
        <v>24</v>
      </c>
    </row>
    <row r="1324" spans="1:15">
      <c r="A1324" s="1" t="s">
        <v>74</v>
      </c>
      <c r="B1324" s="1" t="s">
        <v>77</v>
      </c>
      <c r="C1324" s="1" t="s">
        <v>50</v>
      </c>
      <c r="D1324" s="1" t="s">
        <v>39</v>
      </c>
      <c r="E1324" s="1" t="s">
        <v>45</v>
      </c>
      <c r="F1324" s="1" t="s">
        <v>41</v>
      </c>
      <c r="G1324" s="1">
        <v>14091</v>
      </c>
      <c r="H1324" s="1">
        <f>'1_Departamento_n'!C25</f>
        <v>434332</v>
      </c>
      <c r="I1324" s="1">
        <f>'1_Departamento_n'!H25</f>
        <v>1310</v>
      </c>
      <c r="J1324" s="1">
        <f>'0_Parametros'!B7</f>
        <v>10</v>
      </c>
      <c r="K1324" s="3">
        <f>(I1324-SUM($J$1290:$J$1345))*G1324/H1324</f>
        <v>24.33219288470571</v>
      </c>
      <c r="L1324" s="1">
        <f>INT(K1324)</f>
        <v>24</v>
      </c>
      <c r="M1324" s="3">
        <f>K1324-L1324</f>
        <v>0.33219288470570874</v>
      </c>
      <c r="N1324" s="1">
        <f>COUNTIF($M$1290:$M$1345,"&gt;"&amp;M1324)+COUNTIF($M$1290:M1324,M1324)</f>
        <v>40</v>
      </c>
      <c r="O1324" s="1">
        <f>J1324+L1324+IF(N1324&lt;=I1324-SUM($J$1290:$J$1345)-SUM($L$1290:$L$1345),1,0)</f>
        <v>34</v>
      </c>
    </row>
    <row r="1325" spans="1:15">
      <c r="A1325" s="1" t="s">
        <v>74</v>
      </c>
      <c r="B1325" s="1" t="s">
        <v>77</v>
      </c>
      <c r="C1325" s="1" t="s">
        <v>50</v>
      </c>
      <c r="D1325" s="1" t="s">
        <v>39</v>
      </c>
      <c r="E1325" s="1" t="s">
        <v>45</v>
      </c>
      <c r="F1325" s="1" t="s">
        <v>42</v>
      </c>
      <c r="G1325" s="1">
        <v>7034</v>
      </c>
      <c r="H1325" s="1">
        <f>'1_Departamento_n'!C25</f>
        <v>434332</v>
      </c>
      <c r="I1325" s="1">
        <f>'1_Departamento_n'!H25</f>
        <v>1310</v>
      </c>
      <c r="J1325" s="1">
        <f>'0_Parametros'!B7</f>
        <v>10</v>
      </c>
      <c r="K1325" s="3">
        <f>(I1325-SUM($J$1290:$J$1345))*G1325/H1325</f>
        <v>12.146238361437794</v>
      </c>
      <c r="L1325" s="1">
        <f>INT(K1325)</f>
        <v>12</v>
      </c>
      <c r="M1325" s="3">
        <f>K1325-L1325</f>
        <v>0.14623836143779378</v>
      </c>
      <c r="N1325" s="1">
        <f>COUNTIF($M$1290:$M$1345,"&gt;"&amp;M1325)+COUNTIF($M$1290:M1325,M1325)</f>
        <v>51</v>
      </c>
      <c r="O1325" s="1">
        <f>J1325+L1325+IF(N1325&lt;=I1325-SUM($J$1290:$J$1345)-SUM($L$1290:$L$1345),1,0)</f>
        <v>22</v>
      </c>
    </row>
    <row r="1326" spans="1:15">
      <c r="A1326" s="1" t="s">
        <v>74</v>
      </c>
      <c r="B1326" s="1" t="s">
        <v>77</v>
      </c>
      <c r="C1326" s="1" t="s">
        <v>50</v>
      </c>
      <c r="D1326" s="1" t="s">
        <v>39</v>
      </c>
      <c r="E1326" s="1" t="s">
        <v>46</v>
      </c>
      <c r="F1326" s="1" t="s">
        <v>41</v>
      </c>
      <c r="G1326" s="1">
        <v>12310</v>
      </c>
      <c r="H1326" s="1">
        <f>'1_Departamento_n'!C25</f>
        <v>434332</v>
      </c>
      <c r="I1326" s="1">
        <f>'1_Departamento_n'!H25</f>
        <v>1310</v>
      </c>
      <c r="J1326" s="1">
        <f>'0_Parametros'!B7</f>
        <v>10</v>
      </c>
      <c r="K1326" s="3">
        <f>(I1326-SUM($J$1290:$J$1345))*G1326/H1326</f>
        <v>21.256780527338535</v>
      </c>
      <c r="L1326" s="1">
        <f>INT(K1326)</f>
        <v>21</v>
      </c>
      <c r="M1326" s="3">
        <f>K1326-L1326</f>
        <v>0.2567805273385346</v>
      </c>
      <c r="N1326" s="1">
        <f>COUNTIF($M$1290:$M$1345,"&gt;"&amp;M1326)+COUNTIF($M$1290:M1326,M1326)</f>
        <v>46</v>
      </c>
      <c r="O1326" s="1">
        <f>J1326+L1326+IF(N1326&lt;=I1326-SUM($J$1290:$J$1345)-SUM($L$1290:$L$1345),1,0)</f>
        <v>31</v>
      </c>
    </row>
    <row r="1327" spans="1:15">
      <c r="A1327" s="1" t="s">
        <v>74</v>
      </c>
      <c r="B1327" s="1" t="s">
        <v>77</v>
      </c>
      <c r="C1327" s="1" t="s">
        <v>50</v>
      </c>
      <c r="D1327" s="1" t="s">
        <v>39</v>
      </c>
      <c r="E1327" s="1" t="s">
        <v>46</v>
      </c>
      <c r="F1327" s="1" t="s">
        <v>42</v>
      </c>
      <c r="G1327" s="1">
        <v>5254</v>
      </c>
      <c r="H1327" s="1">
        <f>'1_Departamento_n'!C25</f>
        <v>434332</v>
      </c>
      <c r="I1327" s="1">
        <f>'1_Departamento_n'!H25</f>
        <v>1310</v>
      </c>
      <c r="J1327" s="1">
        <f>'0_Parametros'!B7</f>
        <v>10</v>
      </c>
      <c r="K1327" s="3">
        <f>(I1327-SUM($J$1290:$J$1345))*G1327/H1327</f>
        <v>9.072552793715406</v>
      </c>
      <c r="L1327" s="1">
        <f>INT(K1327)</f>
        <v>9</v>
      </c>
      <c r="M1327" s="3">
        <f>K1327-L1327</f>
        <v>0.07255279371540624</v>
      </c>
      <c r="N1327" s="1">
        <f>COUNTIF($M$1290:$M$1345,"&gt;"&amp;M1327)+COUNTIF($M$1290:M1327,M1327)</f>
        <v>54</v>
      </c>
      <c r="O1327" s="1">
        <f>J1327+L1327+IF(N1327&lt;=I1327-SUM($J$1290:$J$1345)-SUM($L$1290:$L$1345),1,0)</f>
        <v>19</v>
      </c>
    </row>
    <row r="1328" spans="1:15">
      <c r="A1328" s="1" t="s">
        <v>74</v>
      </c>
      <c r="B1328" s="1" t="s">
        <v>77</v>
      </c>
      <c r="C1328" s="1" t="s">
        <v>50</v>
      </c>
      <c r="D1328" s="1" t="s">
        <v>39</v>
      </c>
      <c r="E1328" s="1" t="s">
        <v>47</v>
      </c>
      <c r="F1328" s="1" t="s">
        <v>41</v>
      </c>
      <c r="G1328" s="1">
        <v>10234</v>
      </c>
      <c r="H1328" s="1">
        <f>'1_Departamento_n'!C25</f>
        <v>434332</v>
      </c>
      <c r="I1328" s="1">
        <f>'1_Departamento_n'!H25</f>
        <v>1310</v>
      </c>
      <c r="J1328" s="1">
        <f>'0_Parametros'!B7</f>
        <v>10</v>
      </c>
      <c r="K1328" s="3">
        <f>(I1328-SUM($J$1290:$J$1345))*G1328/H1328</f>
        <v>17.67196522475894</v>
      </c>
      <c r="L1328" s="1">
        <f>INT(K1328)</f>
        <v>17</v>
      </c>
      <c r="M1328" s="3">
        <f>K1328-L1328</f>
        <v>0.6719652247589387</v>
      </c>
      <c r="N1328" s="1">
        <f>COUNTIF($M$1290:$M$1345,"&gt;"&amp;M1328)+COUNTIF($M$1290:M1328,M1328)</f>
        <v>23</v>
      </c>
      <c r="O1328" s="1">
        <f>J1328+L1328+IF(N1328&lt;=I1328-SUM($J$1290:$J$1345)-SUM($L$1290:$L$1345),1,0)</f>
        <v>28</v>
      </c>
    </row>
    <row r="1329" spans="1:15">
      <c r="A1329" s="1" t="s">
        <v>74</v>
      </c>
      <c r="B1329" s="1" t="s">
        <v>77</v>
      </c>
      <c r="C1329" s="1" t="s">
        <v>50</v>
      </c>
      <c r="D1329" s="1" t="s">
        <v>39</v>
      </c>
      <c r="E1329" s="1" t="s">
        <v>47</v>
      </c>
      <c r="F1329" s="1" t="s">
        <v>42</v>
      </c>
      <c r="G1329" s="1">
        <v>4543</v>
      </c>
      <c r="H1329" s="1">
        <f>'1_Departamento_n'!C25</f>
        <v>434332</v>
      </c>
      <c r="I1329" s="1">
        <f>'1_Departamento_n'!H25</f>
        <v>1310</v>
      </c>
      <c r="J1329" s="1">
        <f>'0_Parametros'!B7</f>
        <v>10</v>
      </c>
      <c r="K1329" s="3">
        <f>(I1329-SUM($J$1290:$J$1345))*G1329/H1329</f>
        <v>7.844805356271239</v>
      </c>
      <c r="L1329" s="1">
        <f>INT(K1329)</f>
        <v>7</v>
      </c>
      <c r="M1329" s="3">
        <f>K1329-L1329</f>
        <v>0.8448053562712392</v>
      </c>
      <c r="N1329" s="1">
        <f>COUNTIF($M$1290:$M$1345,"&gt;"&amp;M1329)+COUNTIF($M$1290:M1329,M1329)</f>
        <v>11</v>
      </c>
      <c r="O1329" s="1">
        <f>J1329+L1329+IF(N1329&lt;=I1329-SUM($J$1290:$J$1345)-SUM($L$1290:$L$1345),1,0)</f>
        <v>18</v>
      </c>
    </row>
    <row r="1330" spans="1:15">
      <c r="A1330" s="1" t="s">
        <v>74</v>
      </c>
      <c r="B1330" s="1" t="s">
        <v>77</v>
      </c>
      <c r="C1330" s="1" t="s">
        <v>50</v>
      </c>
      <c r="D1330" s="1" t="s">
        <v>39</v>
      </c>
      <c r="E1330" s="1" t="s">
        <v>48</v>
      </c>
      <c r="F1330" s="1" t="s">
        <v>41</v>
      </c>
      <c r="G1330" s="1">
        <v>12311</v>
      </c>
      <c r="H1330" s="1">
        <f>'1_Departamento_n'!C25</f>
        <v>434332</v>
      </c>
      <c r="I1330" s="1">
        <f>'1_Departamento_n'!H25</f>
        <v>1310</v>
      </c>
      <c r="J1330" s="1">
        <f>'0_Parametros'!B7</f>
        <v>10</v>
      </c>
      <c r="K1330" s="3">
        <f>(I1330-SUM($J$1290:$J$1345))*G1330/H1330</f>
        <v>21.258507316983323</v>
      </c>
      <c r="L1330" s="1">
        <f>INT(K1330)</f>
        <v>21</v>
      </c>
      <c r="M1330" s="3">
        <f>K1330-L1330</f>
        <v>0.25850731698332297</v>
      </c>
      <c r="N1330" s="1">
        <f>COUNTIF($M$1290:$M$1345,"&gt;"&amp;M1330)+COUNTIF($M$1290:M1330,M1330)</f>
        <v>45</v>
      </c>
      <c r="O1330" s="1">
        <f>J1330+L1330+IF(N1330&lt;=I1330-SUM($J$1290:$J$1345)-SUM($L$1290:$L$1345),1,0)</f>
        <v>31</v>
      </c>
    </row>
    <row r="1331" spans="1:15">
      <c r="A1331" s="1" t="s">
        <v>74</v>
      </c>
      <c r="B1331" s="1" t="s">
        <v>77</v>
      </c>
      <c r="C1331" s="1" t="s">
        <v>50</v>
      </c>
      <c r="D1331" s="1" t="s">
        <v>39</v>
      </c>
      <c r="E1331" s="1" t="s">
        <v>48</v>
      </c>
      <c r="F1331" s="1" t="s">
        <v>42</v>
      </c>
      <c r="G1331" s="1">
        <v>6061</v>
      </c>
      <c r="H1331" s="1">
        <f>'1_Departamento_n'!C25</f>
        <v>434332</v>
      </c>
      <c r="I1331" s="1">
        <f>'1_Departamento_n'!H25</f>
        <v>1310</v>
      </c>
      <c r="J1331" s="1">
        <f>'0_Parametros'!B7</f>
        <v>10</v>
      </c>
      <c r="K1331" s="3">
        <f>(I1331-SUM($J$1290:$J$1345))*G1331/H1331</f>
        <v>10.466072037059208</v>
      </c>
      <c r="L1331" s="1">
        <f>INT(K1331)</f>
        <v>10</v>
      </c>
      <c r="M1331" s="3">
        <f>K1331-L1331</f>
        <v>0.46607203705920774</v>
      </c>
      <c r="N1331" s="1">
        <f>COUNTIF($M$1290:$M$1345,"&gt;"&amp;M1331)+COUNTIF($M$1290:M1331,M1331)</f>
        <v>32</v>
      </c>
      <c r="O1331" s="1">
        <f>J1331+L1331+IF(N1331&lt;=I1331-SUM($J$1290:$J$1345)-SUM($L$1290:$L$1345),1,0)</f>
        <v>20</v>
      </c>
    </row>
    <row r="1332" spans="1:15">
      <c r="A1332" s="1" t="s">
        <v>74</v>
      </c>
      <c r="B1332" s="1" t="s">
        <v>77</v>
      </c>
      <c r="C1332" s="1" t="s">
        <v>50</v>
      </c>
      <c r="D1332" s="1" t="s">
        <v>49</v>
      </c>
      <c r="E1332" s="1" t="s">
        <v>40</v>
      </c>
      <c r="F1332" s="1" t="s">
        <v>41</v>
      </c>
      <c r="G1332" s="1">
        <v>12268</v>
      </c>
      <c r="H1332" s="1">
        <f>'1_Departamento_n'!C25</f>
        <v>434332</v>
      </c>
      <c r="I1332" s="1">
        <f>'1_Departamento_n'!H25</f>
        <v>1310</v>
      </c>
      <c r="J1332" s="1">
        <f>'0_Parametros'!B7</f>
        <v>10</v>
      </c>
      <c r="K1332" s="3">
        <f>(I1332-SUM($J$1290:$J$1345))*G1332/H1332</f>
        <v>21.184255362257442</v>
      </c>
      <c r="L1332" s="1">
        <f>INT(K1332)</f>
        <v>21</v>
      </c>
      <c r="M1332" s="3">
        <f>K1332-L1332</f>
        <v>0.1842553622574421</v>
      </c>
      <c r="N1332" s="1">
        <f>COUNTIF($M$1290:$M$1345,"&gt;"&amp;M1332)+COUNTIF($M$1290:M1332,M1332)</f>
        <v>49</v>
      </c>
      <c r="O1332" s="1">
        <f>J1332+L1332+IF(N1332&lt;=I1332-SUM($J$1290:$J$1345)-SUM($L$1290:$L$1345),1,0)</f>
        <v>31</v>
      </c>
    </row>
    <row r="1333" spans="1:15">
      <c r="A1333" s="1" t="s">
        <v>74</v>
      </c>
      <c r="B1333" s="1" t="s">
        <v>77</v>
      </c>
      <c r="C1333" s="1" t="s">
        <v>50</v>
      </c>
      <c r="D1333" s="1" t="s">
        <v>49</v>
      </c>
      <c r="E1333" s="1" t="s">
        <v>40</v>
      </c>
      <c r="F1333" s="1" t="s">
        <v>42</v>
      </c>
      <c r="G1333" s="1">
        <v>8661</v>
      </c>
      <c r="H1333" s="1">
        <f>'1_Departamento_n'!C25</f>
        <v>434332</v>
      </c>
      <c r="I1333" s="1">
        <f>'1_Departamento_n'!H25</f>
        <v>1310</v>
      </c>
      <c r="J1333" s="1">
        <f>'0_Parametros'!B7</f>
        <v>10</v>
      </c>
      <c r="K1333" s="3">
        <f>(I1333-SUM($J$1290:$J$1345))*G1333/H1333</f>
        <v>14.95572511350764</v>
      </c>
      <c r="L1333" s="1">
        <f>INT(K1333)</f>
        <v>14</v>
      </c>
      <c r="M1333" s="3">
        <f>K1333-L1333</f>
        <v>0.9557251135076399</v>
      </c>
      <c r="N1333" s="1">
        <f>COUNTIF($M$1290:$M$1345,"&gt;"&amp;M1333)+COUNTIF($M$1290:M1333,M1333)</f>
        <v>3</v>
      </c>
      <c r="O1333" s="1">
        <f>J1333+L1333+IF(N1333&lt;=I1333-SUM($J$1290:$J$1345)-SUM($L$1290:$L$1345),1,0)</f>
        <v>25</v>
      </c>
    </row>
    <row r="1334" spans="1:15">
      <c r="A1334" s="1" t="s">
        <v>74</v>
      </c>
      <c r="B1334" s="1" t="s">
        <v>77</v>
      </c>
      <c r="C1334" s="1" t="s">
        <v>50</v>
      </c>
      <c r="D1334" s="1" t="s">
        <v>49</v>
      </c>
      <c r="E1334" s="1" t="s">
        <v>43</v>
      </c>
      <c r="F1334" s="1" t="s">
        <v>41</v>
      </c>
      <c r="G1334" s="1">
        <v>16171</v>
      </c>
      <c r="H1334" s="1">
        <f>'1_Departamento_n'!C25</f>
        <v>434332</v>
      </c>
      <c r="I1334" s="1">
        <f>'1_Departamento_n'!H25</f>
        <v>1310</v>
      </c>
      <c r="J1334" s="1">
        <f>'0_Parametros'!B7</f>
        <v>10</v>
      </c>
      <c r="K1334" s="3">
        <f>(I1334-SUM($J$1290:$J$1345))*G1334/H1334</f>
        <v>27.923915345864454</v>
      </c>
      <c r="L1334" s="1">
        <f>INT(K1334)</f>
        <v>27</v>
      </c>
      <c r="M1334" s="3">
        <f>K1334-L1334</f>
        <v>0.9239153458644545</v>
      </c>
      <c r="N1334" s="1">
        <f>COUNTIF($M$1290:$M$1345,"&gt;"&amp;M1334)+COUNTIF($M$1290:M1334,M1334)</f>
        <v>6</v>
      </c>
      <c r="O1334" s="1">
        <f>J1334+L1334+IF(N1334&lt;=I1334-SUM($J$1290:$J$1345)-SUM($L$1290:$L$1345),1,0)</f>
        <v>38</v>
      </c>
    </row>
    <row r="1335" spans="1:15">
      <c r="A1335" s="1" t="s">
        <v>74</v>
      </c>
      <c r="B1335" s="1" t="s">
        <v>77</v>
      </c>
      <c r="C1335" s="1" t="s">
        <v>50</v>
      </c>
      <c r="D1335" s="1" t="s">
        <v>49</v>
      </c>
      <c r="E1335" s="1" t="s">
        <v>43</v>
      </c>
      <c r="F1335" s="1" t="s">
        <v>42</v>
      </c>
      <c r="G1335" s="1">
        <v>8486</v>
      </c>
      <c r="H1335" s="1">
        <f>'1_Departamento_n'!C25</f>
        <v>434332</v>
      </c>
      <c r="I1335" s="1">
        <f>'1_Departamento_n'!H25</f>
        <v>1310</v>
      </c>
      <c r="J1335" s="1">
        <f>'0_Parametros'!B7</f>
        <v>10</v>
      </c>
      <c r="K1335" s="3">
        <f>(I1335-SUM($J$1290:$J$1345))*G1335/H1335</f>
        <v>14.653536925669764</v>
      </c>
      <c r="L1335" s="1">
        <f>INT(K1335)</f>
        <v>14</v>
      </c>
      <c r="M1335" s="3">
        <f>K1335-L1335</f>
        <v>0.6535369256697638</v>
      </c>
      <c r="N1335" s="1">
        <f>COUNTIF($M$1290:$M$1345,"&gt;"&amp;M1335)+COUNTIF($M$1290:M1335,M1335)</f>
        <v>24</v>
      </c>
      <c r="O1335" s="1">
        <f>J1335+L1335+IF(N1335&lt;=I1335-SUM($J$1290:$J$1345)-SUM($L$1290:$L$1345),1,0)</f>
        <v>25</v>
      </c>
    </row>
    <row r="1336" spans="1:15">
      <c r="A1336" s="1" t="s">
        <v>74</v>
      </c>
      <c r="B1336" s="1" t="s">
        <v>77</v>
      </c>
      <c r="C1336" s="1" t="s">
        <v>50</v>
      </c>
      <c r="D1336" s="1" t="s">
        <v>49</v>
      </c>
      <c r="E1336" s="1" t="s">
        <v>44</v>
      </c>
      <c r="F1336" s="1" t="s">
        <v>41</v>
      </c>
      <c r="G1336" s="1">
        <v>11763</v>
      </c>
      <c r="H1336" s="1">
        <f>'1_Departamento_n'!C25</f>
        <v>434332</v>
      </c>
      <c r="I1336" s="1">
        <f>'1_Departamento_n'!H25</f>
        <v>1310</v>
      </c>
      <c r="J1336" s="1">
        <f>'0_Parametros'!B7</f>
        <v>10</v>
      </c>
      <c r="K1336" s="3">
        <f>(I1336-SUM($J$1290:$J$1345))*G1336/H1336</f>
        <v>20.312226591639575</v>
      </c>
      <c r="L1336" s="1">
        <f>INT(K1336)</f>
        <v>20</v>
      </c>
      <c r="M1336" s="3">
        <f>K1336-L1336</f>
        <v>0.31222659163957545</v>
      </c>
      <c r="N1336" s="1">
        <f>COUNTIF($M$1290:$M$1345,"&gt;"&amp;M1336)+COUNTIF($M$1290:M1336,M1336)</f>
        <v>42</v>
      </c>
      <c r="O1336" s="1">
        <f>J1336+L1336+IF(N1336&lt;=I1336-SUM($J$1290:$J$1345)-SUM($L$1290:$L$1345),1,0)</f>
        <v>30</v>
      </c>
    </row>
    <row r="1337" spans="1:15">
      <c r="A1337" s="1" t="s">
        <v>74</v>
      </c>
      <c r="B1337" s="1" t="s">
        <v>77</v>
      </c>
      <c r="C1337" s="1" t="s">
        <v>50</v>
      </c>
      <c r="D1337" s="1" t="s">
        <v>49</v>
      </c>
      <c r="E1337" s="1" t="s">
        <v>44</v>
      </c>
      <c r="F1337" s="1" t="s">
        <v>42</v>
      </c>
      <c r="G1337" s="1">
        <v>6711</v>
      </c>
      <c r="H1337" s="1">
        <f>'1_Departamento_n'!C25</f>
        <v>434332</v>
      </c>
      <c r="I1337" s="1">
        <f>'1_Departamento_n'!H25</f>
        <v>1310</v>
      </c>
      <c r="J1337" s="1">
        <f>'0_Parametros'!B7</f>
        <v>10</v>
      </c>
      <c r="K1337" s="3">
        <f>(I1337-SUM($J$1290:$J$1345))*G1337/H1337</f>
        <v>11.588485306171316</v>
      </c>
      <c r="L1337" s="1">
        <f>INT(K1337)</f>
        <v>11</v>
      </c>
      <c r="M1337" s="3">
        <f>K1337-L1337</f>
        <v>0.5884853061713162</v>
      </c>
      <c r="N1337" s="1">
        <f>COUNTIF($M$1290:$M$1345,"&gt;"&amp;M1337)+COUNTIF($M$1290:M1337,M1337)</f>
        <v>26</v>
      </c>
      <c r="O1337" s="1">
        <f>J1337+L1337+IF(N1337&lt;=I1337-SUM($J$1290:$J$1345)-SUM($L$1290:$L$1345),1,0)</f>
        <v>22</v>
      </c>
    </row>
    <row r="1338" spans="1:15">
      <c r="A1338" s="1" t="s">
        <v>74</v>
      </c>
      <c r="B1338" s="1" t="s">
        <v>77</v>
      </c>
      <c r="C1338" s="1" t="s">
        <v>50</v>
      </c>
      <c r="D1338" s="1" t="s">
        <v>49</v>
      </c>
      <c r="E1338" s="1" t="s">
        <v>45</v>
      </c>
      <c r="F1338" s="1" t="s">
        <v>41</v>
      </c>
      <c r="G1338" s="1">
        <v>10479</v>
      </c>
      <c r="H1338" s="1">
        <f>'1_Departamento_n'!C25</f>
        <v>434332</v>
      </c>
      <c r="I1338" s="1">
        <f>'1_Departamento_n'!H25</f>
        <v>1310</v>
      </c>
      <c r="J1338" s="1">
        <f>'0_Parametros'!B7</f>
        <v>10</v>
      </c>
      <c r="K1338" s="3">
        <f>(I1338-SUM($J$1290:$J$1345))*G1338/H1338</f>
        <v>18.095028687731965</v>
      </c>
      <c r="L1338" s="1">
        <f>INT(K1338)</f>
        <v>18</v>
      </c>
      <c r="M1338" s="3">
        <f>K1338-L1338</f>
        <v>0.09502868773196482</v>
      </c>
      <c r="N1338" s="1">
        <f>COUNTIF($M$1290:$M$1345,"&gt;"&amp;M1338)+COUNTIF($M$1290:M1338,M1338)</f>
        <v>53</v>
      </c>
      <c r="O1338" s="1">
        <f>J1338+L1338+IF(N1338&lt;=I1338-SUM($J$1290:$J$1345)-SUM($L$1290:$L$1345),1,0)</f>
        <v>28</v>
      </c>
    </row>
    <row r="1339" spans="1:15">
      <c r="A1339" s="1" t="s">
        <v>74</v>
      </c>
      <c r="B1339" s="1" t="s">
        <v>77</v>
      </c>
      <c r="C1339" s="1" t="s">
        <v>50</v>
      </c>
      <c r="D1339" s="1" t="s">
        <v>49</v>
      </c>
      <c r="E1339" s="1" t="s">
        <v>45</v>
      </c>
      <c r="F1339" s="1" t="s">
        <v>42</v>
      </c>
      <c r="G1339" s="1">
        <v>6322</v>
      </c>
      <c r="H1339" s="1">
        <f>'1_Departamento_n'!C25</f>
        <v>434332</v>
      </c>
      <c r="I1339" s="1">
        <f>'1_Departamento_n'!H25</f>
        <v>1310</v>
      </c>
      <c r="J1339" s="1">
        <f>'0_Parametros'!B7</f>
        <v>10</v>
      </c>
      <c r="K1339" s="3">
        <f>(I1339-SUM($J$1290:$J$1345))*G1339/H1339</f>
        <v>10.916764134348838</v>
      </c>
      <c r="L1339" s="1">
        <f>INT(K1339)</f>
        <v>10</v>
      </c>
      <c r="M1339" s="3">
        <f>K1339-L1339</f>
        <v>0.9167641343488384</v>
      </c>
      <c r="N1339" s="1">
        <f>COUNTIF($M$1290:$M$1345,"&gt;"&amp;M1339)+COUNTIF($M$1290:M1339,M1339)</f>
        <v>7</v>
      </c>
      <c r="O1339" s="1">
        <f>J1339+L1339+IF(N1339&lt;=I1339-SUM($J$1290:$J$1345)-SUM($L$1290:$L$1345),1,0)</f>
        <v>21</v>
      </c>
    </row>
    <row r="1340" spans="1:15">
      <c r="A1340" s="1" t="s">
        <v>74</v>
      </c>
      <c r="B1340" s="1" t="s">
        <v>77</v>
      </c>
      <c r="C1340" s="1" t="s">
        <v>50</v>
      </c>
      <c r="D1340" s="1" t="s">
        <v>49</v>
      </c>
      <c r="E1340" s="1" t="s">
        <v>46</v>
      </c>
      <c r="F1340" s="1" t="s">
        <v>41</v>
      </c>
      <c r="G1340" s="1">
        <v>9479</v>
      </c>
      <c r="H1340" s="1">
        <f>'1_Departamento_n'!C25</f>
        <v>434332</v>
      </c>
      <c r="I1340" s="1">
        <f>'1_Departamento_n'!H25</f>
        <v>1310</v>
      </c>
      <c r="J1340" s="1">
        <f>'0_Parametros'!B7</f>
        <v>10</v>
      </c>
      <c r="K1340" s="3">
        <f>(I1340-SUM($J$1290:$J$1345))*G1340/H1340</f>
        <v>16.368239042944108</v>
      </c>
      <c r="L1340" s="1">
        <f>INT(K1340)</f>
        <v>16</v>
      </c>
      <c r="M1340" s="3">
        <f>K1340-L1340</f>
        <v>0.3682390429441078</v>
      </c>
      <c r="N1340" s="1">
        <f>COUNTIF($M$1290:$M$1345,"&gt;"&amp;M1340)+COUNTIF($M$1290:M1340,M1340)</f>
        <v>37</v>
      </c>
      <c r="O1340" s="1">
        <f>J1340+L1340+IF(N1340&lt;=I1340-SUM($J$1290:$J$1345)-SUM($L$1290:$L$1345),1,0)</f>
        <v>26</v>
      </c>
    </row>
    <row r="1341" spans="1:15">
      <c r="A1341" s="1" t="s">
        <v>74</v>
      </c>
      <c r="B1341" s="1" t="s">
        <v>77</v>
      </c>
      <c r="C1341" s="1" t="s">
        <v>50</v>
      </c>
      <c r="D1341" s="1" t="s">
        <v>49</v>
      </c>
      <c r="E1341" s="1" t="s">
        <v>46</v>
      </c>
      <c r="F1341" s="1" t="s">
        <v>42</v>
      </c>
      <c r="G1341" s="1">
        <v>5178</v>
      </c>
      <c r="H1341" s="1">
        <f>'1_Departamento_n'!C25</f>
        <v>434332</v>
      </c>
      <c r="I1341" s="1">
        <f>'1_Departamento_n'!H25</f>
        <v>1310</v>
      </c>
      <c r="J1341" s="1">
        <f>'0_Parametros'!B7</f>
        <v>10</v>
      </c>
      <c r="K1341" s="3">
        <f>(I1341-SUM($J$1290:$J$1345))*G1341/H1341</f>
        <v>8.94131678071153</v>
      </c>
      <c r="L1341" s="1">
        <f>INT(K1341)</f>
        <v>8</v>
      </c>
      <c r="M1341" s="3">
        <f>K1341-L1341</f>
        <v>0.9413167807115297</v>
      </c>
      <c r="N1341" s="1">
        <f>COUNTIF($M$1290:$M$1345,"&gt;"&amp;M1341)+COUNTIF($M$1290:M1341,M1341)</f>
        <v>4</v>
      </c>
      <c r="O1341" s="1">
        <f>J1341+L1341+IF(N1341&lt;=I1341-SUM($J$1290:$J$1345)-SUM($L$1290:$L$1345),1,0)</f>
        <v>19</v>
      </c>
    </row>
    <row r="1342" spans="1:15">
      <c r="A1342" s="1" t="s">
        <v>74</v>
      </c>
      <c r="B1342" s="1" t="s">
        <v>77</v>
      </c>
      <c r="C1342" s="1" t="s">
        <v>50</v>
      </c>
      <c r="D1342" s="1" t="s">
        <v>49</v>
      </c>
      <c r="E1342" s="1" t="s">
        <v>47</v>
      </c>
      <c r="F1342" s="1" t="s">
        <v>41</v>
      </c>
      <c r="G1342" s="1">
        <v>8925</v>
      </c>
      <c r="H1342" s="1">
        <f>'1_Departamento_n'!C25</f>
        <v>434332</v>
      </c>
      <c r="I1342" s="1">
        <f>'1_Departamento_n'!H25</f>
        <v>1310</v>
      </c>
      <c r="J1342" s="1">
        <f>'0_Parametros'!B7</f>
        <v>10</v>
      </c>
      <c r="K1342" s="3">
        <f>(I1342-SUM($J$1290:$J$1345))*G1342/H1342</f>
        <v>15.411597579731634</v>
      </c>
      <c r="L1342" s="1">
        <f>INT(K1342)</f>
        <v>15</v>
      </c>
      <c r="M1342" s="3">
        <f>K1342-L1342</f>
        <v>0.4115975797316338</v>
      </c>
      <c r="N1342" s="1">
        <f>COUNTIF($M$1290:$M$1345,"&gt;"&amp;M1342)+COUNTIF($M$1290:M1342,M1342)</f>
        <v>36</v>
      </c>
      <c r="O1342" s="1">
        <f>J1342+L1342+IF(N1342&lt;=I1342-SUM($J$1290:$J$1345)-SUM($L$1290:$L$1345),1,0)</f>
        <v>25</v>
      </c>
    </row>
    <row r="1343" spans="1:15">
      <c r="A1343" s="1" t="s">
        <v>74</v>
      </c>
      <c r="B1343" s="1" t="s">
        <v>77</v>
      </c>
      <c r="C1343" s="1" t="s">
        <v>50</v>
      </c>
      <c r="D1343" s="1" t="s">
        <v>49</v>
      </c>
      <c r="E1343" s="1" t="s">
        <v>47</v>
      </c>
      <c r="F1343" s="1" t="s">
        <v>42</v>
      </c>
      <c r="G1343" s="1">
        <v>4937</v>
      </c>
      <c r="H1343" s="1">
        <f>'1_Departamento_n'!C25</f>
        <v>434332</v>
      </c>
      <c r="I1343" s="1">
        <f>'1_Departamento_n'!H25</f>
        <v>1310</v>
      </c>
      <c r="J1343" s="1">
        <f>'0_Parametros'!B7</f>
        <v>10</v>
      </c>
      <c r="K1343" s="3">
        <f>(I1343-SUM($J$1290:$J$1345))*G1343/H1343</f>
        <v>8.525160476317655</v>
      </c>
      <c r="L1343" s="1">
        <f>INT(K1343)</f>
        <v>8</v>
      </c>
      <c r="M1343" s="3">
        <f>K1343-L1343</f>
        <v>0.5251604763176552</v>
      </c>
      <c r="N1343" s="1">
        <f>COUNTIF($M$1290:$M$1345,"&gt;"&amp;M1343)+COUNTIF($M$1290:M1343,M1343)</f>
        <v>28</v>
      </c>
      <c r="O1343" s="1">
        <f>J1343+L1343+IF(N1343&lt;=I1343-SUM($J$1290:$J$1345)-SUM($L$1290:$L$1345),1,0)</f>
        <v>19</v>
      </c>
    </row>
    <row r="1344" spans="1:15">
      <c r="A1344" s="1" t="s">
        <v>74</v>
      </c>
      <c r="B1344" s="1" t="s">
        <v>77</v>
      </c>
      <c r="C1344" s="1" t="s">
        <v>50</v>
      </c>
      <c r="D1344" s="1" t="s">
        <v>49</v>
      </c>
      <c r="E1344" s="1" t="s">
        <v>48</v>
      </c>
      <c r="F1344" s="1" t="s">
        <v>41</v>
      </c>
      <c r="G1344" s="1">
        <v>11774</v>
      </c>
      <c r="H1344" s="1">
        <f>'1_Departamento_n'!C25</f>
        <v>434332</v>
      </c>
      <c r="I1344" s="1">
        <f>'1_Departamento_n'!H25</f>
        <v>1310</v>
      </c>
      <c r="J1344" s="1">
        <f>'0_Parametros'!B7</f>
        <v>10</v>
      </c>
      <c r="K1344" s="3">
        <f>(I1344-SUM($J$1290:$J$1345))*G1344/H1344</f>
        <v>20.33122127773224</v>
      </c>
      <c r="L1344" s="1">
        <f>INT(K1344)</f>
        <v>20</v>
      </c>
      <c r="M1344" s="3">
        <f>K1344-L1344</f>
        <v>0.3312212777322401</v>
      </c>
      <c r="N1344" s="1">
        <f>COUNTIF($M$1290:$M$1345,"&gt;"&amp;M1344)+COUNTIF($M$1290:M1344,M1344)</f>
        <v>41</v>
      </c>
      <c r="O1344" s="1">
        <f>J1344+L1344+IF(N1344&lt;=I1344-SUM($J$1290:$J$1345)-SUM($L$1290:$L$1345),1,0)</f>
        <v>30</v>
      </c>
    </row>
    <row r="1345" spans="1:15">
      <c r="A1345" s="1" t="s">
        <v>74</v>
      </c>
      <c r="B1345" s="1" t="s">
        <v>77</v>
      </c>
      <c r="C1345" s="1" t="s">
        <v>50</v>
      </c>
      <c r="D1345" s="1" t="s">
        <v>49</v>
      </c>
      <c r="E1345" s="1" t="s">
        <v>48</v>
      </c>
      <c r="F1345" s="1" t="s">
        <v>42</v>
      </c>
      <c r="G1345" s="1">
        <v>7341</v>
      </c>
      <c r="H1345" s="1">
        <f>'1_Departamento_n'!C25</f>
        <v>434332</v>
      </c>
      <c r="I1345" s="1">
        <f>'1_Departamento_n'!H25</f>
        <v>1310</v>
      </c>
      <c r="J1345" s="1">
        <f>'0_Parametros'!B7</f>
        <v>10</v>
      </c>
      <c r="K1345" s="3">
        <f>(I1345-SUM($J$1290:$J$1345))*G1345/H1345</f>
        <v>12.676362782387667</v>
      </c>
      <c r="L1345" s="1">
        <f>INT(K1345)</f>
        <v>12</v>
      </c>
      <c r="M1345" s="3">
        <f>K1345-L1345</f>
        <v>0.6763627823876668</v>
      </c>
      <c r="N1345" s="1">
        <f>COUNTIF($M$1290:$M$1345,"&gt;"&amp;M1345)+COUNTIF($M$1290:M1345,M1345)</f>
        <v>21</v>
      </c>
      <c r="O1345" s="1">
        <f>J1345+L1345+IF(N1345&lt;=I1345-SUM($J$1290:$J$1345)-SUM($L$1290:$L$1345),1,0)</f>
        <v>23</v>
      </c>
    </row>
    <row r="1346" spans="1:15">
      <c r="A1346" s="1" t="s">
        <v>74</v>
      </c>
      <c r="B1346" s="1" t="s">
        <v>78</v>
      </c>
      <c r="C1346" s="1" t="s">
        <v>38</v>
      </c>
      <c r="D1346" s="1" t="s">
        <v>39</v>
      </c>
      <c r="E1346" s="1" t="s">
        <v>40</v>
      </c>
      <c r="F1346" s="1" t="s">
        <v>41</v>
      </c>
      <c r="G1346" s="1">
        <v>134</v>
      </c>
      <c r="H1346" s="1">
        <f>'1_Departamento_n'!C26</f>
        <v>54596</v>
      </c>
      <c r="I1346" s="1">
        <f>'1_Departamento_n'!H26</f>
        <v>1291</v>
      </c>
      <c r="J1346" s="1">
        <f>'0_Parametros'!B7</f>
        <v>10</v>
      </c>
      <c r="K1346" s="3">
        <f>(I1346-SUM($J$1346:$J$1401))*G1346/H1346</f>
        <v>1.7941607443768774</v>
      </c>
      <c r="L1346" s="1">
        <f>INT(K1346)</f>
        <v>1</v>
      </c>
      <c r="M1346" s="3">
        <f>K1346-L1346</f>
        <v>0.7941607443768774</v>
      </c>
      <c r="N1346" s="1">
        <f>COUNTIF($M$1346:$M$1401,"&gt;"&amp;M1346)+COUNTIF($M$1346:M1346,M1346)</f>
        <v>12</v>
      </c>
      <c r="O1346" s="1">
        <f>J1346+L1346+IF(N1346&lt;=I1346-SUM($J$1346:$J$1401)-SUM($L$1346:$L$1401),1,0)</f>
        <v>12</v>
      </c>
    </row>
    <row r="1347" spans="1:15">
      <c r="A1347" s="1" t="s">
        <v>74</v>
      </c>
      <c r="B1347" s="1" t="s">
        <v>78</v>
      </c>
      <c r="C1347" s="1" t="s">
        <v>38</v>
      </c>
      <c r="D1347" s="1" t="s">
        <v>39</v>
      </c>
      <c r="E1347" s="1" t="s">
        <v>40</v>
      </c>
      <c r="F1347" s="1" t="s">
        <v>42</v>
      </c>
      <c r="G1347" s="1">
        <v>125</v>
      </c>
      <c r="H1347" s="1">
        <f>'1_Departamento_n'!C26</f>
        <v>54596</v>
      </c>
      <c r="I1347" s="1">
        <f>'1_Departamento_n'!H26</f>
        <v>1291</v>
      </c>
      <c r="J1347" s="1">
        <f>'0_Parametros'!B7</f>
        <v>10</v>
      </c>
      <c r="K1347" s="3">
        <f>(I1347-SUM($J$1346:$J$1401))*G1347/H1347</f>
        <v>1.673657410799326</v>
      </c>
      <c r="L1347" s="1">
        <f>INT(K1347)</f>
        <v>1</v>
      </c>
      <c r="M1347" s="3">
        <f>K1347-L1347</f>
        <v>0.6736574107993261</v>
      </c>
      <c r="N1347" s="1">
        <f>COUNTIF($M$1346:$M$1401,"&gt;"&amp;M1347)+COUNTIF($M$1346:M1347,M1347)</f>
        <v>17</v>
      </c>
      <c r="O1347" s="1">
        <f>J1347+L1347+IF(N1347&lt;=I1347-SUM($J$1346:$J$1401)-SUM($L$1346:$L$1401),1,0)</f>
        <v>12</v>
      </c>
    </row>
    <row r="1348" spans="1:15">
      <c r="A1348" s="1" t="s">
        <v>74</v>
      </c>
      <c r="B1348" s="1" t="s">
        <v>78</v>
      </c>
      <c r="C1348" s="1" t="s">
        <v>38</v>
      </c>
      <c r="D1348" s="1" t="s">
        <v>39</v>
      </c>
      <c r="E1348" s="1" t="s">
        <v>43</v>
      </c>
      <c r="F1348" s="1" t="s">
        <v>41</v>
      </c>
      <c r="G1348" s="1">
        <v>135</v>
      </c>
      <c r="H1348" s="1">
        <f>'1_Departamento_n'!C26</f>
        <v>54596</v>
      </c>
      <c r="I1348" s="1">
        <f>'1_Departamento_n'!H26</f>
        <v>1291</v>
      </c>
      <c r="J1348" s="1">
        <f>'0_Parametros'!B7</f>
        <v>10</v>
      </c>
      <c r="K1348" s="3">
        <f>(I1348-SUM($J$1346:$J$1401))*G1348/H1348</f>
        <v>1.8075500036632721</v>
      </c>
      <c r="L1348" s="1">
        <f>INT(K1348)</f>
        <v>1</v>
      </c>
      <c r="M1348" s="3">
        <f>K1348-L1348</f>
        <v>0.8075500036632721</v>
      </c>
      <c r="N1348" s="1">
        <f>COUNTIF($M$1346:$M$1401,"&gt;"&amp;M1348)+COUNTIF($M$1346:M1348,M1348)</f>
        <v>11</v>
      </c>
      <c r="O1348" s="1">
        <f>J1348+L1348+IF(N1348&lt;=I1348-SUM($J$1346:$J$1401)-SUM($L$1346:$L$1401),1,0)</f>
        <v>12</v>
      </c>
    </row>
    <row r="1349" spans="1:15">
      <c r="A1349" s="1" t="s">
        <v>74</v>
      </c>
      <c r="B1349" s="1" t="s">
        <v>78</v>
      </c>
      <c r="C1349" s="1" t="s">
        <v>38</v>
      </c>
      <c r="D1349" s="1" t="s">
        <v>39</v>
      </c>
      <c r="E1349" s="1" t="s">
        <v>43</v>
      </c>
      <c r="F1349" s="1" t="s">
        <v>42</v>
      </c>
      <c r="G1349" s="1">
        <v>102</v>
      </c>
      <c r="H1349" s="1">
        <f>'1_Departamento_n'!C26</f>
        <v>54596</v>
      </c>
      <c r="I1349" s="1">
        <f>'1_Departamento_n'!H26</f>
        <v>1291</v>
      </c>
      <c r="J1349" s="1">
        <f>'0_Parametros'!B7</f>
        <v>10</v>
      </c>
      <c r="K1349" s="3">
        <f>(I1349-SUM($J$1346:$J$1401))*G1349/H1349</f>
        <v>1.36570444721225</v>
      </c>
      <c r="L1349" s="1">
        <f>INT(K1349)</f>
        <v>1</v>
      </c>
      <c r="M1349" s="3">
        <f>K1349-L1349</f>
        <v>0.36570444721224993</v>
      </c>
      <c r="N1349" s="1">
        <f>COUNTIF($M$1346:$M$1401,"&gt;"&amp;M1349)+COUNTIF($M$1346:M1349,M1349)</f>
        <v>34</v>
      </c>
      <c r="O1349" s="1">
        <f>J1349+L1349+IF(N1349&lt;=I1349-SUM($J$1346:$J$1401)-SUM($L$1346:$L$1401),1,0)</f>
        <v>11</v>
      </c>
    </row>
    <row r="1350" spans="1:15">
      <c r="A1350" s="1" t="s">
        <v>74</v>
      </c>
      <c r="B1350" s="1" t="s">
        <v>78</v>
      </c>
      <c r="C1350" s="1" t="s">
        <v>38</v>
      </c>
      <c r="D1350" s="1" t="s">
        <v>39</v>
      </c>
      <c r="E1350" s="1" t="s">
        <v>44</v>
      </c>
      <c r="F1350" s="1" t="s">
        <v>41</v>
      </c>
      <c r="G1350" s="1">
        <v>450</v>
      </c>
      <c r="H1350" s="1">
        <f>'1_Departamento_n'!C26</f>
        <v>54596</v>
      </c>
      <c r="I1350" s="1">
        <f>'1_Departamento_n'!H26</f>
        <v>1291</v>
      </c>
      <c r="J1350" s="1">
        <f>'0_Parametros'!B7</f>
        <v>10</v>
      </c>
      <c r="K1350" s="3">
        <f>(I1350-SUM($J$1346:$J$1401))*G1350/H1350</f>
        <v>6.025166678877573</v>
      </c>
      <c r="L1350" s="1">
        <f>INT(K1350)</f>
        <v>6</v>
      </c>
      <c r="M1350" s="3">
        <f>K1350-L1350</f>
        <v>0.02516667887757329</v>
      </c>
      <c r="N1350" s="1">
        <f>COUNTIF($M$1346:$M$1401,"&gt;"&amp;M1350)+COUNTIF($M$1346:M1350,M1350)</f>
        <v>55</v>
      </c>
      <c r="O1350" s="1">
        <f>J1350+L1350+IF(N1350&lt;=I1350-SUM($J$1346:$J$1401)-SUM($L$1346:$L$1401),1,0)</f>
        <v>16</v>
      </c>
    </row>
    <row r="1351" spans="1:15">
      <c r="A1351" s="1" t="s">
        <v>74</v>
      </c>
      <c r="B1351" s="1" t="s">
        <v>78</v>
      </c>
      <c r="C1351" s="1" t="s">
        <v>38</v>
      </c>
      <c r="D1351" s="1" t="s">
        <v>39</v>
      </c>
      <c r="E1351" s="1" t="s">
        <v>44</v>
      </c>
      <c r="F1351" s="1" t="s">
        <v>42</v>
      </c>
      <c r="G1351" s="1">
        <v>228</v>
      </c>
      <c r="H1351" s="1">
        <f>'1_Departamento_n'!C26</f>
        <v>54596</v>
      </c>
      <c r="I1351" s="1">
        <f>'1_Departamento_n'!H26</f>
        <v>1291</v>
      </c>
      <c r="J1351" s="1">
        <f>'0_Parametros'!B7</f>
        <v>10</v>
      </c>
      <c r="K1351" s="3">
        <f>(I1351-SUM($J$1346:$J$1401))*G1351/H1351</f>
        <v>3.0527511172979707</v>
      </c>
      <c r="L1351" s="1">
        <f>INT(K1351)</f>
        <v>3</v>
      </c>
      <c r="M1351" s="3">
        <f>K1351-L1351</f>
        <v>0.05275111729797066</v>
      </c>
      <c r="N1351" s="1">
        <f>COUNTIF($M$1346:$M$1401,"&gt;"&amp;M1351)+COUNTIF($M$1346:M1351,M1351)</f>
        <v>53</v>
      </c>
      <c r="O1351" s="1">
        <f>J1351+L1351+IF(N1351&lt;=I1351-SUM($J$1346:$J$1401)-SUM($L$1346:$L$1401),1,0)</f>
        <v>13</v>
      </c>
    </row>
    <row r="1352" spans="1:15">
      <c r="A1352" s="1" t="s">
        <v>74</v>
      </c>
      <c r="B1352" s="1" t="s">
        <v>78</v>
      </c>
      <c r="C1352" s="1" t="s">
        <v>38</v>
      </c>
      <c r="D1352" s="1" t="s">
        <v>39</v>
      </c>
      <c r="E1352" s="1" t="s">
        <v>45</v>
      </c>
      <c r="F1352" s="1" t="s">
        <v>41</v>
      </c>
      <c r="G1352" s="1">
        <v>521</v>
      </c>
      <c r="H1352" s="1">
        <f>'1_Departamento_n'!C26</f>
        <v>54596</v>
      </c>
      <c r="I1352" s="1">
        <f>'1_Departamento_n'!H26</f>
        <v>1291</v>
      </c>
      <c r="J1352" s="1">
        <f>'0_Parametros'!B7</f>
        <v>10</v>
      </c>
      <c r="K1352" s="3">
        <f>(I1352-SUM($J$1346:$J$1401))*G1352/H1352</f>
        <v>6.975804088211591</v>
      </c>
      <c r="L1352" s="1">
        <f>INT(K1352)</f>
        <v>6</v>
      </c>
      <c r="M1352" s="3">
        <f>K1352-L1352</f>
        <v>0.975804088211591</v>
      </c>
      <c r="N1352" s="1">
        <f>COUNTIF($M$1346:$M$1401,"&gt;"&amp;M1352)+COUNTIF($M$1346:M1352,M1352)</f>
        <v>1</v>
      </c>
      <c r="O1352" s="1">
        <f>J1352+L1352+IF(N1352&lt;=I1352-SUM($J$1346:$J$1401)-SUM($L$1346:$L$1401),1,0)</f>
        <v>17</v>
      </c>
    </row>
    <row r="1353" spans="1:15">
      <c r="A1353" s="1" t="s">
        <v>74</v>
      </c>
      <c r="B1353" s="1" t="s">
        <v>78</v>
      </c>
      <c r="C1353" s="1" t="s">
        <v>38</v>
      </c>
      <c r="D1353" s="1" t="s">
        <v>39</v>
      </c>
      <c r="E1353" s="1" t="s">
        <v>45</v>
      </c>
      <c r="F1353" s="1" t="s">
        <v>42</v>
      </c>
      <c r="G1353" s="1">
        <v>339</v>
      </c>
      <c r="H1353" s="1">
        <f>'1_Departamento_n'!C26</f>
        <v>54596</v>
      </c>
      <c r="I1353" s="1">
        <f>'1_Departamento_n'!H26</f>
        <v>1291</v>
      </c>
      <c r="J1353" s="1">
        <f>'0_Parametros'!B7</f>
        <v>10</v>
      </c>
      <c r="K1353" s="3">
        <f>(I1353-SUM($J$1346:$J$1401))*G1353/H1353</f>
        <v>4.538958898087772</v>
      </c>
      <c r="L1353" s="1">
        <f>INT(K1353)</f>
        <v>4</v>
      </c>
      <c r="M1353" s="3">
        <f>K1353-L1353</f>
        <v>0.5389588980877722</v>
      </c>
      <c r="N1353" s="1">
        <f>COUNTIF($M$1346:$M$1401,"&gt;"&amp;M1353)+COUNTIF($M$1346:M1353,M1353)</f>
        <v>24</v>
      </c>
      <c r="O1353" s="1">
        <f>J1353+L1353+IF(N1353&lt;=I1353-SUM($J$1346:$J$1401)-SUM($L$1346:$L$1401),1,0)</f>
        <v>15</v>
      </c>
    </row>
    <row r="1354" spans="1:15">
      <c r="A1354" s="1" t="s">
        <v>74</v>
      </c>
      <c r="B1354" s="1" t="s">
        <v>78</v>
      </c>
      <c r="C1354" s="1" t="s">
        <v>38</v>
      </c>
      <c r="D1354" s="1" t="s">
        <v>39</v>
      </c>
      <c r="E1354" s="1" t="s">
        <v>46</v>
      </c>
      <c r="F1354" s="1" t="s">
        <v>41</v>
      </c>
      <c r="G1354" s="1">
        <v>324</v>
      </c>
      <c r="H1354" s="1">
        <f>'1_Departamento_n'!C26</f>
        <v>54596</v>
      </c>
      <c r="I1354" s="1">
        <f>'1_Departamento_n'!H26</f>
        <v>1291</v>
      </c>
      <c r="J1354" s="1">
        <f>'0_Parametros'!B7</f>
        <v>10</v>
      </c>
      <c r="K1354" s="3">
        <f>(I1354-SUM($J$1346:$J$1401))*G1354/H1354</f>
        <v>4.3381200087918526</v>
      </c>
      <c r="L1354" s="1">
        <f>INT(K1354)</f>
        <v>4</v>
      </c>
      <c r="M1354" s="3">
        <f>K1354-L1354</f>
        <v>0.33812000879185256</v>
      </c>
      <c r="N1354" s="1">
        <f>COUNTIF($M$1346:$M$1401,"&gt;"&amp;M1354)+COUNTIF($M$1346:M1354,M1354)</f>
        <v>36</v>
      </c>
      <c r="O1354" s="1">
        <f>J1354+L1354+IF(N1354&lt;=I1354-SUM($J$1346:$J$1401)-SUM($L$1346:$L$1401),1,0)</f>
        <v>14</v>
      </c>
    </row>
    <row r="1355" spans="1:15">
      <c r="A1355" s="1" t="s">
        <v>74</v>
      </c>
      <c r="B1355" s="1" t="s">
        <v>78</v>
      </c>
      <c r="C1355" s="1" t="s">
        <v>38</v>
      </c>
      <c r="D1355" s="1" t="s">
        <v>39</v>
      </c>
      <c r="E1355" s="1" t="s">
        <v>46</v>
      </c>
      <c r="F1355" s="1" t="s">
        <v>42</v>
      </c>
      <c r="G1355" s="1">
        <v>181</v>
      </c>
      <c r="H1355" s="1">
        <f>'1_Departamento_n'!C26</f>
        <v>54596</v>
      </c>
      <c r="I1355" s="1">
        <f>'1_Departamento_n'!H26</f>
        <v>1291</v>
      </c>
      <c r="J1355" s="1">
        <f>'0_Parametros'!B7</f>
        <v>10</v>
      </c>
      <c r="K1355" s="3">
        <f>(I1355-SUM($J$1346:$J$1401))*G1355/H1355</f>
        <v>2.423455930837424</v>
      </c>
      <c r="L1355" s="1">
        <f>INT(K1355)</f>
        <v>2</v>
      </c>
      <c r="M1355" s="3">
        <f>K1355-L1355</f>
        <v>0.42345593083742417</v>
      </c>
      <c r="N1355" s="1">
        <f>COUNTIF($M$1346:$M$1401,"&gt;"&amp;M1355)+COUNTIF($M$1346:M1355,M1355)</f>
        <v>29</v>
      </c>
      <c r="O1355" s="1">
        <f>J1355+L1355+IF(N1355&lt;=I1355-SUM($J$1346:$J$1401)-SUM($L$1346:$L$1401),1,0)</f>
        <v>12</v>
      </c>
    </row>
    <row r="1356" spans="1:15">
      <c r="A1356" s="1" t="s">
        <v>74</v>
      </c>
      <c r="B1356" s="1" t="s">
        <v>78</v>
      </c>
      <c r="C1356" s="1" t="s">
        <v>38</v>
      </c>
      <c r="D1356" s="1" t="s">
        <v>39</v>
      </c>
      <c r="E1356" s="1" t="s">
        <v>47</v>
      </c>
      <c r="F1356" s="1" t="s">
        <v>41</v>
      </c>
      <c r="G1356" s="1">
        <v>191</v>
      </c>
      <c r="H1356" s="1">
        <f>'1_Departamento_n'!C26</f>
        <v>54596</v>
      </c>
      <c r="I1356" s="1">
        <f>'1_Departamento_n'!H26</f>
        <v>1291</v>
      </c>
      <c r="J1356" s="1">
        <f>'0_Parametros'!B7</f>
        <v>10</v>
      </c>
      <c r="K1356" s="3">
        <f>(I1356-SUM($J$1346:$J$1401))*G1356/H1356</f>
        <v>2.55734852370137</v>
      </c>
      <c r="L1356" s="1">
        <f>INT(K1356)</f>
        <v>2</v>
      </c>
      <c r="M1356" s="3">
        <f>K1356-L1356</f>
        <v>0.55734852370137</v>
      </c>
      <c r="N1356" s="1">
        <f>COUNTIF($M$1346:$M$1401,"&gt;"&amp;M1356)+COUNTIF($M$1346:M1356,M1356)</f>
        <v>23</v>
      </c>
      <c r="O1356" s="1">
        <f>J1356+L1356+IF(N1356&lt;=I1356-SUM($J$1346:$J$1401)-SUM($L$1346:$L$1401),1,0)</f>
        <v>13</v>
      </c>
    </row>
    <row r="1357" spans="1:15">
      <c r="A1357" s="1" t="s">
        <v>74</v>
      </c>
      <c r="B1357" s="1" t="s">
        <v>78</v>
      </c>
      <c r="C1357" s="1" t="s">
        <v>38</v>
      </c>
      <c r="D1357" s="1" t="s">
        <v>39</v>
      </c>
      <c r="E1357" s="1" t="s">
        <v>47</v>
      </c>
      <c r="F1357" s="1" t="s">
        <v>42</v>
      </c>
      <c r="G1357" s="1">
        <v>103</v>
      </c>
      <c r="H1357" s="1">
        <f>'1_Departamento_n'!C26</f>
        <v>54596</v>
      </c>
      <c r="I1357" s="1">
        <f>'1_Departamento_n'!H26</f>
        <v>1291</v>
      </c>
      <c r="J1357" s="1">
        <f>'0_Parametros'!B7</f>
        <v>10</v>
      </c>
      <c r="K1357" s="3">
        <f>(I1357-SUM($J$1346:$J$1401))*G1357/H1357</f>
        <v>1.3790937064986446</v>
      </c>
      <c r="L1357" s="1">
        <f>INT(K1357)</f>
        <v>1</v>
      </c>
      <c r="M1357" s="3">
        <f>K1357-L1357</f>
        <v>0.3790937064986446</v>
      </c>
      <c r="N1357" s="1">
        <f>COUNTIF($M$1346:$M$1401,"&gt;"&amp;M1357)+COUNTIF($M$1346:M1357,M1357)</f>
        <v>32</v>
      </c>
      <c r="O1357" s="1">
        <f>J1357+L1357+IF(N1357&lt;=I1357-SUM($J$1346:$J$1401)-SUM($L$1346:$L$1401),1,0)</f>
        <v>11</v>
      </c>
    </row>
    <row r="1358" spans="1:15">
      <c r="A1358" s="1" t="s">
        <v>74</v>
      </c>
      <c r="B1358" s="1" t="s">
        <v>78</v>
      </c>
      <c r="C1358" s="1" t="s">
        <v>38</v>
      </c>
      <c r="D1358" s="1" t="s">
        <v>39</v>
      </c>
      <c r="E1358" s="1" t="s">
        <v>48</v>
      </c>
      <c r="F1358" s="1" t="s">
        <v>41</v>
      </c>
      <c r="G1358" s="1">
        <v>182</v>
      </c>
      <c r="H1358" s="1">
        <f>'1_Departamento_n'!C26</f>
        <v>54596</v>
      </c>
      <c r="I1358" s="1">
        <f>'1_Departamento_n'!H26</f>
        <v>1291</v>
      </c>
      <c r="J1358" s="1">
        <f>'0_Parametros'!B7</f>
        <v>10</v>
      </c>
      <c r="K1358" s="3">
        <f>(I1358-SUM($J$1346:$J$1401))*G1358/H1358</f>
        <v>2.4368451901238184</v>
      </c>
      <c r="L1358" s="1">
        <f>INT(K1358)</f>
        <v>2</v>
      </c>
      <c r="M1358" s="3">
        <f>K1358-L1358</f>
        <v>0.4368451901238184</v>
      </c>
      <c r="N1358" s="1">
        <f>COUNTIF($M$1346:$M$1401,"&gt;"&amp;M1358)+COUNTIF($M$1346:M1358,M1358)</f>
        <v>28</v>
      </c>
      <c r="O1358" s="1">
        <f>J1358+L1358+IF(N1358&lt;=I1358-SUM($J$1346:$J$1401)-SUM($L$1346:$L$1401),1,0)</f>
        <v>12</v>
      </c>
    </row>
    <row r="1359" spans="1:15">
      <c r="A1359" s="1" t="s">
        <v>74</v>
      </c>
      <c r="B1359" s="1" t="s">
        <v>78</v>
      </c>
      <c r="C1359" s="1" t="s">
        <v>38</v>
      </c>
      <c r="D1359" s="1" t="s">
        <v>39</v>
      </c>
      <c r="E1359" s="1" t="s">
        <v>48</v>
      </c>
      <c r="F1359" s="1" t="s">
        <v>42</v>
      </c>
      <c r="G1359" s="1">
        <v>68</v>
      </c>
      <c r="H1359" s="1">
        <f>'1_Departamento_n'!C26</f>
        <v>54596</v>
      </c>
      <c r="I1359" s="1">
        <f>'1_Departamento_n'!H26</f>
        <v>1291</v>
      </c>
      <c r="J1359" s="1">
        <f>'0_Parametros'!B7</f>
        <v>10</v>
      </c>
      <c r="K1359" s="3">
        <f>(I1359-SUM($J$1346:$J$1401))*G1359/H1359</f>
        <v>0.9104696314748333</v>
      </c>
      <c r="L1359" s="1">
        <f>INT(K1359)</f>
        <v>0</v>
      </c>
      <c r="M1359" s="3">
        <f>K1359-L1359</f>
        <v>0.9104696314748333</v>
      </c>
      <c r="N1359" s="1">
        <f>COUNTIF($M$1346:$M$1401,"&gt;"&amp;M1359)+COUNTIF($M$1346:M1359,M1359)</f>
        <v>2</v>
      </c>
      <c r="O1359" s="1">
        <f>J1359+L1359+IF(N1359&lt;=I1359-SUM($J$1346:$J$1401)-SUM($L$1346:$L$1401),1,0)</f>
        <v>11</v>
      </c>
    </row>
    <row r="1360" spans="1:15">
      <c r="A1360" s="1" t="s">
        <v>74</v>
      </c>
      <c r="B1360" s="1" t="s">
        <v>78</v>
      </c>
      <c r="C1360" s="1" t="s">
        <v>38</v>
      </c>
      <c r="D1360" s="1" t="s">
        <v>49</v>
      </c>
      <c r="E1360" s="1" t="s">
        <v>40</v>
      </c>
      <c r="F1360" s="1" t="s">
        <v>41</v>
      </c>
      <c r="G1360" s="1">
        <v>119</v>
      </c>
      <c r="H1360" s="1">
        <f>'1_Departamento_n'!C26</f>
        <v>54596</v>
      </c>
      <c r="I1360" s="1">
        <f>'1_Departamento_n'!H26</f>
        <v>1291</v>
      </c>
      <c r="J1360" s="1">
        <f>'0_Parametros'!B7</f>
        <v>10</v>
      </c>
      <c r="K1360" s="3">
        <f>(I1360-SUM($J$1346:$J$1401))*G1360/H1360</f>
        <v>1.5933218550809582</v>
      </c>
      <c r="L1360" s="1">
        <f>INT(K1360)</f>
        <v>1</v>
      </c>
      <c r="M1360" s="3">
        <f>K1360-L1360</f>
        <v>0.5933218550809582</v>
      </c>
      <c r="N1360" s="1">
        <f>COUNTIF($M$1346:$M$1401,"&gt;"&amp;M1360)+COUNTIF($M$1346:M1360,M1360)</f>
        <v>22</v>
      </c>
      <c r="O1360" s="1">
        <f>J1360+L1360+IF(N1360&lt;=I1360-SUM($J$1346:$J$1401)-SUM($L$1346:$L$1401),1,0)</f>
        <v>12</v>
      </c>
    </row>
    <row r="1361" spans="1:15">
      <c r="A1361" s="1" t="s">
        <v>74</v>
      </c>
      <c r="B1361" s="1" t="s">
        <v>78</v>
      </c>
      <c r="C1361" s="1" t="s">
        <v>38</v>
      </c>
      <c r="D1361" s="1" t="s">
        <v>49</v>
      </c>
      <c r="E1361" s="1" t="s">
        <v>40</v>
      </c>
      <c r="F1361" s="1" t="s">
        <v>42</v>
      </c>
      <c r="G1361" s="1">
        <v>157</v>
      </c>
      <c r="H1361" s="1">
        <f>'1_Departamento_n'!C26</f>
        <v>54596</v>
      </c>
      <c r="I1361" s="1">
        <f>'1_Departamento_n'!H26</f>
        <v>1291</v>
      </c>
      <c r="J1361" s="1">
        <f>'0_Parametros'!B7</f>
        <v>10</v>
      </c>
      <c r="K1361" s="3">
        <f>(I1361-SUM($J$1346:$J$1401))*G1361/H1361</f>
        <v>2.1021137079639534</v>
      </c>
      <c r="L1361" s="1">
        <f>INT(K1361)</f>
        <v>2</v>
      </c>
      <c r="M1361" s="3">
        <f>K1361-L1361</f>
        <v>0.10211370796395336</v>
      </c>
      <c r="N1361" s="1">
        <f>COUNTIF($M$1346:$M$1401,"&gt;"&amp;M1361)+COUNTIF($M$1346:M1361,M1361)</f>
        <v>48</v>
      </c>
      <c r="O1361" s="1">
        <f>J1361+L1361+IF(N1361&lt;=I1361-SUM($J$1346:$J$1401)-SUM($L$1346:$L$1401),1,0)</f>
        <v>12</v>
      </c>
    </row>
    <row r="1362" spans="1:15">
      <c r="A1362" s="1" t="s">
        <v>74</v>
      </c>
      <c r="B1362" s="1" t="s">
        <v>78</v>
      </c>
      <c r="C1362" s="1" t="s">
        <v>38</v>
      </c>
      <c r="D1362" s="1" t="s">
        <v>49</v>
      </c>
      <c r="E1362" s="1" t="s">
        <v>43</v>
      </c>
      <c r="F1362" s="1" t="s">
        <v>41</v>
      </c>
      <c r="G1362" s="1">
        <v>163</v>
      </c>
      <c r="H1362" s="1">
        <f>'1_Departamento_n'!C26</f>
        <v>54596</v>
      </c>
      <c r="I1362" s="1">
        <f>'1_Departamento_n'!H26</f>
        <v>1291</v>
      </c>
      <c r="J1362" s="1">
        <f>'0_Parametros'!B7</f>
        <v>10</v>
      </c>
      <c r="K1362" s="3">
        <f>(I1362-SUM($J$1346:$J$1401))*G1362/H1362</f>
        <v>2.182449263682321</v>
      </c>
      <c r="L1362" s="1">
        <f>INT(K1362)</f>
        <v>2</v>
      </c>
      <c r="M1362" s="3">
        <f>K1362-L1362</f>
        <v>0.18244926368232095</v>
      </c>
      <c r="N1362" s="1">
        <f>COUNTIF($M$1346:$M$1401,"&gt;"&amp;M1362)+COUNTIF($M$1346:M1362,M1362)</f>
        <v>42</v>
      </c>
      <c r="O1362" s="1">
        <f>J1362+L1362+IF(N1362&lt;=I1362-SUM($J$1346:$J$1401)-SUM($L$1346:$L$1401),1,0)</f>
        <v>12</v>
      </c>
    </row>
    <row r="1363" spans="1:15">
      <c r="A1363" s="1" t="s">
        <v>74</v>
      </c>
      <c r="B1363" s="1" t="s">
        <v>78</v>
      </c>
      <c r="C1363" s="1" t="s">
        <v>38</v>
      </c>
      <c r="D1363" s="1" t="s">
        <v>49</v>
      </c>
      <c r="E1363" s="1" t="s">
        <v>43</v>
      </c>
      <c r="F1363" s="1" t="s">
        <v>42</v>
      </c>
      <c r="G1363" s="1">
        <v>85</v>
      </c>
      <c r="H1363" s="1">
        <f>'1_Departamento_n'!C26</f>
        <v>54596</v>
      </c>
      <c r="I1363" s="1">
        <f>'1_Departamento_n'!H26</f>
        <v>1291</v>
      </c>
      <c r="J1363" s="1">
        <f>'0_Parametros'!B7</f>
        <v>10</v>
      </c>
      <c r="K1363" s="3">
        <f>(I1363-SUM($J$1346:$J$1401))*G1363/H1363</f>
        <v>1.1380870393435416</v>
      </c>
      <c r="L1363" s="1">
        <f>INT(K1363)</f>
        <v>1</v>
      </c>
      <c r="M1363" s="3">
        <f>K1363-L1363</f>
        <v>0.1380870393435416</v>
      </c>
      <c r="N1363" s="1">
        <f>COUNTIF($M$1346:$M$1401,"&gt;"&amp;M1363)+COUNTIF($M$1346:M1363,M1363)</f>
        <v>47</v>
      </c>
      <c r="O1363" s="1">
        <f>J1363+L1363+IF(N1363&lt;=I1363-SUM($J$1346:$J$1401)-SUM($L$1346:$L$1401),1,0)</f>
        <v>11</v>
      </c>
    </row>
    <row r="1364" spans="1:15">
      <c r="A1364" s="1" t="s">
        <v>74</v>
      </c>
      <c r="B1364" s="1" t="s">
        <v>78</v>
      </c>
      <c r="C1364" s="1" t="s">
        <v>38</v>
      </c>
      <c r="D1364" s="1" t="s">
        <v>49</v>
      </c>
      <c r="E1364" s="1" t="s">
        <v>44</v>
      </c>
      <c r="F1364" s="1" t="s">
        <v>41</v>
      </c>
      <c r="G1364" s="1">
        <v>496</v>
      </c>
      <c r="H1364" s="1">
        <f>'1_Departamento_n'!C26</f>
        <v>54596</v>
      </c>
      <c r="I1364" s="1">
        <f>'1_Departamento_n'!H26</f>
        <v>1291</v>
      </c>
      <c r="J1364" s="1">
        <f>'0_Parametros'!B7</f>
        <v>10</v>
      </c>
      <c r="K1364" s="3">
        <f>(I1364-SUM($J$1346:$J$1401))*G1364/H1364</f>
        <v>6.641072606051726</v>
      </c>
      <c r="L1364" s="1">
        <f>INT(K1364)</f>
        <v>6</v>
      </c>
      <c r="M1364" s="3">
        <f>K1364-L1364</f>
        <v>0.6410726060517256</v>
      </c>
      <c r="N1364" s="1">
        <f>COUNTIF($M$1346:$M$1401,"&gt;"&amp;M1364)+COUNTIF($M$1346:M1364,M1364)</f>
        <v>20</v>
      </c>
      <c r="O1364" s="1">
        <f>J1364+L1364+IF(N1364&lt;=I1364-SUM($J$1346:$J$1401)-SUM($L$1346:$L$1401),1,0)</f>
        <v>17</v>
      </c>
    </row>
    <row r="1365" spans="1:15">
      <c r="A1365" s="1" t="s">
        <v>74</v>
      </c>
      <c r="B1365" s="1" t="s">
        <v>78</v>
      </c>
      <c r="C1365" s="1" t="s">
        <v>38</v>
      </c>
      <c r="D1365" s="1" t="s">
        <v>49</v>
      </c>
      <c r="E1365" s="1" t="s">
        <v>44</v>
      </c>
      <c r="F1365" s="1" t="s">
        <v>42</v>
      </c>
      <c r="G1365" s="1">
        <v>240</v>
      </c>
      <c r="H1365" s="1">
        <f>'1_Departamento_n'!C26</f>
        <v>54596</v>
      </c>
      <c r="I1365" s="1">
        <f>'1_Departamento_n'!H26</f>
        <v>1291</v>
      </c>
      <c r="J1365" s="1">
        <f>'0_Parametros'!B7</f>
        <v>10</v>
      </c>
      <c r="K1365" s="3">
        <f>(I1365-SUM($J$1346:$J$1401))*G1365/H1365</f>
        <v>3.213422228734706</v>
      </c>
      <c r="L1365" s="1">
        <f>INT(K1365)</f>
        <v>3</v>
      </c>
      <c r="M1365" s="3">
        <f>K1365-L1365</f>
        <v>0.21342222873470584</v>
      </c>
      <c r="N1365" s="1">
        <f>COUNTIF($M$1346:$M$1401,"&gt;"&amp;M1365)+COUNTIF($M$1346:M1365,M1365)</f>
        <v>41</v>
      </c>
      <c r="O1365" s="1">
        <f>J1365+L1365+IF(N1365&lt;=I1365-SUM($J$1346:$J$1401)-SUM($L$1346:$L$1401),1,0)</f>
        <v>13</v>
      </c>
    </row>
    <row r="1366" spans="1:15">
      <c r="A1366" s="1" t="s">
        <v>74</v>
      </c>
      <c r="B1366" s="1" t="s">
        <v>78</v>
      </c>
      <c r="C1366" s="1" t="s">
        <v>38</v>
      </c>
      <c r="D1366" s="1" t="s">
        <v>49</v>
      </c>
      <c r="E1366" s="1" t="s">
        <v>45</v>
      </c>
      <c r="F1366" s="1" t="s">
        <v>41</v>
      </c>
      <c r="G1366" s="1">
        <v>471</v>
      </c>
      <c r="H1366" s="1">
        <f>'1_Departamento_n'!C26</f>
        <v>54596</v>
      </c>
      <c r="I1366" s="1">
        <f>'1_Departamento_n'!H26</f>
        <v>1291</v>
      </c>
      <c r="J1366" s="1">
        <f>'0_Parametros'!B7</f>
        <v>10</v>
      </c>
      <c r="K1366" s="3">
        <f>(I1366-SUM($J$1346:$J$1401))*G1366/H1366</f>
        <v>6.30634112389186</v>
      </c>
      <c r="L1366" s="1">
        <f>INT(K1366)</f>
        <v>6</v>
      </c>
      <c r="M1366" s="3">
        <f>K1366-L1366</f>
        <v>0.3063411238918601</v>
      </c>
      <c r="N1366" s="1">
        <f>COUNTIF($M$1346:$M$1401,"&gt;"&amp;M1366)+COUNTIF($M$1346:M1366,M1366)</f>
        <v>37</v>
      </c>
      <c r="O1366" s="1">
        <f>J1366+L1366+IF(N1366&lt;=I1366-SUM($J$1346:$J$1401)-SUM($L$1346:$L$1401),1,0)</f>
        <v>16</v>
      </c>
    </row>
    <row r="1367" spans="1:15">
      <c r="A1367" s="1" t="s">
        <v>74</v>
      </c>
      <c r="B1367" s="1" t="s">
        <v>78</v>
      </c>
      <c r="C1367" s="1" t="s">
        <v>38</v>
      </c>
      <c r="D1367" s="1" t="s">
        <v>49</v>
      </c>
      <c r="E1367" s="1" t="s">
        <v>45</v>
      </c>
      <c r="F1367" s="1" t="s">
        <v>42</v>
      </c>
      <c r="G1367" s="1">
        <v>360</v>
      </c>
      <c r="H1367" s="1">
        <f>'1_Departamento_n'!C26</f>
        <v>54596</v>
      </c>
      <c r="I1367" s="1">
        <f>'1_Departamento_n'!H26</f>
        <v>1291</v>
      </c>
      <c r="J1367" s="1">
        <f>'0_Parametros'!B7</f>
        <v>10</v>
      </c>
      <c r="K1367" s="3">
        <f>(I1367-SUM($J$1346:$J$1401))*G1367/H1367</f>
        <v>4.820133343102059</v>
      </c>
      <c r="L1367" s="1">
        <f>INT(K1367)</f>
        <v>4</v>
      </c>
      <c r="M1367" s="3">
        <f>K1367-L1367</f>
        <v>0.820133343102059</v>
      </c>
      <c r="N1367" s="1">
        <f>COUNTIF($M$1346:$M$1401,"&gt;"&amp;M1367)+COUNTIF($M$1346:M1367,M1367)</f>
        <v>10</v>
      </c>
      <c r="O1367" s="1">
        <f>J1367+L1367+IF(N1367&lt;=I1367-SUM($J$1346:$J$1401)-SUM($L$1346:$L$1401),1,0)</f>
        <v>15</v>
      </c>
    </row>
    <row r="1368" spans="1:15">
      <c r="A1368" s="1" t="s">
        <v>74</v>
      </c>
      <c r="B1368" s="1" t="s">
        <v>78</v>
      </c>
      <c r="C1368" s="1" t="s">
        <v>38</v>
      </c>
      <c r="D1368" s="1" t="s">
        <v>49</v>
      </c>
      <c r="E1368" s="1" t="s">
        <v>46</v>
      </c>
      <c r="F1368" s="1" t="s">
        <v>41</v>
      </c>
      <c r="G1368" s="1">
        <v>287</v>
      </c>
      <c r="H1368" s="1">
        <f>'1_Departamento_n'!C26</f>
        <v>54596</v>
      </c>
      <c r="I1368" s="1">
        <f>'1_Departamento_n'!H26</f>
        <v>1291</v>
      </c>
      <c r="J1368" s="1">
        <f>'0_Parametros'!B7</f>
        <v>10</v>
      </c>
      <c r="K1368" s="3">
        <f>(I1368-SUM($J$1346:$J$1401))*G1368/H1368</f>
        <v>3.8427174151952523</v>
      </c>
      <c r="L1368" s="1">
        <f>INT(K1368)</f>
        <v>3</v>
      </c>
      <c r="M1368" s="3">
        <f>K1368-L1368</f>
        <v>0.8427174151952523</v>
      </c>
      <c r="N1368" s="1">
        <f>COUNTIF($M$1346:$M$1401,"&gt;"&amp;M1368)+COUNTIF($M$1346:M1368,M1368)</f>
        <v>8</v>
      </c>
      <c r="O1368" s="1">
        <f>J1368+L1368+IF(N1368&lt;=I1368-SUM($J$1346:$J$1401)-SUM($L$1346:$L$1401),1,0)</f>
        <v>14</v>
      </c>
    </row>
    <row r="1369" spans="1:15">
      <c r="A1369" s="1" t="s">
        <v>74</v>
      </c>
      <c r="B1369" s="1" t="s">
        <v>78</v>
      </c>
      <c r="C1369" s="1" t="s">
        <v>38</v>
      </c>
      <c r="D1369" s="1" t="s">
        <v>49</v>
      </c>
      <c r="E1369" s="1" t="s">
        <v>46</v>
      </c>
      <c r="F1369" s="1" t="s">
        <v>42</v>
      </c>
      <c r="G1369" s="1">
        <v>225</v>
      </c>
      <c r="H1369" s="1">
        <f>'1_Departamento_n'!C26</f>
        <v>54596</v>
      </c>
      <c r="I1369" s="1">
        <f>'1_Departamento_n'!H26</f>
        <v>1291</v>
      </c>
      <c r="J1369" s="1">
        <f>'0_Parametros'!B7</f>
        <v>10</v>
      </c>
      <c r="K1369" s="3">
        <f>(I1369-SUM($J$1346:$J$1401))*G1369/H1369</f>
        <v>3.0125833394387866</v>
      </c>
      <c r="L1369" s="1">
        <f>INT(K1369)</f>
        <v>3</v>
      </c>
      <c r="M1369" s="3">
        <f>K1369-L1369</f>
        <v>0.012583339438786645</v>
      </c>
      <c r="N1369" s="1">
        <f>COUNTIF($M$1346:$M$1401,"&gt;"&amp;M1369)+COUNTIF($M$1346:M1369,M1369)</f>
        <v>56</v>
      </c>
      <c r="O1369" s="1">
        <f>J1369+L1369+IF(N1369&lt;=I1369-SUM($J$1346:$J$1401)-SUM($L$1346:$L$1401),1,0)</f>
        <v>13</v>
      </c>
    </row>
    <row r="1370" spans="1:15">
      <c r="A1370" s="1" t="s">
        <v>74</v>
      </c>
      <c r="B1370" s="1" t="s">
        <v>78</v>
      </c>
      <c r="C1370" s="1" t="s">
        <v>38</v>
      </c>
      <c r="D1370" s="1" t="s">
        <v>49</v>
      </c>
      <c r="E1370" s="1" t="s">
        <v>47</v>
      </c>
      <c r="F1370" s="1" t="s">
        <v>41</v>
      </c>
      <c r="G1370" s="1">
        <v>181</v>
      </c>
      <c r="H1370" s="1">
        <f>'1_Departamento_n'!C26</f>
        <v>54596</v>
      </c>
      <c r="I1370" s="1">
        <f>'1_Departamento_n'!H26</f>
        <v>1291</v>
      </c>
      <c r="J1370" s="1">
        <f>'0_Parametros'!B7</f>
        <v>10</v>
      </c>
      <c r="K1370" s="3">
        <f>(I1370-SUM($J$1346:$J$1401))*G1370/H1370</f>
        <v>2.423455930837424</v>
      </c>
      <c r="L1370" s="1">
        <f>INT(K1370)</f>
        <v>2</v>
      </c>
      <c r="M1370" s="3">
        <f>K1370-L1370</f>
        <v>0.42345593083742417</v>
      </c>
      <c r="N1370" s="1">
        <f>COUNTIF($M$1346:$M$1401,"&gt;"&amp;M1370)+COUNTIF($M$1346:M1370,M1370)</f>
        <v>30</v>
      </c>
      <c r="O1370" s="1">
        <f>J1370+L1370+IF(N1370&lt;=I1370-SUM($J$1346:$J$1401)-SUM($L$1346:$L$1401),1,0)</f>
        <v>12</v>
      </c>
    </row>
    <row r="1371" spans="1:15">
      <c r="A1371" s="1" t="s">
        <v>74</v>
      </c>
      <c r="B1371" s="1" t="s">
        <v>78</v>
      </c>
      <c r="C1371" s="1" t="s">
        <v>38</v>
      </c>
      <c r="D1371" s="1" t="s">
        <v>49</v>
      </c>
      <c r="E1371" s="1" t="s">
        <v>47</v>
      </c>
      <c r="F1371" s="1" t="s">
        <v>42</v>
      </c>
      <c r="G1371" s="1">
        <v>111</v>
      </c>
      <c r="H1371" s="1">
        <f>'1_Departamento_n'!C26</f>
        <v>54596</v>
      </c>
      <c r="I1371" s="1">
        <f>'1_Departamento_n'!H26</f>
        <v>1291</v>
      </c>
      <c r="J1371" s="1">
        <f>'0_Parametros'!B7</f>
        <v>10</v>
      </c>
      <c r="K1371" s="3">
        <f>(I1371-SUM($J$1346:$J$1401))*G1371/H1371</f>
        <v>1.4862077807898015</v>
      </c>
      <c r="L1371" s="1">
        <f>INT(K1371)</f>
        <v>1</v>
      </c>
      <c r="M1371" s="3">
        <f>K1371-L1371</f>
        <v>0.48620778078980154</v>
      </c>
      <c r="N1371" s="1">
        <f>COUNTIF($M$1346:$M$1401,"&gt;"&amp;M1371)+COUNTIF($M$1346:M1371,M1371)</f>
        <v>27</v>
      </c>
      <c r="O1371" s="1">
        <f>J1371+L1371+IF(N1371&lt;=I1371-SUM($J$1346:$J$1401)-SUM($L$1346:$L$1401),1,0)</f>
        <v>11</v>
      </c>
    </row>
    <row r="1372" spans="1:15">
      <c r="A1372" s="1" t="s">
        <v>74</v>
      </c>
      <c r="B1372" s="1" t="s">
        <v>78</v>
      </c>
      <c r="C1372" s="1" t="s">
        <v>38</v>
      </c>
      <c r="D1372" s="1" t="s">
        <v>49</v>
      </c>
      <c r="E1372" s="1" t="s">
        <v>48</v>
      </c>
      <c r="F1372" s="1" t="s">
        <v>41</v>
      </c>
      <c r="G1372" s="1">
        <v>176</v>
      </c>
      <c r="H1372" s="1">
        <f>'1_Departamento_n'!C26</f>
        <v>54596</v>
      </c>
      <c r="I1372" s="1">
        <f>'1_Departamento_n'!H26</f>
        <v>1291</v>
      </c>
      <c r="J1372" s="1">
        <f>'0_Parametros'!B7</f>
        <v>10</v>
      </c>
      <c r="K1372" s="3">
        <f>(I1372-SUM($J$1346:$J$1401))*G1372/H1372</f>
        <v>2.356509634405451</v>
      </c>
      <c r="L1372" s="1">
        <f>INT(K1372)</f>
        <v>2</v>
      </c>
      <c r="M1372" s="3">
        <f>K1372-L1372</f>
        <v>0.3565096344054508</v>
      </c>
      <c r="N1372" s="1">
        <f>COUNTIF($M$1346:$M$1401,"&gt;"&amp;M1372)+COUNTIF($M$1346:M1372,M1372)</f>
        <v>35</v>
      </c>
      <c r="O1372" s="1">
        <f>J1372+L1372+IF(N1372&lt;=I1372-SUM($J$1346:$J$1401)-SUM($L$1346:$L$1401),1,0)</f>
        <v>12</v>
      </c>
    </row>
    <row r="1373" spans="1:15">
      <c r="A1373" s="1" t="s">
        <v>74</v>
      </c>
      <c r="B1373" s="1" t="s">
        <v>78</v>
      </c>
      <c r="C1373" s="1" t="s">
        <v>38</v>
      </c>
      <c r="D1373" s="1" t="s">
        <v>49</v>
      </c>
      <c r="E1373" s="1" t="s">
        <v>48</v>
      </c>
      <c r="F1373" s="1" t="s">
        <v>42</v>
      </c>
      <c r="G1373" s="1">
        <v>80</v>
      </c>
      <c r="H1373" s="1">
        <f>'1_Departamento_n'!C26</f>
        <v>54596</v>
      </c>
      <c r="I1373" s="1">
        <f>'1_Departamento_n'!H26</f>
        <v>1291</v>
      </c>
      <c r="J1373" s="1">
        <f>'0_Parametros'!B7</f>
        <v>10</v>
      </c>
      <c r="K1373" s="3">
        <f>(I1373-SUM($J$1346:$J$1401))*G1373/H1373</f>
        <v>1.0711407429115687</v>
      </c>
      <c r="L1373" s="1">
        <f>INT(K1373)</f>
        <v>1</v>
      </c>
      <c r="M1373" s="3">
        <f>K1373-L1373</f>
        <v>0.07114074291156869</v>
      </c>
      <c r="N1373" s="1">
        <f>COUNTIF($M$1346:$M$1401,"&gt;"&amp;M1373)+COUNTIF($M$1346:M1373,M1373)</f>
        <v>52</v>
      </c>
      <c r="O1373" s="1">
        <f>J1373+L1373+IF(N1373&lt;=I1373-SUM($J$1346:$J$1401)-SUM($L$1346:$L$1401),1,0)</f>
        <v>11</v>
      </c>
    </row>
    <row r="1374" spans="1:15">
      <c r="A1374" s="1" t="s">
        <v>74</v>
      </c>
      <c r="B1374" s="1" t="s">
        <v>78</v>
      </c>
      <c r="C1374" s="1" t="s">
        <v>50</v>
      </c>
      <c r="D1374" s="1" t="s">
        <v>39</v>
      </c>
      <c r="E1374" s="1" t="s">
        <v>40</v>
      </c>
      <c r="F1374" s="1" t="s">
        <v>41</v>
      </c>
      <c r="G1374" s="1">
        <v>1575</v>
      </c>
      <c r="H1374" s="1">
        <f>'1_Departamento_n'!C26</f>
        <v>54596</v>
      </c>
      <c r="I1374" s="1">
        <f>'1_Departamento_n'!H26</f>
        <v>1291</v>
      </c>
      <c r="J1374" s="1">
        <f>'0_Parametros'!B7</f>
        <v>10</v>
      </c>
      <c r="K1374" s="3">
        <f>(I1374-SUM($J$1346:$J$1401))*G1374/H1374</f>
        <v>21.088083376071506</v>
      </c>
      <c r="L1374" s="1">
        <f>INT(K1374)</f>
        <v>21</v>
      </c>
      <c r="M1374" s="3">
        <f>K1374-L1374</f>
        <v>0.08808337607150563</v>
      </c>
      <c r="N1374" s="1">
        <f>COUNTIF($M$1346:$M$1401,"&gt;"&amp;M1374)+COUNTIF($M$1346:M1374,M1374)</f>
        <v>49</v>
      </c>
      <c r="O1374" s="1">
        <f>J1374+L1374+IF(N1374&lt;=I1374-SUM($J$1346:$J$1401)-SUM($L$1346:$L$1401),1,0)</f>
        <v>31</v>
      </c>
    </row>
    <row r="1375" spans="1:15">
      <c r="A1375" s="1" t="s">
        <v>74</v>
      </c>
      <c r="B1375" s="1" t="s">
        <v>78</v>
      </c>
      <c r="C1375" s="1" t="s">
        <v>50</v>
      </c>
      <c r="D1375" s="1" t="s">
        <v>39</v>
      </c>
      <c r="E1375" s="1" t="s">
        <v>40</v>
      </c>
      <c r="F1375" s="1" t="s">
        <v>42</v>
      </c>
      <c r="G1375" s="1">
        <v>3788</v>
      </c>
      <c r="H1375" s="1">
        <f>'1_Departamento_n'!C26</f>
        <v>54596</v>
      </c>
      <c r="I1375" s="1">
        <f>'1_Departamento_n'!H26</f>
        <v>1291</v>
      </c>
      <c r="J1375" s="1">
        <f>'0_Parametros'!B7</f>
        <v>10</v>
      </c>
      <c r="K1375" s="3">
        <f>(I1375-SUM($J$1346:$J$1401))*G1375/H1375</f>
        <v>50.718514176862776</v>
      </c>
      <c r="L1375" s="1">
        <f>INT(K1375)</f>
        <v>50</v>
      </c>
      <c r="M1375" s="3">
        <f>K1375-L1375</f>
        <v>0.7185141768627759</v>
      </c>
      <c r="N1375" s="1">
        <f>COUNTIF($M$1346:$M$1401,"&gt;"&amp;M1375)+COUNTIF($M$1346:M1375,M1375)</f>
        <v>15</v>
      </c>
      <c r="O1375" s="1">
        <f>J1375+L1375+IF(N1375&lt;=I1375-SUM($J$1346:$J$1401)-SUM($L$1346:$L$1401),1,0)</f>
        <v>61</v>
      </c>
    </row>
    <row r="1376" spans="1:15">
      <c r="A1376" s="1" t="s">
        <v>74</v>
      </c>
      <c r="B1376" s="1" t="s">
        <v>78</v>
      </c>
      <c r="C1376" s="1" t="s">
        <v>50</v>
      </c>
      <c r="D1376" s="1" t="s">
        <v>39</v>
      </c>
      <c r="E1376" s="1" t="s">
        <v>43</v>
      </c>
      <c r="F1376" s="1" t="s">
        <v>41</v>
      </c>
      <c r="G1376" s="1">
        <v>1832</v>
      </c>
      <c r="H1376" s="1">
        <f>'1_Departamento_n'!C26</f>
        <v>54596</v>
      </c>
      <c r="I1376" s="1">
        <f>'1_Departamento_n'!H26</f>
        <v>1291</v>
      </c>
      <c r="J1376" s="1">
        <f>'0_Parametros'!B7</f>
        <v>10</v>
      </c>
      <c r="K1376" s="3">
        <f>(I1376-SUM($J$1346:$J$1401))*G1376/H1376</f>
        <v>24.529123012674923</v>
      </c>
      <c r="L1376" s="1">
        <f>INT(K1376)</f>
        <v>24</v>
      </c>
      <c r="M1376" s="3">
        <f>K1376-L1376</f>
        <v>0.5291230126749227</v>
      </c>
      <c r="N1376" s="1">
        <f>COUNTIF($M$1346:$M$1401,"&gt;"&amp;M1376)+COUNTIF($M$1346:M1376,M1376)</f>
        <v>25</v>
      </c>
      <c r="O1376" s="1">
        <f>J1376+L1376+IF(N1376&lt;=I1376-SUM($J$1346:$J$1401)-SUM($L$1346:$L$1401),1,0)</f>
        <v>35</v>
      </c>
    </row>
    <row r="1377" spans="1:15">
      <c r="A1377" s="1" t="s">
        <v>74</v>
      </c>
      <c r="B1377" s="1" t="s">
        <v>78</v>
      </c>
      <c r="C1377" s="1" t="s">
        <v>50</v>
      </c>
      <c r="D1377" s="1" t="s">
        <v>39</v>
      </c>
      <c r="E1377" s="1" t="s">
        <v>43</v>
      </c>
      <c r="F1377" s="1" t="s">
        <v>42</v>
      </c>
      <c r="G1377" s="1">
        <v>3573</v>
      </c>
      <c r="H1377" s="1">
        <f>'1_Departamento_n'!C26</f>
        <v>54596</v>
      </c>
      <c r="I1377" s="1">
        <f>'1_Departamento_n'!H26</f>
        <v>1291</v>
      </c>
      <c r="J1377" s="1">
        <f>'0_Parametros'!B7</f>
        <v>10</v>
      </c>
      <c r="K1377" s="3">
        <f>(I1377-SUM($J$1346:$J$1401))*G1377/H1377</f>
        <v>47.839823430287936</v>
      </c>
      <c r="L1377" s="1">
        <f>INT(K1377)</f>
        <v>47</v>
      </c>
      <c r="M1377" s="3">
        <f>K1377-L1377</f>
        <v>0.8398234302879359</v>
      </c>
      <c r="N1377" s="1">
        <f>COUNTIF($M$1346:$M$1401,"&gt;"&amp;M1377)+COUNTIF($M$1346:M1377,M1377)</f>
        <v>9</v>
      </c>
      <c r="O1377" s="1">
        <f>J1377+L1377+IF(N1377&lt;=I1377-SUM($J$1346:$J$1401)-SUM($L$1346:$L$1401),1,0)</f>
        <v>58</v>
      </c>
    </row>
    <row r="1378" spans="1:15">
      <c r="A1378" s="1" t="s">
        <v>74</v>
      </c>
      <c r="B1378" s="1" t="s">
        <v>78</v>
      </c>
      <c r="C1378" s="1" t="s">
        <v>50</v>
      </c>
      <c r="D1378" s="1" t="s">
        <v>39</v>
      </c>
      <c r="E1378" s="1" t="s">
        <v>44</v>
      </c>
      <c r="F1378" s="1" t="s">
        <v>41</v>
      </c>
      <c r="G1378" s="1">
        <v>1654</v>
      </c>
      <c r="H1378" s="1">
        <f>'1_Departamento_n'!C26</f>
        <v>54596</v>
      </c>
      <c r="I1378" s="1">
        <f>'1_Departamento_n'!H26</f>
        <v>1291</v>
      </c>
      <c r="J1378" s="1">
        <f>'0_Parametros'!B7</f>
        <v>10</v>
      </c>
      <c r="K1378" s="3">
        <f>(I1378-SUM($J$1346:$J$1401))*G1378/H1378</f>
        <v>22.14583485969668</v>
      </c>
      <c r="L1378" s="1">
        <f>INT(K1378)</f>
        <v>22</v>
      </c>
      <c r="M1378" s="3">
        <f>K1378-L1378</f>
        <v>0.14583485969668075</v>
      </c>
      <c r="N1378" s="1">
        <f>COUNTIF($M$1346:$M$1401,"&gt;"&amp;M1378)+COUNTIF($M$1346:M1378,M1378)</f>
        <v>46</v>
      </c>
      <c r="O1378" s="1">
        <f>J1378+L1378+IF(N1378&lt;=I1378-SUM($J$1346:$J$1401)-SUM($L$1346:$L$1401),1,0)</f>
        <v>32</v>
      </c>
    </row>
    <row r="1379" spans="1:15">
      <c r="A1379" s="1" t="s">
        <v>74</v>
      </c>
      <c r="B1379" s="1" t="s">
        <v>78</v>
      </c>
      <c r="C1379" s="1" t="s">
        <v>50</v>
      </c>
      <c r="D1379" s="1" t="s">
        <v>39</v>
      </c>
      <c r="E1379" s="1" t="s">
        <v>44</v>
      </c>
      <c r="F1379" s="1" t="s">
        <v>42</v>
      </c>
      <c r="G1379" s="1">
        <v>2419</v>
      </c>
      <c r="H1379" s="1">
        <f>'1_Departamento_n'!C26</f>
        <v>54596</v>
      </c>
      <c r="I1379" s="1">
        <f>'1_Departamento_n'!H26</f>
        <v>1291</v>
      </c>
      <c r="J1379" s="1">
        <f>'0_Parametros'!B7</f>
        <v>10</v>
      </c>
      <c r="K1379" s="3">
        <f>(I1379-SUM($J$1346:$J$1401))*G1379/H1379</f>
        <v>32.388618213788554</v>
      </c>
      <c r="L1379" s="1">
        <f>INT(K1379)</f>
        <v>32</v>
      </c>
      <c r="M1379" s="3">
        <f>K1379-L1379</f>
        <v>0.3886182137885541</v>
      </c>
      <c r="N1379" s="1">
        <f>COUNTIF($M$1346:$M$1401,"&gt;"&amp;M1379)+COUNTIF($M$1346:M1379,M1379)</f>
        <v>31</v>
      </c>
      <c r="O1379" s="1">
        <f>J1379+L1379+IF(N1379&lt;=I1379-SUM($J$1346:$J$1401)-SUM($L$1346:$L$1401),1,0)</f>
        <v>42</v>
      </c>
    </row>
    <row r="1380" spans="1:15">
      <c r="A1380" s="1" t="s">
        <v>74</v>
      </c>
      <c r="B1380" s="1" t="s">
        <v>78</v>
      </c>
      <c r="C1380" s="1" t="s">
        <v>50</v>
      </c>
      <c r="D1380" s="1" t="s">
        <v>39</v>
      </c>
      <c r="E1380" s="1" t="s">
        <v>45</v>
      </c>
      <c r="F1380" s="1" t="s">
        <v>41</v>
      </c>
      <c r="G1380" s="1">
        <v>1185</v>
      </c>
      <c r="H1380" s="1">
        <f>'1_Departamento_n'!C26</f>
        <v>54596</v>
      </c>
      <c r="I1380" s="1">
        <f>'1_Departamento_n'!H26</f>
        <v>1291</v>
      </c>
      <c r="J1380" s="1">
        <f>'0_Parametros'!B7</f>
        <v>10</v>
      </c>
      <c r="K1380" s="3">
        <f>(I1380-SUM($J$1346:$J$1401))*G1380/H1380</f>
        <v>15.866272254377611</v>
      </c>
      <c r="L1380" s="1">
        <f>INT(K1380)</f>
        <v>15</v>
      </c>
      <c r="M1380" s="3">
        <f>K1380-L1380</f>
        <v>0.8662722543776109</v>
      </c>
      <c r="N1380" s="1">
        <f>COUNTIF($M$1346:$M$1401,"&gt;"&amp;M1380)+COUNTIF($M$1346:M1380,M1380)</f>
        <v>6</v>
      </c>
      <c r="O1380" s="1">
        <f>J1380+L1380+IF(N1380&lt;=I1380-SUM($J$1346:$J$1401)-SUM($L$1346:$L$1401),1,0)</f>
        <v>26</v>
      </c>
    </row>
    <row r="1381" spans="1:15">
      <c r="A1381" s="1" t="s">
        <v>74</v>
      </c>
      <c r="B1381" s="1" t="s">
        <v>78</v>
      </c>
      <c r="C1381" s="1" t="s">
        <v>50</v>
      </c>
      <c r="D1381" s="1" t="s">
        <v>39</v>
      </c>
      <c r="E1381" s="1" t="s">
        <v>45</v>
      </c>
      <c r="F1381" s="1" t="s">
        <v>42</v>
      </c>
      <c r="G1381" s="1">
        <v>1805</v>
      </c>
      <c r="H1381" s="1">
        <f>'1_Departamento_n'!C26</f>
        <v>54596</v>
      </c>
      <c r="I1381" s="1">
        <f>'1_Departamento_n'!H26</f>
        <v>1291</v>
      </c>
      <c r="J1381" s="1">
        <f>'0_Parametros'!B7</f>
        <v>10</v>
      </c>
      <c r="K1381" s="3">
        <f>(I1381-SUM($J$1346:$J$1401))*G1381/H1381</f>
        <v>24.167613011942265</v>
      </c>
      <c r="L1381" s="1">
        <f>INT(K1381)</f>
        <v>24</v>
      </c>
      <c r="M1381" s="3">
        <f>K1381-L1381</f>
        <v>0.1676130119422652</v>
      </c>
      <c r="N1381" s="1">
        <f>COUNTIF($M$1346:$M$1401,"&gt;"&amp;M1381)+COUNTIF($M$1346:M1381,M1381)</f>
        <v>43</v>
      </c>
      <c r="O1381" s="1">
        <f>J1381+L1381+IF(N1381&lt;=I1381-SUM($J$1346:$J$1401)-SUM($L$1346:$L$1401),1,0)</f>
        <v>34</v>
      </c>
    </row>
    <row r="1382" spans="1:15">
      <c r="A1382" s="1" t="s">
        <v>74</v>
      </c>
      <c r="B1382" s="1" t="s">
        <v>78</v>
      </c>
      <c r="C1382" s="1" t="s">
        <v>50</v>
      </c>
      <c r="D1382" s="1" t="s">
        <v>39</v>
      </c>
      <c r="E1382" s="1" t="s">
        <v>46</v>
      </c>
      <c r="F1382" s="1" t="s">
        <v>41</v>
      </c>
      <c r="G1382" s="1">
        <v>870</v>
      </c>
      <c r="H1382" s="1">
        <f>'1_Departamento_n'!C26</f>
        <v>54596</v>
      </c>
      <c r="I1382" s="1">
        <f>'1_Departamento_n'!H26</f>
        <v>1291</v>
      </c>
      <c r="J1382" s="1">
        <f>'0_Parametros'!B7</f>
        <v>10</v>
      </c>
      <c r="K1382" s="3">
        <f>(I1382-SUM($J$1346:$J$1401))*G1382/H1382</f>
        <v>11.648655579163309</v>
      </c>
      <c r="L1382" s="1">
        <f>INT(K1382)</f>
        <v>11</v>
      </c>
      <c r="M1382" s="3">
        <f>K1382-L1382</f>
        <v>0.6486555791633091</v>
      </c>
      <c r="N1382" s="1">
        <f>COUNTIF($M$1346:$M$1401,"&gt;"&amp;M1382)+COUNTIF($M$1346:M1382,M1382)</f>
        <v>19</v>
      </c>
      <c r="O1382" s="1">
        <f>J1382+L1382+IF(N1382&lt;=I1382-SUM($J$1346:$J$1401)-SUM($L$1346:$L$1401),1,0)</f>
        <v>22</v>
      </c>
    </row>
    <row r="1383" spans="1:15">
      <c r="A1383" s="1" t="s">
        <v>74</v>
      </c>
      <c r="B1383" s="1" t="s">
        <v>78</v>
      </c>
      <c r="C1383" s="1" t="s">
        <v>50</v>
      </c>
      <c r="D1383" s="1" t="s">
        <v>39</v>
      </c>
      <c r="E1383" s="1" t="s">
        <v>46</v>
      </c>
      <c r="F1383" s="1" t="s">
        <v>42</v>
      </c>
      <c r="G1383" s="1">
        <v>1431</v>
      </c>
      <c r="H1383" s="1">
        <f>'1_Departamento_n'!C26</f>
        <v>54596</v>
      </c>
      <c r="I1383" s="1">
        <f>'1_Departamento_n'!H26</f>
        <v>1291</v>
      </c>
      <c r="J1383" s="1">
        <f>'0_Parametros'!B7</f>
        <v>10</v>
      </c>
      <c r="K1383" s="3">
        <f>(I1383-SUM($J$1346:$J$1401))*G1383/H1383</f>
        <v>19.160030038830683</v>
      </c>
      <c r="L1383" s="1">
        <f>INT(K1383)</f>
        <v>19</v>
      </c>
      <c r="M1383" s="3">
        <f>K1383-L1383</f>
        <v>0.16003003883068345</v>
      </c>
      <c r="N1383" s="1">
        <f>COUNTIF($M$1346:$M$1401,"&gt;"&amp;M1383)+COUNTIF($M$1346:M1383,M1383)</f>
        <v>44</v>
      </c>
      <c r="O1383" s="1">
        <f>J1383+L1383+IF(N1383&lt;=I1383-SUM($J$1346:$J$1401)-SUM($L$1346:$L$1401),1,0)</f>
        <v>29</v>
      </c>
    </row>
    <row r="1384" spans="1:15">
      <c r="A1384" s="1" t="s">
        <v>74</v>
      </c>
      <c r="B1384" s="1" t="s">
        <v>78</v>
      </c>
      <c r="C1384" s="1" t="s">
        <v>50</v>
      </c>
      <c r="D1384" s="1" t="s">
        <v>39</v>
      </c>
      <c r="E1384" s="1" t="s">
        <v>47</v>
      </c>
      <c r="F1384" s="1" t="s">
        <v>41</v>
      </c>
      <c r="G1384" s="1">
        <v>655</v>
      </c>
      <c r="H1384" s="1">
        <f>'1_Departamento_n'!C26</f>
        <v>54596</v>
      </c>
      <c r="I1384" s="1">
        <f>'1_Departamento_n'!H26</f>
        <v>1291</v>
      </c>
      <c r="J1384" s="1">
        <f>'0_Parametros'!B7</f>
        <v>10</v>
      </c>
      <c r="K1384" s="3">
        <f>(I1384-SUM($J$1346:$J$1401))*G1384/H1384</f>
        <v>8.769964832588467</v>
      </c>
      <c r="L1384" s="1">
        <f>INT(K1384)</f>
        <v>8</v>
      </c>
      <c r="M1384" s="3">
        <f>K1384-L1384</f>
        <v>0.7699648325884674</v>
      </c>
      <c r="N1384" s="1">
        <f>COUNTIF($M$1346:$M$1401,"&gt;"&amp;M1384)+COUNTIF($M$1346:M1384,M1384)</f>
        <v>13</v>
      </c>
      <c r="O1384" s="1">
        <f>J1384+L1384+IF(N1384&lt;=I1384-SUM($J$1346:$J$1401)-SUM($L$1346:$L$1401),1,0)</f>
        <v>19</v>
      </c>
    </row>
    <row r="1385" spans="1:15">
      <c r="A1385" s="1" t="s">
        <v>74</v>
      </c>
      <c r="B1385" s="1" t="s">
        <v>78</v>
      </c>
      <c r="C1385" s="1" t="s">
        <v>50</v>
      </c>
      <c r="D1385" s="1" t="s">
        <v>39</v>
      </c>
      <c r="E1385" s="1" t="s">
        <v>47</v>
      </c>
      <c r="F1385" s="1" t="s">
        <v>42</v>
      </c>
      <c r="G1385" s="1">
        <v>1052</v>
      </c>
      <c r="H1385" s="1">
        <f>'1_Departamento_n'!C26</f>
        <v>54596</v>
      </c>
      <c r="I1385" s="1">
        <f>'1_Departamento_n'!H26</f>
        <v>1291</v>
      </c>
      <c r="J1385" s="1">
        <f>'0_Parametros'!B7</f>
        <v>10</v>
      </c>
      <c r="K1385" s="3">
        <f>(I1385-SUM($J$1346:$J$1401))*G1385/H1385</f>
        <v>14.085500769287128</v>
      </c>
      <c r="L1385" s="1">
        <f>INT(K1385)</f>
        <v>14</v>
      </c>
      <c r="M1385" s="3">
        <f>K1385-L1385</f>
        <v>0.08550076928712791</v>
      </c>
      <c r="N1385" s="1">
        <f>COUNTIF($M$1346:$M$1401,"&gt;"&amp;M1385)+COUNTIF($M$1346:M1385,M1385)</f>
        <v>50</v>
      </c>
      <c r="O1385" s="1">
        <f>J1385+L1385+IF(N1385&lt;=I1385-SUM($J$1346:$J$1401)-SUM($L$1346:$L$1401),1,0)</f>
        <v>24</v>
      </c>
    </row>
    <row r="1386" spans="1:15">
      <c r="A1386" s="1" t="s">
        <v>74</v>
      </c>
      <c r="B1386" s="1" t="s">
        <v>78</v>
      </c>
      <c r="C1386" s="1" t="s">
        <v>50</v>
      </c>
      <c r="D1386" s="1" t="s">
        <v>39</v>
      </c>
      <c r="E1386" s="1" t="s">
        <v>48</v>
      </c>
      <c r="F1386" s="1" t="s">
        <v>41</v>
      </c>
      <c r="G1386" s="1">
        <v>675</v>
      </c>
      <c r="H1386" s="1">
        <f>'1_Departamento_n'!C26</f>
        <v>54596</v>
      </c>
      <c r="I1386" s="1">
        <f>'1_Departamento_n'!H26</f>
        <v>1291</v>
      </c>
      <c r="J1386" s="1">
        <f>'0_Parametros'!B7</f>
        <v>10</v>
      </c>
      <c r="K1386" s="3">
        <f>(I1386-SUM($J$1346:$J$1401))*G1386/H1386</f>
        <v>9.03775001831636</v>
      </c>
      <c r="L1386" s="1">
        <f>INT(K1386)</f>
        <v>9</v>
      </c>
      <c r="M1386" s="3">
        <f>K1386-L1386</f>
        <v>0.03775001831636082</v>
      </c>
      <c r="N1386" s="1">
        <f>COUNTIF($M$1346:$M$1401,"&gt;"&amp;M1386)+COUNTIF($M$1346:M1386,M1386)</f>
        <v>54</v>
      </c>
      <c r="O1386" s="1">
        <f>J1386+L1386+IF(N1386&lt;=I1386-SUM($J$1346:$J$1401)-SUM($L$1346:$L$1401),1,0)</f>
        <v>19</v>
      </c>
    </row>
    <row r="1387" spans="1:15">
      <c r="A1387" s="1" t="s">
        <v>74</v>
      </c>
      <c r="B1387" s="1" t="s">
        <v>78</v>
      </c>
      <c r="C1387" s="1" t="s">
        <v>50</v>
      </c>
      <c r="D1387" s="1" t="s">
        <v>39</v>
      </c>
      <c r="E1387" s="1" t="s">
        <v>48</v>
      </c>
      <c r="F1387" s="1" t="s">
        <v>42</v>
      </c>
      <c r="G1387" s="1">
        <v>1319</v>
      </c>
      <c r="H1387" s="1">
        <f>'1_Departamento_n'!C26</f>
        <v>54596</v>
      </c>
      <c r="I1387" s="1">
        <f>'1_Departamento_n'!H26</f>
        <v>1291</v>
      </c>
      <c r="J1387" s="1">
        <f>'0_Parametros'!B7</f>
        <v>10</v>
      </c>
      <c r="K1387" s="3">
        <f>(I1387-SUM($J$1346:$J$1401))*G1387/H1387</f>
        <v>17.660432998754487</v>
      </c>
      <c r="L1387" s="1">
        <f>INT(K1387)</f>
        <v>17</v>
      </c>
      <c r="M1387" s="3">
        <f>K1387-L1387</f>
        <v>0.6604329987544872</v>
      </c>
      <c r="N1387" s="1">
        <f>COUNTIF($M$1346:$M$1401,"&gt;"&amp;M1387)+COUNTIF($M$1346:M1387,M1387)</f>
        <v>18</v>
      </c>
      <c r="O1387" s="1">
        <f>J1387+L1387+IF(N1387&lt;=I1387-SUM($J$1346:$J$1401)-SUM($L$1346:$L$1401),1,0)</f>
        <v>28</v>
      </c>
    </row>
    <row r="1388" spans="1:15">
      <c r="A1388" s="1" t="s">
        <v>74</v>
      </c>
      <c r="B1388" s="1" t="s">
        <v>78</v>
      </c>
      <c r="C1388" s="1" t="s">
        <v>50</v>
      </c>
      <c r="D1388" s="1" t="s">
        <v>49</v>
      </c>
      <c r="E1388" s="1" t="s">
        <v>40</v>
      </c>
      <c r="F1388" s="1" t="s">
        <v>41</v>
      </c>
      <c r="G1388" s="1">
        <v>1671</v>
      </c>
      <c r="H1388" s="1">
        <f>'1_Departamento_n'!C26</f>
        <v>54596</v>
      </c>
      <c r="I1388" s="1">
        <f>'1_Departamento_n'!H26</f>
        <v>1291</v>
      </c>
      <c r="J1388" s="1">
        <f>'0_Parametros'!B7</f>
        <v>10</v>
      </c>
      <c r="K1388" s="3">
        <f>(I1388-SUM($J$1346:$J$1401))*G1388/H1388</f>
        <v>22.37345226756539</v>
      </c>
      <c r="L1388" s="1">
        <f>INT(K1388)</f>
        <v>22</v>
      </c>
      <c r="M1388" s="3">
        <f>K1388-L1388</f>
        <v>0.3734522675653906</v>
      </c>
      <c r="N1388" s="1">
        <f>COUNTIF($M$1346:$M$1401,"&gt;"&amp;M1388)+COUNTIF($M$1346:M1388,M1388)</f>
        <v>33</v>
      </c>
      <c r="O1388" s="1">
        <f>J1388+L1388+IF(N1388&lt;=I1388-SUM($J$1346:$J$1401)-SUM($L$1346:$L$1401),1,0)</f>
        <v>32</v>
      </c>
    </row>
    <row r="1389" spans="1:15">
      <c r="A1389" s="1" t="s">
        <v>74</v>
      </c>
      <c r="B1389" s="1" t="s">
        <v>78</v>
      </c>
      <c r="C1389" s="1" t="s">
        <v>50</v>
      </c>
      <c r="D1389" s="1" t="s">
        <v>49</v>
      </c>
      <c r="E1389" s="1" t="s">
        <v>40</v>
      </c>
      <c r="F1389" s="1" t="s">
        <v>42</v>
      </c>
      <c r="G1389" s="1">
        <v>3903</v>
      </c>
      <c r="H1389" s="1">
        <f>'1_Departamento_n'!C26</f>
        <v>54596</v>
      </c>
      <c r="I1389" s="1">
        <f>'1_Departamento_n'!H26</f>
        <v>1291</v>
      </c>
      <c r="J1389" s="1">
        <f>'0_Parametros'!B7</f>
        <v>10</v>
      </c>
      <c r="K1389" s="3">
        <f>(I1389-SUM($J$1346:$J$1401))*G1389/H1389</f>
        <v>52.258278994798154</v>
      </c>
      <c r="L1389" s="1">
        <f>INT(K1389)</f>
        <v>52</v>
      </c>
      <c r="M1389" s="3">
        <f>K1389-L1389</f>
        <v>0.25827899479815386</v>
      </c>
      <c r="N1389" s="1">
        <f>COUNTIF($M$1346:$M$1401,"&gt;"&amp;M1389)+COUNTIF($M$1346:M1389,M1389)</f>
        <v>39</v>
      </c>
      <c r="O1389" s="1">
        <f>J1389+L1389+IF(N1389&lt;=I1389-SUM($J$1346:$J$1401)-SUM($L$1346:$L$1401),1,0)</f>
        <v>62</v>
      </c>
    </row>
    <row r="1390" spans="1:15">
      <c r="A1390" s="1" t="s">
        <v>74</v>
      </c>
      <c r="B1390" s="1" t="s">
        <v>78</v>
      </c>
      <c r="C1390" s="1" t="s">
        <v>50</v>
      </c>
      <c r="D1390" s="1" t="s">
        <v>49</v>
      </c>
      <c r="E1390" s="1" t="s">
        <v>43</v>
      </c>
      <c r="F1390" s="1" t="s">
        <v>41</v>
      </c>
      <c r="G1390" s="1">
        <v>1888</v>
      </c>
      <c r="H1390" s="1">
        <f>'1_Departamento_n'!C26</f>
        <v>54596</v>
      </c>
      <c r="I1390" s="1">
        <f>'1_Departamento_n'!H26</f>
        <v>1291</v>
      </c>
      <c r="J1390" s="1">
        <f>'0_Parametros'!B7</f>
        <v>10</v>
      </c>
      <c r="K1390" s="3">
        <f>(I1390-SUM($J$1346:$J$1401))*G1390/H1390</f>
        <v>25.27892153271302</v>
      </c>
      <c r="L1390" s="1">
        <f>INT(K1390)</f>
        <v>25</v>
      </c>
      <c r="M1390" s="3">
        <f>K1390-L1390</f>
        <v>0.2789215327130208</v>
      </c>
      <c r="N1390" s="1">
        <f>COUNTIF($M$1346:$M$1401,"&gt;"&amp;M1390)+COUNTIF($M$1346:M1390,M1390)</f>
        <v>38</v>
      </c>
      <c r="O1390" s="1">
        <f>J1390+L1390+IF(N1390&lt;=I1390-SUM($J$1346:$J$1401)-SUM($L$1346:$L$1401),1,0)</f>
        <v>35</v>
      </c>
    </row>
    <row r="1391" spans="1:15">
      <c r="A1391" s="1" t="s">
        <v>74</v>
      </c>
      <c r="B1391" s="1" t="s">
        <v>78</v>
      </c>
      <c r="C1391" s="1" t="s">
        <v>50</v>
      </c>
      <c r="D1391" s="1" t="s">
        <v>49</v>
      </c>
      <c r="E1391" s="1" t="s">
        <v>43</v>
      </c>
      <c r="F1391" s="1" t="s">
        <v>42</v>
      </c>
      <c r="G1391" s="1">
        <v>3650</v>
      </c>
      <c r="H1391" s="1">
        <f>'1_Departamento_n'!C26</f>
        <v>54596</v>
      </c>
      <c r="I1391" s="1">
        <f>'1_Departamento_n'!H26</f>
        <v>1291</v>
      </c>
      <c r="J1391" s="1">
        <f>'0_Parametros'!B7</f>
        <v>10</v>
      </c>
      <c r="K1391" s="3">
        <f>(I1391-SUM($J$1346:$J$1401))*G1391/H1391</f>
        <v>48.87079639534032</v>
      </c>
      <c r="L1391" s="1">
        <f>INT(K1391)</f>
        <v>48</v>
      </c>
      <c r="M1391" s="3">
        <f>K1391-L1391</f>
        <v>0.8707963953403208</v>
      </c>
      <c r="N1391" s="1">
        <f>COUNTIF($M$1346:$M$1401,"&gt;"&amp;M1391)+COUNTIF($M$1346:M1391,M1391)</f>
        <v>3</v>
      </c>
      <c r="O1391" s="1">
        <f>J1391+L1391+IF(N1391&lt;=I1391-SUM($J$1346:$J$1401)-SUM($L$1346:$L$1401),1,0)</f>
        <v>59</v>
      </c>
    </row>
    <row r="1392" spans="1:15">
      <c r="A1392" s="1" t="s">
        <v>74</v>
      </c>
      <c r="B1392" s="1" t="s">
        <v>78</v>
      </c>
      <c r="C1392" s="1" t="s">
        <v>50</v>
      </c>
      <c r="D1392" s="1" t="s">
        <v>49</v>
      </c>
      <c r="E1392" s="1" t="s">
        <v>44</v>
      </c>
      <c r="F1392" s="1" t="s">
        <v>41</v>
      </c>
      <c r="G1392" s="1">
        <v>1483</v>
      </c>
      <c r="H1392" s="1">
        <f>'1_Departamento_n'!C26</f>
        <v>54596</v>
      </c>
      <c r="I1392" s="1">
        <f>'1_Departamento_n'!H26</f>
        <v>1291</v>
      </c>
      <c r="J1392" s="1">
        <f>'0_Parametros'!B7</f>
        <v>10</v>
      </c>
      <c r="K1392" s="3">
        <f>(I1392-SUM($J$1346:$J$1401))*G1392/H1392</f>
        <v>19.856271521723205</v>
      </c>
      <c r="L1392" s="1">
        <f>INT(K1392)</f>
        <v>19</v>
      </c>
      <c r="M1392" s="3">
        <f>K1392-L1392</f>
        <v>0.8562715217232046</v>
      </c>
      <c r="N1392" s="1">
        <f>COUNTIF($M$1346:$M$1401,"&gt;"&amp;M1392)+COUNTIF($M$1346:M1392,M1392)</f>
        <v>7</v>
      </c>
      <c r="O1392" s="1">
        <f>J1392+L1392+IF(N1392&lt;=I1392-SUM($J$1346:$J$1401)-SUM($L$1346:$L$1401),1,0)</f>
        <v>30</v>
      </c>
    </row>
    <row r="1393" spans="1:15">
      <c r="A1393" s="1" t="s">
        <v>74</v>
      </c>
      <c r="B1393" s="1" t="s">
        <v>78</v>
      </c>
      <c r="C1393" s="1" t="s">
        <v>50</v>
      </c>
      <c r="D1393" s="1" t="s">
        <v>49</v>
      </c>
      <c r="E1393" s="1" t="s">
        <v>44</v>
      </c>
      <c r="F1393" s="1" t="s">
        <v>42</v>
      </c>
      <c r="G1393" s="1">
        <v>2074</v>
      </c>
      <c r="H1393" s="1">
        <f>'1_Departamento_n'!C26</f>
        <v>54596</v>
      </c>
      <c r="I1393" s="1">
        <f>'1_Departamento_n'!H26</f>
        <v>1291</v>
      </c>
      <c r="J1393" s="1">
        <f>'0_Parametros'!B7</f>
        <v>10</v>
      </c>
      <c r="K1393" s="3">
        <f>(I1393-SUM($J$1346:$J$1401))*G1393/H1393</f>
        <v>27.769323759982417</v>
      </c>
      <c r="L1393" s="1">
        <f>INT(K1393)</f>
        <v>27</v>
      </c>
      <c r="M1393" s="3">
        <f>K1393-L1393</f>
        <v>0.7693237599824165</v>
      </c>
      <c r="N1393" s="1">
        <f>COUNTIF($M$1346:$M$1401,"&gt;"&amp;M1393)+COUNTIF($M$1346:M1393,M1393)</f>
        <v>14</v>
      </c>
      <c r="O1393" s="1">
        <f>J1393+L1393+IF(N1393&lt;=I1393-SUM($J$1346:$J$1401)-SUM($L$1346:$L$1401),1,0)</f>
        <v>38</v>
      </c>
    </row>
    <row r="1394" spans="1:15">
      <c r="A1394" s="1" t="s">
        <v>74</v>
      </c>
      <c r="B1394" s="1" t="s">
        <v>78</v>
      </c>
      <c r="C1394" s="1" t="s">
        <v>50</v>
      </c>
      <c r="D1394" s="1" t="s">
        <v>49</v>
      </c>
      <c r="E1394" s="1" t="s">
        <v>45</v>
      </c>
      <c r="F1394" s="1" t="s">
        <v>41</v>
      </c>
      <c r="G1394" s="1">
        <v>1260</v>
      </c>
      <c r="H1394" s="1">
        <f>'1_Departamento_n'!C26</f>
        <v>54596</v>
      </c>
      <c r="I1394" s="1">
        <f>'1_Departamento_n'!H26</f>
        <v>1291</v>
      </c>
      <c r="J1394" s="1">
        <f>'0_Parametros'!B7</f>
        <v>10</v>
      </c>
      <c r="K1394" s="3">
        <f>(I1394-SUM($J$1346:$J$1401))*G1394/H1394</f>
        <v>16.870466700857207</v>
      </c>
      <c r="L1394" s="1">
        <f>INT(K1394)</f>
        <v>16</v>
      </c>
      <c r="M1394" s="3">
        <f>K1394-L1394</f>
        <v>0.8704667008572073</v>
      </c>
      <c r="N1394" s="1">
        <f>COUNTIF($M$1346:$M$1401,"&gt;"&amp;M1394)+COUNTIF($M$1346:M1394,M1394)</f>
        <v>4</v>
      </c>
      <c r="O1394" s="1">
        <f>J1394+L1394+IF(N1394&lt;=I1394-SUM($J$1346:$J$1401)-SUM($L$1346:$L$1401),1,0)</f>
        <v>27</v>
      </c>
    </row>
    <row r="1395" spans="1:15">
      <c r="A1395" s="1" t="s">
        <v>74</v>
      </c>
      <c r="B1395" s="1" t="s">
        <v>78</v>
      </c>
      <c r="C1395" s="1" t="s">
        <v>50</v>
      </c>
      <c r="D1395" s="1" t="s">
        <v>49</v>
      </c>
      <c r="E1395" s="1" t="s">
        <v>45</v>
      </c>
      <c r="F1395" s="1" t="s">
        <v>42</v>
      </c>
      <c r="G1395" s="1">
        <v>1606</v>
      </c>
      <c r="H1395" s="1">
        <f>'1_Departamento_n'!C26</f>
        <v>54596</v>
      </c>
      <c r="I1395" s="1">
        <f>'1_Departamento_n'!H26</f>
        <v>1291</v>
      </c>
      <c r="J1395" s="1">
        <f>'0_Parametros'!B7</f>
        <v>10</v>
      </c>
      <c r="K1395" s="3">
        <f>(I1395-SUM($J$1346:$J$1401))*G1395/H1395</f>
        <v>21.50315041394974</v>
      </c>
      <c r="L1395" s="1">
        <f>INT(K1395)</f>
        <v>21</v>
      </c>
      <c r="M1395" s="3">
        <f>K1395-L1395</f>
        <v>0.50315041394974</v>
      </c>
      <c r="N1395" s="1">
        <f>COUNTIF($M$1346:$M$1401,"&gt;"&amp;M1395)+COUNTIF($M$1346:M1395,M1395)</f>
        <v>26</v>
      </c>
      <c r="O1395" s="1">
        <f>J1395+L1395+IF(N1395&lt;=I1395-SUM($J$1346:$J$1401)-SUM($L$1346:$L$1401),1,0)</f>
        <v>32</v>
      </c>
    </row>
    <row r="1396" spans="1:15">
      <c r="A1396" s="1" t="s">
        <v>74</v>
      </c>
      <c r="B1396" s="1" t="s">
        <v>78</v>
      </c>
      <c r="C1396" s="1" t="s">
        <v>50</v>
      </c>
      <c r="D1396" s="1" t="s">
        <v>49</v>
      </c>
      <c r="E1396" s="1" t="s">
        <v>46</v>
      </c>
      <c r="F1396" s="1" t="s">
        <v>41</v>
      </c>
      <c r="G1396" s="1">
        <v>873</v>
      </c>
      <c r="H1396" s="1">
        <f>'1_Departamento_n'!C26</f>
        <v>54596</v>
      </c>
      <c r="I1396" s="1">
        <f>'1_Departamento_n'!H26</f>
        <v>1291</v>
      </c>
      <c r="J1396" s="1">
        <f>'0_Parametros'!B7</f>
        <v>10</v>
      </c>
      <c r="K1396" s="3">
        <f>(I1396-SUM($J$1346:$J$1401))*G1396/H1396</f>
        <v>11.688823357022493</v>
      </c>
      <c r="L1396" s="1">
        <f>INT(K1396)</f>
        <v>11</v>
      </c>
      <c r="M1396" s="3">
        <f>K1396-L1396</f>
        <v>0.6888233570224926</v>
      </c>
      <c r="N1396" s="1">
        <f>COUNTIF($M$1346:$M$1401,"&gt;"&amp;M1396)+COUNTIF($M$1346:M1396,M1396)</f>
        <v>16</v>
      </c>
      <c r="O1396" s="1">
        <f>J1396+L1396+IF(N1396&lt;=I1396-SUM($J$1346:$J$1401)-SUM($L$1346:$L$1401),1,0)</f>
        <v>22</v>
      </c>
    </row>
    <row r="1397" spans="1:15">
      <c r="A1397" s="1" t="s">
        <v>74</v>
      </c>
      <c r="B1397" s="1" t="s">
        <v>78</v>
      </c>
      <c r="C1397" s="1" t="s">
        <v>50</v>
      </c>
      <c r="D1397" s="1" t="s">
        <v>49</v>
      </c>
      <c r="E1397" s="1" t="s">
        <v>46</v>
      </c>
      <c r="F1397" s="1" t="s">
        <v>42</v>
      </c>
      <c r="G1397" s="1">
        <v>1512</v>
      </c>
      <c r="H1397" s="1">
        <f>'1_Departamento_n'!C26</f>
        <v>54596</v>
      </c>
      <c r="I1397" s="1">
        <f>'1_Departamento_n'!H26</f>
        <v>1291</v>
      </c>
      <c r="J1397" s="1">
        <f>'0_Parametros'!B7</f>
        <v>10</v>
      </c>
      <c r="K1397" s="3">
        <f>(I1397-SUM($J$1346:$J$1401))*G1397/H1397</f>
        <v>20.244560041028645</v>
      </c>
      <c r="L1397" s="1">
        <f>INT(K1397)</f>
        <v>20</v>
      </c>
      <c r="M1397" s="3">
        <f>K1397-L1397</f>
        <v>0.24456004102864526</v>
      </c>
      <c r="N1397" s="1">
        <f>COUNTIF($M$1346:$M$1401,"&gt;"&amp;M1397)+COUNTIF($M$1346:M1397,M1397)</f>
        <v>40</v>
      </c>
      <c r="O1397" s="1">
        <f>J1397+L1397+IF(N1397&lt;=I1397-SUM($J$1346:$J$1401)-SUM($L$1346:$L$1401),1,0)</f>
        <v>30</v>
      </c>
    </row>
    <row r="1398" spans="1:15">
      <c r="A1398" s="1" t="s">
        <v>74</v>
      </c>
      <c r="B1398" s="1" t="s">
        <v>78</v>
      </c>
      <c r="C1398" s="1" t="s">
        <v>50</v>
      </c>
      <c r="D1398" s="1" t="s">
        <v>49</v>
      </c>
      <c r="E1398" s="1" t="s">
        <v>47</v>
      </c>
      <c r="F1398" s="1" t="s">
        <v>41</v>
      </c>
      <c r="G1398" s="1">
        <v>758</v>
      </c>
      <c r="H1398" s="1">
        <f>'1_Departamento_n'!C26</f>
        <v>54596</v>
      </c>
      <c r="I1398" s="1">
        <f>'1_Departamento_n'!H26</f>
        <v>1291</v>
      </c>
      <c r="J1398" s="1">
        <f>'0_Parametros'!B7</f>
        <v>10</v>
      </c>
      <c r="K1398" s="3">
        <f>(I1398-SUM($J$1346:$J$1401))*G1398/H1398</f>
        <v>10.149058539087113</v>
      </c>
      <c r="L1398" s="1">
        <f>INT(K1398)</f>
        <v>10</v>
      </c>
      <c r="M1398" s="3">
        <f>K1398-L1398</f>
        <v>0.14905853908711286</v>
      </c>
      <c r="N1398" s="1">
        <f>COUNTIF($M$1346:$M$1401,"&gt;"&amp;M1398)+COUNTIF($M$1346:M1398,M1398)</f>
        <v>45</v>
      </c>
      <c r="O1398" s="1">
        <f>J1398+L1398+IF(N1398&lt;=I1398-SUM($J$1346:$J$1401)-SUM($L$1346:$L$1401),1,0)</f>
        <v>20</v>
      </c>
    </row>
    <row r="1399" spans="1:15">
      <c r="A1399" s="1" t="s">
        <v>74</v>
      </c>
      <c r="B1399" s="1" t="s">
        <v>78</v>
      </c>
      <c r="C1399" s="1" t="s">
        <v>50</v>
      </c>
      <c r="D1399" s="1" t="s">
        <v>49</v>
      </c>
      <c r="E1399" s="1" t="s">
        <v>47</v>
      </c>
      <c r="F1399" s="1" t="s">
        <v>42</v>
      </c>
      <c r="G1399" s="1">
        <v>1241</v>
      </c>
      <c r="H1399" s="1">
        <f>'1_Departamento_n'!C26</f>
        <v>54596</v>
      </c>
      <c r="I1399" s="1">
        <f>'1_Departamento_n'!H26</f>
        <v>1291</v>
      </c>
      <c r="J1399" s="1">
        <f>'0_Parametros'!B7</f>
        <v>10</v>
      </c>
      <c r="K1399" s="3">
        <f>(I1399-SUM($J$1346:$J$1401))*G1399/H1399</f>
        <v>16.616070774415707</v>
      </c>
      <c r="L1399" s="1">
        <f>INT(K1399)</f>
        <v>16</v>
      </c>
      <c r="M1399" s="3">
        <f>K1399-L1399</f>
        <v>0.6160707744157072</v>
      </c>
      <c r="N1399" s="1">
        <f>COUNTIF($M$1346:$M$1401,"&gt;"&amp;M1399)+COUNTIF($M$1346:M1399,M1399)</f>
        <v>21</v>
      </c>
      <c r="O1399" s="1">
        <f>J1399+L1399+IF(N1399&lt;=I1399-SUM($J$1346:$J$1401)-SUM($L$1346:$L$1401),1,0)</f>
        <v>27</v>
      </c>
    </row>
    <row r="1400" spans="1:15">
      <c r="A1400" s="1" t="s">
        <v>74</v>
      </c>
      <c r="B1400" s="1" t="s">
        <v>78</v>
      </c>
      <c r="C1400" s="1" t="s">
        <v>50</v>
      </c>
      <c r="D1400" s="1" t="s">
        <v>49</v>
      </c>
      <c r="E1400" s="1" t="s">
        <v>48</v>
      </c>
      <c r="F1400" s="1" t="s">
        <v>41</v>
      </c>
      <c r="G1400" s="1">
        <v>902</v>
      </c>
      <c r="H1400" s="1">
        <f>'1_Departamento_n'!C26</f>
        <v>54596</v>
      </c>
      <c r="I1400" s="1">
        <f>'1_Departamento_n'!H26</f>
        <v>1291</v>
      </c>
      <c r="J1400" s="1">
        <f>'0_Parametros'!B7</f>
        <v>10</v>
      </c>
      <c r="K1400" s="3">
        <f>(I1400-SUM($J$1346:$J$1401))*G1400/H1400</f>
        <v>12.077111876327937</v>
      </c>
      <c r="L1400" s="1">
        <f>INT(K1400)</f>
        <v>12</v>
      </c>
      <c r="M1400" s="3">
        <f>K1400-L1400</f>
        <v>0.07711187632793681</v>
      </c>
      <c r="N1400" s="1">
        <f>COUNTIF($M$1346:$M$1401,"&gt;"&amp;M1400)+COUNTIF($M$1346:M1400,M1400)</f>
        <v>51</v>
      </c>
      <c r="O1400" s="1">
        <f>J1400+L1400+IF(N1400&lt;=I1400-SUM($J$1346:$J$1401)-SUM($L$1346:$L$1401),1,0)</f>
        <v>22</v>
      </c>
    </row>
    <row r="1401" spans="1:15">
      <c r="A1401" s="1" t="s">
        <v>74</v>
      </c>
      <c r="B1401" s="1" t="s">
        <v>78</v>
      </c>
      <c r="C1401" s="1" t="s">
        <v>50</v>
      </c>
      <c r="D1401" s="1" t="s">
        <v>49</v>
      </c>
      <c r="E1401" s="1" t="s">
        <v>48</v>
      </c>
      <c r="F1401" s="1" t="s">
        <v>42</v>
      </c>
      <c r="G1401" s="1">
        <v>1708</v>
      </c>
      <c r="H1401" s="1">
        <f>'1_Departamento_n'!C26</f>
        <v>54596</v>
      </c>
      <c r="I1401" s="1">
        <f>'1_Departamento_n'!H26</f>
        <v>1291</v>
      </c>
      <c r="J1401" s="1">
        <f>'0_Parametros'!B7</f>
        <v>10</v>
      </c>
      <c r="K1401" s="3">
        <f>(I1401-SUM($J$1346:$J$1401))*G1401/H1401</f>
        <v>22.86885486116199</v>
      </c>
      <c r="L1401" s="1">
        <f>INT(K1401)</f>
        <v>22</v>
      </c>
      <c r="M1401" s="3">
        <f>K1401-L1401</f>
        <v>0.8688548611619886</v>
      </c>
      <c r="N1401" s="1">
        <f>COUNTIF($M$1346:$M$1401,"&gt;"&amp;M1401)+COUNTIF($M$1346:M1401,M1401)</f>
        <v>5</v>
      </c>
      <c r="O1401" s="1">
        <f>J1401+L1401+IF(N1401&lt;=I1401-SUM($J$1346:$J$1401)-SUM($L$1346:$L$1401),1,0)</f>
        <v>33</v>
      </c>
    </row>
    <row r="1402" spans="1:15">
      <c r="A1402" s="1" t="s">
        <v>74</v>
      </c>
      <c r="B1402" s="1" t="s">
        <v>79</v>
      </c>
      <c r="C1402" s="1" t="s">
        <v>38</v>
      </c>
      <c r="D1402" s="1" t="s">
        <v>39</v>
      </c>
      <c r="E1402" s="1" t="s">
        <v>40</v>
      </c>
      <c r="F1402" s="1" t="s">
        <v>41</v>
      </c>
      <c r="G1402" s="1">
        <v>488</v>
      </c>
      <c r="H1402" s="1">
        <f>'1_Departamento_n'!C27</f>
        <v>85937</v>
      </c>
      <c r="I1402" s="1">
        <f>'1_Departamento_n'!H27</f>
        <v>1299</v>
      </c>
      <c r="J1402" s="1">
        <f>'0_Parametros'!B7</f>
        <v>10</v>
      </c>
      <c r="K1402" s="3">
        <f>(I1402-SUM($J$1402:$J$1457))*G1402/H1402</f>
        <v>4.196469506731676</v>
      </c>
      <c r="L1402" s="1">
        <f>INT(K1402)</f>
        <v>4</v>
      </c>
      <c r="M1402" s="3">
        <f>K1402-L1402</f>
        <v>0.19646950673167574</v>
      </c>
      <c r="N1402" s="1">
        <f>COUNTIF($M$1402:$M$1457,"&gt;"&amp;M1402)+COUNTIF($M$1402:M1402,M1402)</f>
        <v>47</v>
      </c>
      <c r="O1402" s="1">
        <f>J1402+L1402+IF(N1402&lt;=I1402-SUM($J$1402:$J$1457)-SUM($L$1402:$L$1457),1,0)</f>
        <v>14</v>
      </c>
    </row>
    <row r="1403" spans="1:15">
      <c r="A1403" s="1" t="s">
        <v>74</v>
      </c>
      <c r="B1403" s="1" t="s">
        <v>79</v>
      </c>
      <c r="C1403" s="1" t="s">
        <v>38</v>
      </c>
      <c r="D1403" s="1" t="s">
        <v>39</v>
      </c>
      <c r="E1403" s="1" t="s">
        <v>40</v>
      </c>
      <c r="F1403" s="1" t="s">
        <v>42</v>
      </c>
      <c r="G1403" s="1">
        <v>747</v>
      </c>
      <c r="H1403" s="1">
        <f>'1_Departamento_n'!C27</f>
        <v>85937</v>
      </c>
      <c r="I1403" s="1">
        <f>'1_Departamento_n'!H27</f>
        <v>1299</v>
      </c>
      <c r="J1403" s="1">
        <f>'0_Parametros'!B7</f>
        <v>10</v>
      </c>
      <c r="K1403" s="3">
        <f>(I1403-SUM($J$1402:$J$1457))*G1403/H1403</f>
        <v>6.423694101492954</v>
      </c>
      <c r="L1403" s="1">
        <f>INT(K1403)</f>
        <v>6</v>
      </c>
      <c r="M1403" s="3">
        <f>K1403-L1403</f>
        <v>0.42369410149295383</v>
      </c>
      <c r="N1403" s="1">
        <f>COUNTIF($M$1402:$M$1457,"&gt;"&amp;M1403)+COUNTIF($M$1402:M1403,M1403)</f>
        <v>35</v>
      </c>
      <c r="O1403" s="1">
        <f>J1403+L1403+IF(N1403&lt;=I1403-SUM($J$1402:$J$1457)-SUM($L$1402:$L$1457),1,0)</f>
        <v>16</v>
      </c>
    </row>
    <row r="1404" spans="1:15">
      <c r="A1404" s="1" t="s">
        <v>74</v>
      </c>
      <c r="B1404" s="1" t="s">
        <v>79</v>
      </c>
      <c r="C1404" s="1" t="s">
        <v>38</v>
      </c>
      <c r="D1404" s="1" t="s">
        <v>39</v>
      </c>
      <c r="E1404" s="1" t="s">
        <v>43</v>
      </c>
      <c r="F1404" s="1" t="s">
        <v>41</v>
      </c>
      <c r="G1404" s="1">
        <v>785</v>
      </c>
      <c r="H1404" s="1">
        <f>'1_Departamento_n'!C27</f>
        <v>85937</v>
      </c>
      <c r="I1404" s="1">
        <f>'1_Departamento_n'!H27</f>
        <v>1299</v>
      </c>
      <c r="J1404" s="1">
        <f>'0_Parametros'!B7</f>
        <v>10</v>
      </c>
      <c r="K1404" s="3">
        <f>(I1404-SUM($J$1402:$J$1457))*G1404/H1404</f>
        <v>6.750468366361404</v>
      </c>
      <c r="L1404" s="1">
        <f>INT(K1404)</f>
        <v>6</v>
      </c>
      <c r="M1404" s="3">
        <f>K1404-L1404</f>
        <v>0.750468366361404</v>
      </c>
      <c r="N1404" s="1">
        <f>COUNTIF($M$1402:$M$1457,"&gt;"&amp;M1404)+COUNTIF($M$1402:M1404,M1404)</f>
        <v>18</v>
      </c>
      <c r="O1404" s="1">
        <f>J1404+L1404+IF(N1404&lt;=I1404-SUM($J$1402:$J$1457)-SUM($L$1402:$L$1457),1,0)</f>
        <v>17</v>
      </c>
    </row>
    <row r="1405" spans="1:15">
      <c r="A1405" s="1" t="s">
        <v>74</v>
      </c>
      <c r="B1405" s="1" t="s">
        <v>79</v>
      </c>
      <c r="C1405" s="1" t="s">
        <v>38</v>
      </c>
      <c r="D1405" s="1" t="s">
        <v>39</v>
      </c>
      <c r="E1405" s="1" t="s">
        <v>43</v>
      </c>
      <c r="F1405" s="1" t="s">
        <v>42</v>
      </c>
      <c r="G1405" s="1">
        <v>567</v>
      </c>
      <c r="H1405" s="1">
        <f>'1_Departamento_n'!C27</f>
        <v>85937</v>
      </c>
      <c r="I1405" s="1">
        <f>'1_Departamento_n'!H27</f>
        <v>1299</v>
      </c>
      <c r="J1405" s="1">
        <f>'0_Parametros'!B7</f>
        <v>10</v>
      </c>
      <c r="K1405" s="3">
        <f>(I1405-SUM($J$1402:$J$1457))*G1405/H1405</f>
        <v>4.875816004747664</v>
      </c>
      <c r="L1405" s="1">
        <f>INT(K1405)</f>
        <v>4</v>
      </c>
      <c r="M1405" s="3">
        <f>K1405-L1405</f>
        <v>0.875816004747664</v>
      </c>
      <c r="N1405" s="1">
        <f>COUNTIF($M$1402:$M$1457,"&gt;"&amp;M1405)+COUNTIF($M$1402:M1405,M1405)</f>
        <v>7</v>
      </c>
      <c r="O1405" s="1">
        <f>J1405+L1405+IF(N1405&lt;=I1405-SUM($J$1402:$J$1457)-SUM($L$1402:$L$1457),1,0)</f>
        <v>15</v>
      </c>
    </row>
    <row r="1406" spans="1:15">
      <c r="A1406" s="1" t="s">
        <v>74</v>
      </c>
      <c r="B1406" s="1" t="s">
        <v>79</v>
      </c>
      <c r="C1406" s="1" t="s">
        <v>38</v>
      </c>
      <c r="D1406" s="1" t="s">
        <v>39</v>
      </c>
      <c r="E1406" s="1" t="s">
        <v>44</v>
      </c>
      <c r="F1406" s="1" t="s">
        <v>41</v>
      </c>
      <c r="G1406" s="1">
        <v>1116</v>
      </c>
      <c r="H1406" s="1">
        <f>'1_Departamento_n'!C27</f>
        <v>85937</v>
      </c>
      <c r="I1406" s="1">
        <f>'1_Departamento_n'!H27</f>
        <v>1299</v>
      </c>
      <c r="J1406" s="1">
        <f>'0_Parametros'!B7</f>
        <v>10</v>
      </c>
      <c r="K1406" s="3">
        <f>(I1406-SUM($J$1402:$J$1457))*G1406/H1406</f>
        <v>9.596844199820799</v>
      </c>
      <c r="L1406" s="1">
        <f>INT(K1406)</f>
        <v>9</v>
      </c>
      <c r="M1406" s="3">
        <f>K1406-L1406</f>
        <v>0.596844199820799</v>
      </c>
      <c r="N1406" s="1">
        <f>COUNTIF($M$1402:$M$1457,"&gt;"&amp;M1406)+COUNTIF($M$1402:M1406,M1406)</f>
        <v>22</v>
      </c>
      <c r="O1406" s="1">
        <f>J1406+L1406+IF(N1406&lt;=I1406-SUM($J$1402:$J$1457)-SUM($L$1402:$L$1457),1,0)</f>
        <v>20</v>
      </c>
    </row>
    <row r="1407" spans="1:15">
      <c r="A1407" s="1" t="s">
        <v>74</v>
      </c>
      <c r="B1407" s="1" t="s">
        <v>79</v>
      </c>
      <c r="C1407" s="1" t="s">
        <v>38</v>
      </c>
      <c r="D1407" s="1" t="s">
        <v>39</v>
      </c>
      <c r="E1407" s="1" t="s">
        <v>44</v>
      </c>
      <c r="F1407" s="1" t="s">
        <v>42</v>
      </c>
      <c r="G1407" s="1">
        <v>849</v>
      </c>
      <c r="H1407" s="1">
        <f>'1_Departamento_n'!C27</f>
        <v>85937</v>
      </c>
      <c r="I1407" s="1">
        <f>'1_Departamento_n'!H27</f>
        <v>1299</v>
      </c>
      <c r="J1407" s="1">
        <f>'0_Parametros'!B7</f>
        <v>10</v>
      </c>
      <c r="K1407" s="3">
        <f>(I1407-SUM($J$1402:$J$1457))*G1407/H1407</f>
        <v>7.300825022981952</v>
      </c>
      <c r="L1407" s="1">
        <f>INT(K1407)</f>
        <v>7</v>
      </c>
      <c r="M1407" s="3">
        <f>K1407-L1407</f>
        <v>0.300825022981952</v>
      </c>
      <c r="N1407" s="1">
        <f>COUNTIF($M$1402:$M$1457,"&gt;"&amp;M1407)+COUNTIF($M$1402:M1407,M1407)</f>
        <v>45</v>
      </c>
      <c r="O1407" s="1">
        <f>J1407+L1407+IF(N1407&lt;=I1407-SUM($J$1402:$J$1457)-SUM($L$1402:$L$1457),1,0)</f>
        <v>17</v>
      </c>
    </row>
    <row r="1408" spans="1:15">
      <c r="A1408" s="1" t="s">
        <v>74</v>
      </c>
      <c r="B1408" s="1" t="s">
        <v>79</v>
      </c>
      <c r="C1408" s="1" t="s">
        <v>38</v>
      </c>
      <c r="D1408" s="1" t="s">
        <v>39</v>
      </c>
      <c r="E1408" s="1" t="s">
        <v>45</v>
      </c>
      <c r="F1408" s="1" t="s">
        <v>41</v>
      </c>
      <c r="G1408" s="1">
        <v>1255</v>
      </c>
      <c r="H1408" s="1">
        <f>'1_Departamento_n'!C27</f>
        <v>85937</v>
      </c>
      <c r="I1408" s="1">
        <f>'1_Departamento_n'!H27</f>
        <v>1299</v>
      </c>
      <c r="J1408" s="1">
        <f>'0_Parametros'!B7</f>
        <v>10</v>
      </c>
      <c r="K1408" s="3">
        <f>(I1408-SUM($J$1402:$J$1457))*G1408/H1408</f>
        <v>10.792150063418552</v>
      </c>
      <c r="L1408" s="1">
        <f>INT(K1408)</f>
        <v>10</v>
      </c>
      <c r="M1408" s="3">
        <f>K1408-L1408</f>
        <v>0.7921500634185517</v>
      </c>
      <c r="N1408" s="1">
        <f>COUNTIF($M$1402:$M$1457,"&gt;"&amp;M1408)+COUNTIF($M$1402:M1408,M1408)</f>
        <v>13</v>
      </c>
      <c r="O1408" s="1">
        <f>J1408+L1408+IF(N1408&lt;=I1408-SUM($J$1402:$J$1457)-SUM($L$1402:$L$1457),1,0)</f>
        <v>21</v>
      </c>
    </row>
    <row r="1409" spans="1:15">
      <c r="A1409" s="1" t="s">
        <v>74</v>
      </c>
      <c r="B1409" s="1" t="s">
        <v>79</v>
      </c>
      <c r="C1409" s="1" t="s">
        <v>38</v>
      </c>
      <c r="D1409" s="1" t="s">
        <v>39</v>
      </c>
      <c r="E1409" s="1" t="s">
        <v>45</v>
      </c>
      <c r="F1409" s="1" t="s">
        <v>42</v>
      </c>
      <c r="G1409" s="1">
        <v>967</v>
      </c>
      <c r="H1409" s="1">
        <f>'1_Departamento_n'!C27</f>
        <v>85937</v>
      </c>
      <c r="I1409" s="1">
        <f>'1_Departamento_n'!H27</f>
        <v>1299</v>
      </c>
      <c r="J1409" s="1">
        <f>'0_Parametros'!B7</f>
        <v>10</v>
      </c>
      <c r="K1409" s="3">
        <f>(I1409-SUM($J$1402:$J$1457))*G1409/H1409</f>
        <v>8.315545108626086</v>
      </c>
      <c r="L1409" s="1">
        <f>INT(K1409)</f>
        <v>8</v>
      </c>
      <c r="M1409" s="3">
        <f>K1409-L1409</f>
        <v>0.3155451086260861</v>
      </c>
      <c r="N1409" s="1">
        <f>COUNTIF($M$1402:$M$1457,"&gt;"&amp;M1409)+COUNTIF($M$1402:M1409,M1409)</f>
        <v>44</v>
      </c>
      <c r="O1409" s="1">
        <f>J1409+L1409+IF(N1409&lt;=I1409-SUM($J$1402:$J$1457)-SUM($L$1402:$L$1457),1,0)</f>
        <v>18</v>
      </c>
    </row>
    <row r="1410" spans="1:15">
      <c r="A1410" s="1" t="s">
        <v>74</v>
      </c>
      <c r="B1410" s="1" t="s">
        <v>79</v>
      </c>
      <c r="C1410" s="1" t="s">
        <v>38</v>
      </c>
      <c r="D1410" s="1" t="s">
        <v>39</v>
      </c>
      <c r="E1410" s="1" t="s">
        <v>46</v>
      </c>
      <c r="F1410" s="1" t="s">
        <v>41</v>
      </c>
      <c r="G1410" s="1">
        <v>986</v>
      </c>
      <c r="H1410" s="1">
        <f>'1_Departamento_n'!C27</f>
        <v>85937</v>
      </c>
      <c r="I1410" s="1">
        <f>'1_Departamento_n'!H27</f>
        <v>1299</v>
      </c>
      <c r="J1410" s="1">
        <f>'0_Parametros'!B7</f>
        <v>10</v>
      </c>
      <c r="K1410" s="3">
        <f>(I1410-SUM($J$1402:$J$1457))*G1410/H1410</f>
        <v>8.478932241060312</v>
      </c>
      <c r="L1410" s="1">
        <f>INT(K1410)</f>
        <v>8</v>
      </c>
      <c r="M1410" s="3">
        <f>K1410-L1410</f>
        <v>0.4789322410603116</v>
      </c>
      <c r="N1410" s="1">
        <f>COUNTIF($M$1402:$M$1457,"&gt;"&amp;M1410)+COUNTIF($M$1402:M1410,M1410)</f>
        <v>30</v>
      </c>
      <c r="O1410" s="1">
        <f>J1410+L1410+IF(N1410&lt;=I1410-SUM($J$1402:$J$1457)-SUM($L$1402:$L$1457),1,0)</f>
        <v>18</v>
      </c>
    </row>
    <row r="1411" spans="1:15">
      <c r="A1411" s="1" t="s">
        <v>74</v>
      </c>
      <c r="B1411" s="1" t="s">
        <v>79</v>
      </c>
      <c r="C1411" s="1" t="s">
        <v>38</v>
      </c>
      <c r="D1411" s="1" t="s">
        <v>39</v>
      </c>
      <c r="E1411" s="1" t="s">
        <v>46</v>
      </c>
      <c r="F1411" s="1" t="s">
        <v>42</v>
      </c>
      <c r="G1411" s="1">
        <v>510</v>
      </c>
      <c r="H1411" s="1">
        <f>'1_Departamento_n'!C27</f>
        <v>85937</v>
      </c>
      <c r="I1411" s="1">
        <f>'1_Departamento_n'!H27</f>
        <v>1299</v>
      </c>
      <c r="J1411" s="1">
        <f>'0_Parametros'!B7</f>
        <v>10</v>
      </c>
      <c r="K1411" s="3">
        <f>(I1411-SUM($J$1402:$J$1457))*G1411/H1411</f>
        <v>4.385654607444989</v>
      </c>
      <c r="L1411" s="1">
        <f>INT(K1411)</f>
        <v>4</v>
      </c>
      <c r="M1411" s="3">
        <f>K1411-L1411</f>
        <v>0.38565460744498914</v>
      </c>
      <c r="N1411" s="1">
        <f>COUNTIF($M$1402:$M$1457,"&gt;"&amp;M1411)+COUNTIF($M$1402:M1411,M1411)</f>
        <v>39</v>
      </c>
      <c r="O1411" s="1">
        <f>J1411+L1411+IF(N1411&lt;=I1411-SUM($J$1402:$J$1457)-SUM($L$1402:$L$1457),1,0)</f>
        <v>14</v>
      </c>
    </row>
    <row r="1412" spans="1:15">
      <c r="A1412" s="1" t="s">
        <v>74</v>
      </c>
      <c r="B1412" s="1" t="s">
        <v>79</v>
      </c>
      <c r="C1412" s="1" t="s">
        <v>38</v>
      </c>
      <c r="D1412" s="1" t="s">
        <v>39</v>
      </c>
      <c r="E1412" s="1" t="s">
        <v>47</v>
      </c>
      <c r="F1412" s="1" t="s">
        <v>41</v>
      </c>
      <c r="G1412" s="1">
        <v>637</v>
      </c>
      <c r="H1412" s="1">
        <f>'1_Departamento_n'!C27</f>
        <v>85937</v>
      </c>
      <c r="I1412" s="1">
        <f>'1_Departamento_n'!H27</f>
        <v>1299</v>
      </c>
      <c r="J1412" s="1">
        <f>'0_Parametros'!B7</f>
        <v>10</v>
      </c>
      <c r="K1412" s="3">
        <f>(I1412-SUM($J$1402:$J$1457))*G1412/H1412</f>
        <v>5.477768597926388</v>
      </c>
      <c r="L1412" s="1">
        <f>INT(K1412)</f>
        <v>5</v>
      </c>
      <c r="M1412" s="3">
        <f>K1412-L1412</f>
        <v>0.4777685979263877</v>
      </c>
      <c r="N1412" s="1">
        <f>COUNTIF($M$1402:$M$1457,"&gt;"&amp;M1412)+COUNTIF($M$1402:M1412,M1412)</f>
        <v>31</v>
      </c>
      <c r="O1412" s="1">
        <f>J1412+L1412+IF(N1412&lt;=I1412-SUM($J$1402:$J$1457)-SUM($L$1402:$L$1457),1,0)</f>
        <v>15</v>
      </c>
    </row>
    <row r="1413" spans="1:15">
      <c r="A1413" s="1" t="s">
        <v>74</v>
      </c>
      <c r="B1413" s="1" t="s">
        <v>79</v>
      </c>
      <c r="C1413" s="1" t="s">
        <v>38</v>
      </c>
      <c r="D1413" s="1" t="s">
        <v>39</v>
      </c>
      <c r="E1413" s="1" t="s">
        <v>47</v>
      </c>
      <c r="F1413" s="1" t="s">
        <v>42</v>
      </c>
      <c r="G1413" s="1">
        <v>236</v>
      </c>
      <c r="H1413" s="1">
        <f>'1_Departamento_n'!C27</f>
        <v>85937</v>
      </c>
      <c r="I1413" s="1">
        <f>'1_Departamento_n'!H27</f>
        <v>1299</v>
      </c>
      <c r="J1413" s="1">
        <f>'0_Parametros'!B7</f>
        <v>10</v>
      </c>
      <c r="K1413" s="3">
        <f>(I1413-SUM($J$1402:$J$1457))*G1413/H1413</f>
        <v>2.0294401712882695</v>
      </c>
      <c r="L1413" s="1">
        <f>INT(K1413)</f>
        <v>2</v>
      </c>
      <c r="M1413" s="3">
        <f>K1413-L1413</f>
        <v>0.02944017128826948</v>
      </c>
      <c r="N1413" s="1">
        <f>COUNTIF($M$1402:$M$1457,"&gt;"&amp;M1413)+COUNTIF($M$1402:M1413,M1413)</f>
        <v>55</v>
      </c>
      <c r="O1413" s="1">
        <f>J1413+L1413+IF(N1413&lt;=I1413-SUM($J$1402:$J$1457)-SUM($L$1402:$L$1457),1,0)</f>
        <v>12</v>
      </c>
    </row>
    <row r="1414" spans="1:15">
      <c r="A1414" s="1" t="s">
        <v>74</v>
      </c>
      <c r="B1414" s="1" t="s">
        <v>79</v>
      </c>
      <c r="C1414" s="1" t="s">
        <v>38</v>
      </c>
      <c r="D1414" s="1" t="s">
        <v>39</v>
      </c>
      <c r="E1414" s="1" t="s">
        <v>48</v>
      </c>
      <c r="F1414" s="1" t="s">
        <v>41</v>
      </c>
      <c r="G1414" s="1">
        <v>571</v>
      </c>
      <c r="H1414" s="1">
        <f>'1_Departamento_n'!C27</f>
        <v>85937</v>
      </c>
      <c r="I1414" s="1">
        <f>'1_Departamento_n'!H27</f>
        <v>1299</v>
      </c>
      <c r="J1414" s="1">
        <f>'0_Parametros'!B7</f>
        <v>10</v>
      </c>
      <c r="K1414" s="3">
        <f>(I1414-SUM($J$1402:$J$1457))*G1414/H1414</f>
        <v>4.910213295786448</v>
      </c>
      <c r="L1414" s="1">
        <f>INT(K1414)</f>
        <v>4</v>
      </c>
      <c r="M1414" s="3">
        <f>K1414-L1414</f>
        <v>0.9102132957864484</v>
      </c>
      <c r="N1414" s="1">
        <f>COUNTIF($M$1402:$M$1457,"&gt;"&amp;M1414)+COUNTIF($M$1402:M1414,M1414)</f>
        <v>4</v>
      </c>
      <c r="O1414" s="1">
        <f>J1414+L1414+IF(N1414&lt;=I1414-SUM($J$1402:$J$1457)-SUM($L$1402:$L$1457),1,0)</f>
        <v>15</v>
      </c>
    </row>
    <row r="1415" spans="1:15">
      <c r="A1415" s="1" t="s">
        <v>74</v>
      </c>
      <c r="B1415" s="1" t="s">
        <v>79</v>
      </c>
      <c r="C1415" s="1" t="s">
        <v>38</v>
      </c>
      <c r="D1415" s="1" t="s">
        <v>39</v>
      </c>
      <c r="E1415" s="1" t="s">
        <v>48</v>
      </c>
      <c r="F1415" s="1" t="s">
        <v>42</v>
      </c>
      <c r="G1415" s="1">
        <v>153</v>
      </c>
      <c r="H1415" s="1">
        <f>'1_Departamento_n'!C27</f>
        <v>85937</v>
      </c>
      <c r="I1415" s="1">
        <f>'1_Departamento_n'!H27</f>
        <v>1299</v>
      </c>
      <c r="J1415" s="1">
        <f>'0_Parametros'!B7</f>
        <v>10</v>
      </c>
      <c r="K1415" s="3">
        <f>(I1415-SUM($J$1402:$J$1457))*G1415/H1415</f>
        <v>1.3156963822334966</v>
      </c>
      <c r="L1415" s="1">
        <f>INT(K1415)</f>
        <v>1</v>
      </c>
      <c r="M1415" s="3">
        <f>K1415-L1415</f>
        <v>0.3156963822334966</v>
      </c>
      <c r="N1415" s="1">
        <f>COUNTIF($M$1402:$M$1457,"&gt;"&amp;M1415)+COUNTIF($M$1402:M1415,M1415)</f>
        <v>43</v>
      </c>
      <c r="O1415" s="1">
        <f>J1415+L1415+IF(N1415&lt;=I1415-SUM($J$1402:$J$1457)-SUM($L$1402:$L$1457),1,0)</f>
        <v>11</v>
      </c>
    </row>
    <row r="1416" spans="1:15">
      <c r="A1416" s="1" t="s">
        <v>74</v>
      </c>
      <c r="B1416" s="1" t="s">
        <v>79</v>
      </c>
      <c r="C1416" s="1" t="s">
        <v>38</v>
      </c>
      <c r="D1416" s="1" t="s">
        <v>49</v>
      </c>
      <c r="E1416" s="1" t="s">
        <v>40</v>
      </c>
      <c r="F1416" s="1" t="s">
        <v>41</v>
      </c>
      <c r="G1416" s="1">
        <v>585</v>
      </c>
      <c r="H1416" s="1">
        <f>'1_Departamento_n'!C27</f>
        <v>85937</v>
      </c>
      <c r="I1416" s="1">
        <f>'1_Departamento_n'!H27</f>
        <v>1299</v>
      </c>
      <c r="J1416" s="1">
        <f>'0_Parametros'!B7</f>
        <v>10</v>
      </c>
      <c r="K1416" s="3">
        <f>(I1416-SUM($J$1402:$J$1457))*G1416/H1416</f>
        <v>5.030603814422193</v>
      </c>
      <c r="L1416" s="1">
        <f>INT(K1416)</f>
        <v>5</v>
      </c>
      <c r="M1416" s="3">
        <f>K1416-L1416</f>
        <v>0.030603814422192954</v>
      </c>
      <c r="N1416" s="1">
        <f>COUNTIF($M$1402:$M$1457,"&gt;"&amp;M1416)+COUNTIF($M$1402:M1416,M1416)</f>
        <v>54</v>
      </c>
      <c r="O1416" s="1">
        <f>J1416+L1416+IF(N1416&lt;=I1416-SUM($J$1402:$J$1457)-SUM($L$1402:$L$1457),1,0)</f>
        <v>15</v>
      </c>
    </row>
    <row r="1417" spans="1:15">
      <c r="A1417" s="1" t="s">
        <v>74</v>
      </c>
      <c r="B1417" s="1" t="s">
        <v>79</v>
      </c>
      <c r="C1417" s="1" t="s">
        <v>38</v>
      </c>
      <c r="D1417" s="1" t="s">
        <v>49</v>
      </c>
      <c r="E1417" s="1" t="s">
        <v>40</v>
      </c>
      <c r="F1417" s="1" t="s">
        <v>42</v>
      </c>
      <c r="G1417" s="1">
        <v>787</v>
      </c>
      <c r="H1417" s="1">
        <f>'1_Departamento_n'!C27</f>
        <v>85937</v>
      </c>
      <c r="I1417" s="1">
        <f>'1_Departamento_n'!H27</f>
        <v>1299</v>
      </c>
      <c r="J1417" s="1">
        <f>'0_Parametros'!B7</f>
        <v>10</v>
      </c>
      <c r="K1417" s="3">
        <f>(I1417-SUM($J$1402:$J$1457))*G1417/H1417</f>
        <v>6.767667011880796</v>
      </c>
      <c r="L1417" s="1">
        <f>INT(K1417)</f>
        <v>6</v>
      </c>
      <c r="M1417" s="3">
        <f>K1417-L1417</f>
        <v>0.7676670118807962</v>
      </c>
      <c r="N1417" s="1">
        <f>COUNTIF($M$1402:$M$1457,"&gt;"&amp;M1417)+COUNTIF($M$1402:M1417,M1417)</f>
        <v>15</v>
      </c>
      <c r="O1417" s="1">
        <f>J1417+L1417+IF(N1417&lt;=I1417-SUM($J$1402:$J$1457)-SUM($L$1402:$L$1457),1,0)</f>
        <v>17</v>
      </c>
    </row>
    <row r="1418" spans="1:15">
      <c r="A1418" s="1" t="s">
        <v>74</v>
      </c>
      <c r="B1418" s="1" t="s">
        <v>79</v>
      </c>
      <c r="C1418" s="1" t="s">
        <v>38</v>
      </c>
      <c r="D1418" s="1" t="s">
        <v>49</v>
      </c>
      <c r="E1418" s="1" t="s">
        <v>43</v>
      </c>
      <c r="F1418" s="1" t="s">
        <v>41</v>
      </c>
      <c r="G1418" s="1">
        <v>818</v>
      </c>
      <c r="H1418" s="1">
        <f>'1_Departamento_n'!C27</f>
        <v>85937</v>
      </c>
      <c r="I1418" s="1">
        <f>'1_Departamento_n'!H27</f>
        <v>1299</v>
      </c>
      <c r="J1418" s="1">
        <f>'0_Parametros'!B7</f>
        <v>10</v>
      </c>
      <c r="K1418" s="3">
        <f>(I1418-SUM($J$1402:$J$1457))*G1418/H1418</f>
        <v>7.034246017431374</v>
      </c>
      <c r="L1418" s="1">
        <f>INT(K1418)</f>
        <v>7</v>
      </c>
      <c r="M1418" s="3">
        <f>K1418-L1418</f>
        <v>0.03424601743137412</v>
      </c>
      <c r="N1418" s="1">
        <f>COUNTIF($M$1402:$M$1457,"&gt;"&amp;M1418)+COUNTIF($M$1402:M1418,M1418)</f>
        <v>53</v>
      </c>
      <c r="O1418" s="1">
        <f>J1418+L1418+IF(N1418&lt;=I1418-SUM($J$1402:$J$1457)-SUM($L$1402:$L$1457),1,0)</f>
        <v>17</v>
      </c>
    </row>
    <row r="1419" spans="1:15">
      <c r="A1419" s="1" t="s">
        <v>74</v>
      </c>
      <c r="B1419" s="1" t="s">
        <v>79</v>
      </c>
      <c r="C1419" s="1" t="s">
        <v>38</v>
      </c>
      <c r="D1419" s="1" t="s">
        <v>49</v>
      </c>
      <c r="E1419" s="1" t="s">
        <v>43</v>
      </c>
      <c r="F1419" s="1" t="s">
        <v>42</v>
      </c>
      <c r="G1419" s="1">
        <v>597</v>
      </c>
      <c r="H1419" s="1">
        <f>'1_Departamento_n'!C27</f>
        <v>85937</v>
      </c>
      <c r="I1419" s="1">
        <f>'1_Departamento_n'!H27</f>
        <v>1299</v>
      </c>
      <c r="J1419" s="1">
        <f>'0_Parametros'!B7</f>
        <v>10</v>
      </c>
      <c r="K1419" s="3">
        <f>(I1419-SUM($J$1402:$J$1457))*G1419/H1419</f>
        <v>5.133795687538545</v>
      </c>
      <c r="L1419" s="1">
        <f>INT(K1419)</f>
        <v>5</v>
      </c>
      <c r="M1419" s="3">
        <f>K1419-L1419</f>
        <v>0.13379568753854532</v>
      </c>
      <c r="N1419" s="1">
        <f>COUNTIF($M$1402:$M$1457,"&gt;"&amp;M1419)+COUNTIF($M$1402:M1419,M1419)</f>
        <v>49</v>
      </c>
      <c r="O1419" s="1">
        <f>J1419+L1419+IF(N1419&lt;=I1419-SUM($J$1402:$J$1457)-SUM($L$1402:$L$1457),1,0)</f>
        <v>15</v>
      </c>
    </row>
    <row r="1420" spans="1:15">
      <c r="A1420" s="1" t="s">
        <v>74</v>
      </c>
      <c r="B1420" s="1" t="s">
        <v>79</v>
      </c>
      <c r="C1420" s="1" t="s">
        <v>38</v>
      </c>
      <c r="D1420" s="1" t="s">
        <v>49</v>
      </c>
      <c r="E1420" s="1" t="s">
        <v>44</v>
      </c>
      <c r="F1420" s="1" t="s">
        <v>41</v>
      </c>
      <c r="G1420" s="1">
        <v>1021</v>
      </c>
      <c r="H1420" s="1">
        <f>'1_Departamento_n'!C27</f>
        <v>85937</v>
      </c>
      <c r="I1420" s="1">
        <f>'1_Departamento_n'!H27</f>
        <v>1299</v>
      </c>
      <c r="J1420" s="1">
        <f>'0_Parametros'!B7</f>
        <v>10</v>
      </c>
      <c r="K1420" s="3">
        <f>(I1420-SUM($J$1402:$J$1457))*G1420/H1420</f>
        <v>8.779908537649673</v>
      </c>
      <c r="L1420" s="1">
        <f>INT(K1420)</f>
        <v>8</v>
      </c>
      <c r="M1420" s="3">
        <f>K1420-L1420</f>
        <v>0.779908537649673</v>
      </c>
      <c r="N1420" s="1">
        <f>COUNTIF($M$1402:$M$1457,"&gt;"&amp;M1420)+COUNTIF($M$1402:M1420,M1420)</f>
        <v>14</v>
      </c>
      <c r="O1420" s="1">
        <f>J1420+L1420+IF(N1420&lt;=I1420-SUM($J$1402:$J$1457)-SUM($L$1402:$L$1457),1,0)</f>
        <v>19</v>
      </c>
    </row>
    <row r="1421" spans="1:15">
      <c r="A1421" s="1" t="s">
        <v>74</v>
      </c>
      <c r="B1421" s="1" t="s">
        <v>79</v>
      </c>
      <c r="C1421" s="1" t="s">
        <v>38</v>
      </c>
      <c r="D1421" s="1" t="s">
        <v>49</v>
      </c>
      <c r="E1421" s="1" t="s">
        <v>44</v>
      </c>
      <c r="F1421" s="1" t="s">
        <v>42</v>
      </c>
      <c r="G1421" s="1">
        <v>860</v>
      </c>
      <c r="H1421" s="1">
        <f>'1_Departamento_n'!C27</f>
        <v>85937</v>
      </c>
      <c r="I1421" s="1">
        <f>'1_Departamento_n'!H27</f>
        <v>1299</v>
      </c>
      <c r="J1421" s="1">
        <f>'0_Parametros'!B7</f>
        <v>10</v>
      </c>
      <c r="K1421" s="3">
        <f>(I1421-SUM($J$1402:$J$1457))*G1421/H1421</f>
        <v>7.395417573338609</v>
      </c>
      <c r="L1421" s="1">
        <f>INT(K1421)</f>
        <v>7</v>
      </c>
      <c r="M1421" s="3">
        <f>K1421-L1421</f>
        <v>0.3954175733386087</v>
      </c>
      <c r="N1421" s="1">
        <f>COUNTIF($M$1402:$M$1457,"&gt;"&amp;M1421)+COUNTIF($M$1402:M1421,M1421)</f>
        <v>37</v>
      </c>
      <c r="O1421" s="1">
        <f>J1421+L1421+IF(N1421&lt;=I1421-SUM($J$1402:$J$1457)-SUM($L$1402:$L$1457),1,0)</f>
        <v>17</v>
      </c>
    </row>
    <row r="1422" spans="1:15">
      <c r="A1422" s="1" t="s">
        <v>74</v>
      </c>
      <c r="B1422" s="1" t="s">
        <v>79</v>
      </c>
      <c r="C1422" s="1" t="s">
        <v>38</v>
      </c>
      <c r="D1422" s="1" t="s">
        <v>49</v>
      </c>
      <c r="E1422" s="1" t="s">
        <v>45</v>
      </c>
      <c r="F1422" s="1" t="s">
        <v>41</v>
      </c>
      <c r="G1422" s="1">
        <v>1038</v>
      </c>
      <c r="H1422" s="1">
        <f>'1_Departamento_n'!C27</f>
        <v>85937</v>
      </c>
      <c r="I1422" s="1">
        <f>'1_Departamento_n'!H27</f>
        <v>1299</v>
      </c>
      <c r="J1422" s="1">
        <f>'0_Parametros'!B7</f>
        <v>10</v>
      </c>
      <c r="K1422" s="3">
        <f>(I1422-SUM($J$1402:$J$1457))*G1422/H1422</f>
        <v>8.926097024564507</v>
      </c>
      <c r="L1422" s="1">
        <f>INT(K1422)</f>
        <v>8</v>
      </c>
      <c r="M1422" s="3">
        <f>K1422-L1422</f>
        <v>0.9260970245645073</v>
      </c>
      <c r="N1422" s="1">
        <f>COUNTIF($M$1402:$M$1457,"&gt;"&amp;M1422)+COUNTIF($M$1402:M1422,M1422)</f>
        <v>2</v>
      </c>
      <c r="O1422" s="1">
        <f>J1422+L1422+IF(N1422&lt;=I1422-SUM($J$1402:$J$1457)-SUM($L$1402:$L$1457),1,0)</f>
        <v>19</v>
      </c>
    </row>
    <row r="1423" spans="1:15">
      <c r="A1423" s="1" t="s">
        <v>74</v>
      </c>
      <c r="B1423" s="1" t="s">
        <v>79</v>
      </c>
      <c r="C1423" s="1" t="s">
        <v>38</v>
      </c>
      <c r="D1423" s="1" t="s">
        <v>49</v>
      </c>
      <c r="E1423" s="1" t="s">
        <v>45</v>
      </c>
      <c r="F1423" s="1" t="s">
        <v>42</v>
      </c>
      <c r="G1423" s="1">
        <v>950</v>
      </c>
      <c r="H1423" s="1">
        <f>'1_Departamento_n'!C27</f>
        <v>85937</v>
      </c>
      <c r="I1423" s="1">
        <f>'1_Departamento_n'!H27</f>
        <v>1299</v>
      </c>
      <c r="J1423" s="1">
        <f>'0_Parametros'!B7</f>
        <v>10</v>
      </c>
      <c r="K1423" s="3">
        <f>(I1423-SUM($J$1402:$J$1457))*G1423/H1423</f>
        <v>8.169356621711254</v>
      </c>
      <c r="L1423" s="1">
        <f>INT(K1423)</f>
        <v>8</v>
      </c>
      <c r="M1423" s="3">
        <f>K1423-L1423</f>
        <v>0.16935662171125365</v>
      </c>
      <c r="N1423" s="1">
        <f>COUNTIF($M$1402:$M$1457,"&gt;"&amp;M1423)+COUNTIF($M$1402:M1423,M1423)</f>
        <v>48</v>
      </c>
      <c r="O1423" s="1">
        <f>J1423+L1423+IF(N1423&lt;=I1423-SUM($J$1402:$J$1457)-SUM($L$1402:$L$1457),1,0)</f>
        <v>18</v>
      </c>
    </row>
    <row r="1424" spans="1:15">
      <c r="A1424" s="1" t="s">
        <v>74</v>
      </c>
      <c r="B1424" s="1" t="s">
        <v>79</v>
      </c>
      <c r="C1424" s="1" t="s">
        <v>38</v>
      </c>
      <c r="D1424" s="1" t="s">
        <v>49</v>
      </c>
      <c r="E1424" s="1" t="s">
        <v>46</v>
      </c>
      <c r="F1424" s="1" t="s">
        <v>41</v>
      </c>
      <c r="G1424" s="1">
        <v>874</v>
      </c>
      <c r="H1424" s="1">
        <f>'1_Departamento_n'!C27</f>
        <v>85937</v>
      </c>
      <c r="I1424" s="1">
        <f>'1_Departamento_n'!H27</f>
        <v>1299</v>
      </c>
      <c r="J1424" s="1">
        <f>'0_Parametros'!B7</f>
        <v>10</v>
      </c>
      <c r="K1424" s="3">
        <f>(I1424-SUM($J$1402:$J$1457))*G1424/H1424</f>
        <v>7.515808091974353</v>
      </c>
      <c r="L1424" s="1">
        <f>INT(K1424)</f>
        <v>7</v>
      </c>
      <c r="M1424" s="3">
        <f>K1424-L1424</f>
        <v>0.5158080919743533</v>
      </c>
      <c r="N1424" s="1">
        <f>COUNTIF($M$1402:$M$1457,"&gt;"&amp;M1424)+COUNTIF($M$1402:M1424,M1424)</f>
        <v>28</v>
      </c>
      <c r="O1424" s="1">
        <f>J1424+L1424+IF(N1424&lt;=I1424-SUM($J$1402:$J$1457)-SUM($L$1402:$L$1457),1,0)</f>
        <v>18</v>
      </c>
    </row>
    <row r="1425" spans="1:15">
      <c r="A1425" s="1" t="s">
        <v>74</v>
      </c>
      <c r="B1425" s="1" t="s">
        <v>79</v>
      </c>
      <c r="C1425" s="1" t="s">
        <v>38</v>
      </c>
      <c r="D1425" s="1" t="s">
        <v>49</v>
      </c>
      <c r="E1425" s="1" t="s">
        <v>46</v>
      </c>
      <c r="F1425" s="1" t="s">
        <v>42</v>
      </c>
      <c r="G1425" s="1">
        <v>541</v>
      </c>
      <c r="H1425" s="1">
        <f>'1_Departamento_n'!C27</f>
        <v>85937</v>
      </c>
      <c r="I1425" s="1">
        <f>'1_Departamento_n'!H27</f>
        <v>1299</v>
      </c>
      <c r="J1425" s="1">
        <f>'0_Parametros'!B7</f>
        <v>10</v>
      </c>
      <c r="K1425" s="3">
        <f>(I1425-SUM($J$1402:$J$1457))*G1425/H1425</f>
        <v>4.652233612995566</v>
      </c>
      <c r="L1425" s="1">
        <f>INT(K1425)</f>
        <v>4</v>
      </c>
      <c r="M1425" s="3">
        <f>K1425-L1425</f>
        <v>0.6522336129955661</v>
      </c>
      <c r="N1425" s="1">
        <f>COUNTIF($M$1402:$M$1457,"&gt;"&amp;M1425)+COUNTIF($M$1402:M1425,M1425)</f>
        <v>21</v>
      </c>
      <c r="O1425" s="1">
        <f>J1425+L1425+IF(N1425&lt;=I1425-SUM($J$1402:$J$1457)-SUM($L$1402:$L$1457),1,0)</f>
        <v>15</v>
      </c>
    </row>
    <row r="1426" spans="1:15">
      <c r="A1426" s="1" t="s">
        <v>74</v>
      </c>
      <c r="B1426" s="1" t="s">
        <v>79</v>
      </c>
      <c r="C1426" s="1" t="s">
        <v>38</v>
      </c>
      <c r="D1426" s="1" t="s">
        <v>49</v>
      </c>
      <c r="E1426" s="1" t="s">
        <v>47</v>
      </c>
      <c r="F1426" s="1" t="s">
        <v>41</v>
      </c>
      <c r="G1426" s="1">
        <v>626</v>
      </c>
      <c r="H1426" s="1">
        <f>'1_Departamento_n'!C27</f>
        <v>85937</v>
      </c>
      <c r="I1426" s="1">
        <f>'1_Departamento_n'!H27</f>
        <v>1299</v>
      </c>
      <c r="J1426" s="1">
        <f>'0_Parametros'!B7</f>
        <v>10</v>
      </c>
      <c r="K1426" s="3">
        <f>(I1426-SUM($J$1402:$J$1457))*G1426/H1426</f>
        <v>5.383176047569731</v>
      </c>
      <c r="L1426" s="1">
        <f>INT(K1426)</f>
        <v>5</v>
      </c>
      <c r="M1426" s="3">
        <f>K1426-L1426</f>
        <v>0.383176047569731</v>
      </c>
      <c r="N1426" s="1">
        <f>COUNTIF($M$1402:$M$1457,"&gt;"&amp;M1426)+COUNTIF($M$1402:M1426,M1426)</f>
        <v>40</v>
      </c>
      <c r="O1426" s="1">
        <f>J1426+L1426+IF(N1426&lt;=I1426-SUM($J$1402:$J$1457)-SUM($L$1402:$L$1457),1,0)</f>
        <v>15</v>
      </c>
    </row>
    <row r="1427" spans="1:15">
      <c r="A1427" s="1" t="s">
        <v>74</v>
      </c>
      <c r="B1427" s="1" t="s">
        <v>79</v>
      </c>
      <c r="C1427" s="1" t="s">
        <v>38</v>
      </c>
      <c r="D1427" s="1" t="s">
        <v>49</v>
      </c>
      <c r="E1427" s="1" t="s">
        <v>47</v>
      </c>
      <c r="F1427" s="1" t="s">
        <v>42</v>
      </c>
      <c r="G1427" s="1">
        <v>325</v>
      </c>
      <c r="H1427" s="1">
        <f>'1_Departamento_n'!C27</f>
        <v>85937</v>
      </c>
      <c r="I1427" s="1">
        <f>'1_Departamento_n'!H27</f>
        <v>1299</v>
      </c>
      <c r="J1427" s="1">
        <f>'0_Parametros'!B7</f>
        <v>10</v>
      </c>
      <c r="K1427" s="3">
        <f>(I1427-SUM($J$1402:$J$1457))*G1427/H1427</f>
        <v>2.7947798969012183</v>
      </c>
      <c r="L1427" s="1">
        <f>INT(K1427)</f>
        <v>2</v>
      </c>
      <c r="M1427" s="3">
        <f>K1427-L1427</f>
        <v>0.7947798969012183</v>
      </c>
      <c r="N1427" s="1">
        <f>COUNTIF($M$1402:$M$1457,"&gt;"&amp;M1427)+COUNTIF($M$1402:M1427,M1427)</f>
        <v>11</v>
      </c>
      <c r="O1427" s="1">
        <f>J1427+L1427+IF(N1427&lt;=I1427-SUM($J$1402:$J$1457)-SUM($L$1402:$L$1457),1,0)</f>
        <v>13</v>
      </c>
    </row>
    <row r="1428" spans="1:15">
      <c r="A1428" s="1" t="s">
        <v>74</v>
      </c>
      <c r="B1428" s="1" t="s">
        <v>79</v>
      </c>
      <c r="C1428" s="1" t="s">
        <v>38</v>
      </c>
      <c r="D1428" s="1" t="s">
        <v>49</v>
      </c>
      <c r="E1428" s="1" t="s">
        <v>48</v>
      </c>
      <c r="F1428" s="1" t="s">
        <v>41</v>
      </c>
      <c r="G1428" s="1">
        <v>643</v>
      </c>
      <c r="H1428" s="1">
        <f>'1_Departamento_n'!C27</f>
        <v>85937</v>
      </c>
      <c r="I1428" s="1">
        <f>'1_Departamento_n'!H27</f>
        <v>1299</v>
      </c>
      <c r="J1428" s="1">
        <f>'0_Parametros'!B7</f>
        <v>10</v>
      </c>
      <c r="K1428" s="3">
        <f>(I1428-SUM($J$1402:$J$1457))*G1428/H1428</f>
        <v>5.529364534484564</v>
      </c>
      <c r="L1428" s="1">
        <f>INT(K1428)</f>
        <v>5</v>
      </c>
      <c r="M1428" s="3">
        <f>K1428-L1428</f>
        <v>0.5293645344845643</v>
      </c>
      <c r="N1428" s="1">
        <f>COUNTIF($M$1402:$M$1457,"&gt;"&amp;M1428)+COUNTIF($M$1402:M1428,M1428)</f>
        <v>26</v>
      </c>
      <c r="O1428" s="1">
        <f>J1428+L1428+IF(N1428&lt;=I1428-SUM($J$1402:$J$1457)-SUM($L$1402:$L$1457),1,0)</f>
        <v>16</v>
      </c>
    </row>
    <row r="1429" spans="1:15">
      <c r="A1429" s="1" t="s">
        <v>74</v>
      </c>
      <c r="B1429" s="1" t="s">
        <v>79</v>
      </c>
      <c r="C1429" s="1" t="s">
        <v>38</v>
      </c>
      <c r="D1429" s="1" t="s">
        <v>49</v>
      </c>
      <c r="E1429" s="1" t="s">
        <v>48</v>
      </c>
      <c r="F1429" s="1" t="s">
        <v>42</v>
      </c>
      <c r="G1429" s="1">
        <v>221</v>
      </c>
      <c r="H1429" s="1">
        <f>'1_Departamento_n'!C27</f>
        <v>85937</v>
      </c>
      <c r="I1429" s="1">
        <f>'1_Departamento_n'!H27</f>
        <v>1299</v>
      </c>
      <c r="J1429" s="1">
        <f>'0_Parametros'!B7</f>
        <v>10</v>
      </c>
      <c r="K1429" s="3">
        <f>(I1429-SUM($J$1402:$J$1457))*G1429/H1429</f>
        <v>1.9004503298928284</v>
      </c>
      <c r="L1429" s="1">
        <f>INT(K1429)</f>
        <v>1</v>
      </c>
      <c r="M1429" s="3">
        <f>K1429-L1429</f>
        <v>0.9004503298928284</v>
      </c>
      <c r="N1429" s="1">
        <f>COUNTIF($M$1402:$M$1457,"&gt;"&amp;M1429)+COUNTIF($M$1402:M1429,M1429)</f>
        <v>6</v>
      </c>
      <c r="O1429" s="1">
        <f>J1429+L1429+IF(N1429&lt;=I1429-SUM($J$1402:$J$1457)-SUM($L$1402:$L$1457),1,0)</f>
        <v>12</v>
      </c>
    </row>
    <row r="1430" spans="1:15">
      <c r="A1430" s="1" t="s">
        <v>74</v>
      </c>
      <c r="B1430" s="1" t="s">
        <v>79</v>
      </c>
      <c r="C1430" s="1" t="s">
        <v>50</v>
      </c>
      <c r="D1430" s="1" t="s">
        <v>39</v>
      </c>
      <c r="E1430" s="1" t="s">
        <v>40</v>
      </c>
      <c r="F1430" s="1" t="s">
        <v>41</v>
      </c>
      <c r="G1430" s="1">
        <v>1517</v>
      </c>
      <c r="H1430" s="1">
        <f>'1_Departamento_n'!C27</f>
        <v>85937</v>
      </c>
      <c r="I1430" s="1">
        <f>'1_Departamento_n'!H27</f>
        <v>1299</v>
      </c>
      <c r="J1430" s="1">
        <f>'0_Parametros'!B7</f>
        <v>10</v>
      </c>
      <c r="K1430" s="3">
        <f>(I1430-SUM($J$1402:$J$1457))*G1430/H1430</f>
        <v>13.045172626458918</v>
      </c>
      <c r="L1430" s="1">
        <f>INT(K1430)</f>
        <v>13</v>
      </c>
      <c r="M1430" s="3">
        <f>K1430-L1430</f>
        <v>0.04517262645891762</v>
      </c>
      <c r="N1430" s="1">
        <f>COUNTIF($M$1402:$M$1457,"&gt;"&amp;M1430)+COUNTIF($M$1402:M1430,M1430)</f>
        <v>52</v>
      </c>
      <c r="O1430" s="1">
        <f>J1430+L1430+IF(N1430&lt;=I1430-SUM($J$1402:$J$1457)-SUM($L$1402:$L$1457),1,0)</f>
        <v>23</v>
      </c>
    </row>
    <row r="1431" spans="1:15">
      <c r="A1431" s="1" t="s">
        <v>74</v>
      </c>
      <c r="B1431" s="1" t="s">
        <v>79</v>
      </c>
      <c r="C1431" s="1" t="s">
        <v>50</v>
      </c>
      <c r="D1431" s="1" t="s">
        <v>39</v>
      </c>
      <c r="E1431" s="1" t="s">
        <v>40</v>
      </c>
      <c r="F1431" s="1" t="s">
        <v>42</v>
      </c>
      <c r="G1431" s="1">
        <v>3012</v>
      </c>
      <c r="H1431" s="1">
        <f>'1_Departamento_n'!C27</f>
        <v>85937</v>
      </c>
      <c r="I1431" s="1">
        <f>'1_Departamento_n'!H27</f>
        <v>1299</v>
      </c>
      <c r="J1431" s="1">
        <f>'0_Parametros'!B7</f>
        <v>10</v>
      </c>
      <c r="K1431" s="3">
        <f>(I1431-SUM($J$1402:$J$1457))*G1431/H1431</f>
        <v>25.901160152204522</v>
      </c>
      <c r="L1431" s="1">
        <f>INT(K1431)</f>
        <v>25</v>
      </c>
      <c r="M1431" s="3">
        <f>K1431-L1431</f>
        <v>0.9011601522045218</v>
      </c>
      <c r="N1431" s="1">
        <f>COUNTIF($M$1402:$M$1457,"&gt;"&amp;M1431)+COUNTIF($M$1402:M1431,M1431)</f>
        <v>5</v>
      </c>
      <c r="O1431" s="1">
        <f>J1431+L1431+IF(N1431&lt;=I1431-SUM($J$1402:$J$1457)-SUM($L$1402:$L$1457),1,0)</f>
        <v>36</v>
      </c>
    </row>
    <row r="1432" spans="1:15">
      <c r="A1432" s="1" t="s">
        <v>74</v>
      </c>
      <c r="B1432" s="1" t="s">
        <v>79</v>
      </c>
      <c r="C1432" s="1" t="s">
        <v>50</v>
      </c>
      <c r="D1432" s="1" t="s">
        <v>39</v>
      </c>
      <c r="E1432" s="1" t="s">
        <v>43</v>
      </c>
      <c r="F1432" s="1" t="s">
        <v>41</v>
      </c>
      <c r="G1432" s="1">
        <v>2256</v>
      </c>
      <c r="H1432" s="1">
        <f>'1_Departamento_n'!C27</f>
        <v>85937</v>
      </c>
      <c r="I1432" s="1">
        <f>'1_Departamento_n'!H27</f>
        <v>1299</v>
      </c>
      <c r="J1432" s="1">
        <f>'0_Parametros'!B7</f>
        <v>10</v>
      </c>
      <c r="K1432" s="3">
        <f>(I1432-SUM($J$1402:$J$1457))*G1432/H1432</f>
        <v>19.400072145874304</v>
      </c>
      <c r="L1432" s="1">
        <f>INT(K1432)</f>
        <v>19</v>
      </c>
      <c r="M1432" s="3">
        <f>K1432-L1432</f>
        <v>0.4000721458743044</v>
      </c>
      <c r="N1432" s="1">
        <f>COUNTIF($M$1402:$M$1457,"&gt;"&amp;M1432)+COUNTIF($M$1402:M1432,M1432)</f>
        <v>36</v>
      </c>
      <c r="O1432" s="1">
        <f>J1432+L1432+IF(N1432&lt;=I1432-SUM($J$1402:$J$1457)-SUM($L$1402:$L$1457),1,0)</f>
        <v>29</v>
      </c>
    </row>
    <row r="1433" spans="1:15">
      <c r="A1433" s="1" t="s">
        <v>74</v>
      </c>
      <c r="B1433" s="1" t="s">
        <v>79</v>
      </c>
      <c r="C1433" s="1" t="s">
        <v>50</v>
      </c>
      <c r="D1433" s="1" t="s">
        <v>39</v>
      </c>
      <c r="E1433" s="1" t="s">
        <v>43</v>
      </c>
      <c r="F1433" s="1" t="s">
        <v>42</v>
      </c>
      <c r="G1433" s="1">
        <v>3373</v>
      </c>
      <c r="H1433" s="1">
        <f>'1_Departamento_n'!C27</f>
        <v>85937</v>
      </c>
      <c r="I1433" s="1">
        <f>'1_Departamento_n'!H27</f>
        <v>1299</v>
      </c>
      <c r="J1433" s="1">
        <f>'0_Parametros'!B7</f>
        <v>10</v>
      </c>
      <c r="K1433" s="3">
        <f>(I1433-SUM($J$1402:$J$1457))*G1433/H1433</f>
        <v>29.005515668454798</v>
      </c>
      <c r="L1433" s="1">
        <f>INT(K1433)</f>
        <v>29</v>
      </c>
      <c r="M1433" s="3">
        <f>K1433-L1433</f>
        <v>0.005515668454798117</v>
      </c>
      <c r="N1433" s="1">
        <f>COUNTIF($M$1402:$M$1457,"&gt;"&amp;M1433)+COUNTIF($M$1402:M1433,M1433)</f>
        <v>56</v>
      </c>
      <c r="O1433" s="1">
        <f>J1433+L1433+IF(N1433&lt;=I1433-SUM($J$1402:$J$1457)-SUM($L$1402:$L$1457),1,0)</f>
        <v>39</v>
      </c>
    </row>
    <row r="1434" spans="1:15">
      <c r="A1434" s="1" t="s">
        <v>74</v>
      </c>
      <c r="B1434" s="1" t="s">
        <v>79</v>
      </c>
      <c r="C1434" s="1" t="s">
        <v>50</v>
      </c>
      <c r="D1434" s="1" t="s">
        <v>39</v>
      </c>
      <c r="E1434" s="1" t="s">
        <v>44</v>
      </c>
      <c r="F1434" s="1" t="s">
        <v>41</v>
      </c>
      <c r="G1434" s="1">
        <v>2223</v>
      </c>
      <c r="H1434" s="1">
        <f>'1_Departamento_n'!C27</f>
        <v>85937</v>
      </c>
      <c r="I1434" s="1">
        <f>'1_Departamento_n'!H27</f>
        <v>1299</v>
      </c>
      <c r="J1434" s="1">
        <f>'0_Parametros'!B7</f>
        <v>10</v>
      </c>
      <c r="K1434" s="3">
        <f>(I1434-SUM($J$1402:$J$1457))*G1434/H1434</f>
        <v>19.116294494804333</v>
      </c>
      <c r="L1434" s="1">
        <f>INT(K1434)</f>
        <v>19</v>
      </c>
      <c r="M1434" s="3">
        <f>K1434-L1434</f>
        <v>0.11629449480433252</v>
      </c>
      <c r="N1434" s="1">
        <f>COUNTIF($M$1402:$M$1457,"&gt;"&amp;M1434)+COUNTIF($M$1402:M1434,M1434)</f>
        <v>50</v>
      </c>
      <c r="O1434" s="1">
        <f>J1434+L1434+IF(N1434&lt;=I1434-SUM($J$1402:$J$1457)-SUM($L$1402:$L$1457),1,0)</f>
        <v>29</v>
      </c>
    </row>
    <row r="1435" spans="1:15">
      <c r="A1435" s="1" t="s">
        <v>74</v>
      </c>
      <c r="B1435" s="1" t="s">
        <v>79</v>
      </c>
      <c r="C1435" s="1" t="s">
        <v>50</v>
      </c>
      <c r="D1435" s="1" t="s">
        <v>39</v>
      </c>
      <c r="E1435" s="1" t="s">
        <v>44</v>
      </c>
      <c r="F1435" s="1" t="s">
        <v>42</v>
      </c>
      <c r="G1435" s="1">
        <v>3085</v>
      </c>
      <c r="H1435" s="1">
        <f>'1_Departamento_n'!C27</f>
        <v>85937</v>
      </c>
      <c r="I1435" s="1">
        <f>'1_Departamento_n'!H27</f>
        <v>1299</v>
      </c>
      <c r="J1435" s="1">
        <f>'0_Parametros'!B7</f>
        <v>10</v>
      </c>
      <c r="K1435" s="3">
        <f>(I1435-SUM($J$1402:$J$1457))*G1435/H1435</f>
        <v>26.528910713662334</v>
      </c>
      <c r="L1435" s="1">
        <f>INT(K1435)</f>
        <v>26</v>
      </c>
      <c r="M1435" s="3">
        <f>K1435-L1435</f>
        <v>0.5289107136623343</v>
      </c>
      <c r="N1435" s="1">
        <f>COUNTIF($M$1402:$M$1457,"&gt;"&amp;M1435)+COUNTIF($M$1402:M1435,M1435)</f>
        <v>27</v>
      </c>
      <c r="O1435" s="1">
        <f>J1435+L1435+IF(N1435&lt;=I1435-SUM($J$1402:$J$1457)-SUM($L$1402:$L$1457),1,0)</f>
        <v>37</v>
      </c>
    </row>
    <row r="1436" spans="1:15">
      <c r="A1436" s="1" t="s">
        <v>74</v>
      </c>
      <c r="B1436" s="1" t="s">
        <v>79</v>
      </c>
      <c r="C1436" s="1" t="s">
        <v>50</v>
      </c>
      <c r="D1436" s="1" t="s">
        <v>39</v>
      </c>
      <c r="E1436" s="1" t="s">
        <v>45</v>
      </c>
      <c r="F1436" s="1" t="s">
        <v>41</v>
      </c>
      <c r="G1436" s="1">
        <v>1953</v>
      </c>
      <c r="H1436" s="1">
        <f>'1_Departamento_n'!C27</f>
        <v>85937</v>
      </c>
      <c r="I1436" s="1">
        <f>'1_Departamento_n'!H27</f>
        <v>1299</v>
      </c>
      <c r="J1436" s="1">
        <f>'0_Parametros'!B7</f>
        <v>10</v>
      </c>
      <c r="K1436" s="3">
        <f>(I1436-SUM($J$1402:$J$1457))*G1436/H1436</f>
        <v>16.7944773496864</v>
      </c>
      <c r="L1436" s="1">
        <f>INT(K1436)</f>
        <v>16</v>
      </c>
      <c r="M1436" s="3">
        <f>K1436-L1436</f>
        <v>0.7944773496863995</v>
      </c>
      <c r="N1436" s="1">
        <f>COUNTIF($M$1402:$M$1457,"&gt;"&amp;M1436)+COUNTIF($M$1402:M1436,M1436)</f>
        <v>12</v>
      </c>
      <c r="O1436" s="1">
        <f>J1436+L1436+IF(N1436&lt;=I1436-SUM($J$1402:$J$1457)-SUM($L$1402:$L$1457),1,0)</f>
        <v>27</v>
      </c>
    </row>
    <row r="1437" spans="1:15">
      <c r="A1437" s="1" t="s">
        <v>74</v>
      </c>
      <c r="B1437" s="1" t="s">
        <v>79</v>
      </c>
      <c r="C1437" s="1" t="s">
        <v>50</v>
      </c>
      <c r="D1437" s="1" t="s">
        <v>39</v>
      </c>
      <c r="E1437" s="1" t="s">
        <v>45</v>
      </c>
      <c r="F1437" s="1" t="s">
        <v>42</v>
      </c>
      <c r="G1437" s="1">
        <v>2496</v>
      </c>
      <c r="H1437" s="1">
        <f>'1_Departamento_n'!C27</f>
        <v>85937</v>
      </c>
      <c r="I1437" s="1">
        <f>'1_Departamento_n'!H27</f>
        <v>1299</v>
      </c>
      <c r="J1437" s="1">
        <f>'0_Parametros'!B7</f>
        <v>10</v>
      </c>
      <c r="K1437" s="3">
        <f>(I1437-SUM($J$1402:$J$1457))*G1437/H1437</f>
        <v>21.463909608201355</v>
      </c>
      <c r="L1437" s="1">
        <f>INT(K1437)</f>
        <v>21</v>
      </c>
      <c r="M1437" s="3">
        <f>K1437-L1437</f>
        <v>0.4639096082013552</v>
      </c>
      <c r="N1437" s="1">
        <f>COUNTIF($M$1402:$M$1457,"&gt;"&amp;M1437)+COUNTIF($M$1402:M1437,M1437)</f>
        <v>34</v>
      </c>
      <c r="O1437" s="1">
        <f>J1437+L1437+IF(N1437&lt;=I1437-SUM($J$1402:$J$1457)-SUM($L$1402:$L$1457),1,0)</f>
        <v>31</v>
      </c>
    </row>
    <row r="1438" spans="1:15">
      <c r="A1438" s="1" t="s">
        <v>74</v>
      </c>
      <c r="B1438" s="1" t="s">
        <v>79</v>
      </c>
      <c r="C1438" s="1" t="s">
        <v>50</v>
      </c>
      <c r="D1438" s="1" t="s">
        <v>39</v>
      </c>
      <c r="E1438" s="1" t="s">
        <v>46</v>
      </c>
      <c r="F1438" s="1" t="s">
        <v>41</v>
      </c>
      <c r="G1438" s="1">
        <v>1605</v>
      </c>
      <c r="H1438" s="1">
        <f>'1_Departamento_n'!C27</f>
        <v>85937</v>
      </c>
      <c r="I1438" s="1">
        <f>'1_Departamento_n'!H27</f>
        <v>1299</v>
      </c>
      <c r="J1438" s="1">
        <f>'0_Parametros'!B7</f>
        <v>10</v>
      </c>
      <c r="K1438" s="3">
        <f>(I1438-SUM($J$1402:$J$1457))*G1438/H1438</f>
        <v>13.801913029312171</v>
      </c>
      <c r="L1438" s="1">
        <f>INT(K1438)</f>
        <v>13</v>
      </c>
      <c r="M1438" s="3">
        <f>K1438-L1438</f>
        <v>0.8019130293121712</v>
      </c>
      <c r="N1438" s="1">
        <f>COUNTIF($M$1402:$M$1457,"&gt;"&amp;M1438)+COUNTIF($M$1402:M1438,M1438)</f>
        <v>10</v>
      </c>
      <c r="O1438" s="1">
        <f>J1438+L1438+IF(N1438&lt;=I1438-SUM($J$1402:$J$1457)-SUM($L$1402:$L$1457),1,0)</f>
        <v>24</v>
      </c>
    </row>
    <row r="1439" spans="1:15">
      <c r="A1439" s="1" t="s">
        <v>74</v>
      </c>
      <c r="B1439" s="1" t="s">
        <v>79</v>
      </c>
      <c r="C1439" s="1" t="s">
        <v>50</v>
      </c>
      <c r="D1439" s="1" t="s">
        <v>39</v>
      </c>
      <c r="E1439" s="1" t="s">
        <v>46</v>
      </c>
      <c r="F1439" s="1" t="s">
        <v>42</v>
      </c>
      <c r="G1439" s="1">
        <v>2137</v>
      </c>
      <c r="H1439" s="1">
        <f>'1_Departamento_n'!C27</f>
        <v>85937</v>
      </c>
      <c r="I1439" s="1">
        <f>'1_Departamento_n'!H27</f>
        <v>1299</v>
      </c>
      <c r="J1439" s="1">
        <f>'0_Parametros'!B7</f>
        <v>10</v>
      </c>
      <c r="K1439" s="3">
        <f>(I1439-SUM($J$1402:$J$1457))*G1439/H1439</f>
        <v>18.376752737470472</v>
      </c>
      <c r="L1439" s="1">
        <f>INT(K1439)</f>
        <v>18</v>
      </c>
      <c r="M1439" s="3">
        <f>K1439-L1439</f>
        <v>0.376752737470472</v>
      </c>
      <c r="N1439" s="1">
        <f>COUNTIF($M$1402:$M$1457,"&gt;"&amp;M1439)+COUNTIF($M$1402:M1439,M1439)</f>
        <v>41</v>
      </c>
      <c r="O1439" s="1">
        <f>J1439+L1439+IF(N1439&lt;=I1439-SUM($J$1402:$J$1457)-SUM($L$1402:$L$1457),1,0)</f>
        <v>28</v>
      </c>
    </row>
    <row r="1440" spans="1:15">
      <c r="A1440" s="1" t="s">
        <v>74</v>
      </c>
      <c r="B1440" s="1" t="s">
        <v>79</v>
      </c>
      <c r="C1440" s="1" t="s">
        <v>50</v>
      </c>
      <c r="D1440" s="1" t="s">
        <v>39</v>
      </c>
      <c r="E1440" s="1" t="s">
        <v>47</v>
      </c>
      <c r="F1440" s="1" t="s">
        <v>41</v>
      </c>
      <c r="G1440" s="1">
        <v>1436</v>
      </c>
      <c r="H1440" s="1">
        <f>'1_Departamento_n'!C27</f>
        <v>85937</v>
      </c>
      <c r="I1440" s="1">
        <f>'1_Departamento_n'!H27</f>
        <v>1299</v>
      </c>
      <c r="J1440" s="1">
        <f>'0_Parametros'!B7</f>
        <v>10</v>
      </c>
      <c r="K1440" s="3">
        <f>(I1440-SUM($J$1402:$J$1457))*G1440/H1440</f>
        <v>12.348627482923536</v>
      </c>
      <c r="L1440" s="1">
        <f>INT(K1440)</f>
        <v>12</v>
      </c>
      <c r="M1440" s="3">
        <f>K1440-L1440</f>
        <v>0.3486274829235363</v>
      </c>
      <c r="N1440" s="1">
        <f>COUNTIF($M$1402:$M$1457,"&gt;"&amp;M1440)+COUNTIF($M$1402:M1440,M1440)</f>
        <v>42</v>
      </c>
      <c r="O1440" s="1">
        <f>J1440+L1440+IF(N1440&lt;=I1440-SUM($J$1402:$J$1457)-SUM($L$1402:$L$1457),1,0)</f>
        <v>22</v>
      </c>
    </row>
    <row r="1441" spans="1:15">
      <c r="A1441" s="1" t="s">
        <v>74</v>
      </c>
      <c r="B1441" s="1" t="s">
        <v>79</v>
      </c>
      <c r="C1441" s="1" t="s">
        <v>50</v>
      </c>
      <c r="D1441" s="1" t="s">
        <v>39</v>
      </c>
      <c r="E1441" s="1" t="s">
        <v>47</v>
      </c>
      <c r="F1441" s="1" t="s">
        <v>42</v>
      </c>
      <c r="G1441" s="1">
        <v>1856</v>
      </c>
      <c r="H1441" s="1">
        <f>'1_Departamento_n'!C27</f>
        <v>85937</v>
      </c>
      <c r="I1441" s="1">
        <f>'1_Departamento_n'!H27</f>
        <v>1299</v>
      </c>
      <c r="J1441" s="1">
        <f>'0_Parametros'!B7</f>
        <v>10</v>
      </c>
      <c r="K1441" s="3">
        <f>(I1441-SUM($J$1402:$J$1457))*G1441/H1441</f>
        <v>15.96034304199588</v>
      </c>
      <c r="L1441" s="1">
        <f>INT(K1441)</f>
        <v>15</v>
      </c>
      <c r="M1441" s="3">
        <f>K1441-L1441</f>
        <v>0.9603430419958805</v>
      </c>
      <c r="N1441" s="1">
        <f>COUNTIF($M$1402:$M$1457,"&gt;"&amp;M1441)+COUNTIF($M$1402:M1441,M1441)</f>
        <v>1</v>
      </c>
      <c r="O1441" s="1">
        <f>J1441+L1441+IF(N1441&lt;=I1441-SUM($J$1402:$J$1457)-SUM($L$1402:$L$1457),1,0)</f>
        <v>26</v>
      </c>
    </row>
    <row r="1442" spans="1:15">
      <c r="A1442" s="1" t="s">
        <v>74</v>
      </c>
      <c r="B1442" s="1" t="s">
        <v>79</v>
      </c>
      <c r="C1442" s="1" t="s">
        <v>50</v>
      </c>
      <c r="D1442" s="1" t="s">
        <v>39</v>
      </c>
      <c r="E1442" s="1" t="s">
        <v>48</v>
      </c>
      <c r="F1442" s="1" t="s">
        <v>41</v>
      </c>
      <c r="G1442" s="1">
        <v>1852</v>
      </c>
      <c r="H1442" s="1">
        <f>'1_Departamento_n'!C27</f>
        <v>85937</v>
      </c>
      <c r="I1442" s="1">
        <f>'1_Departamento_n'!H27</f>
        <v>1299</v>
      </c>
      <c r="J1442" s="1">
        <f>'0_Parametros'!B7</f>
        <v>10</v>
      </c>
      <c r="K1442" s="3">
        <f>(I1442-SUM($J$1402:$J$1457))*G1442/H1442</f>
        <v>15.925945750957096</v>
      </c>
      <c r="L1442" s="1">
        <f>INT(K1442)</f>
        <v>15</v>
      </c>
      <c r="M1442" s="3">
        <f>K1442-L1442</f>
        <v>0.9259457509570961</v>
      </c>
      <c r="N1442" s="1">
        <f>COUNTIF($M$1402:$M$1457,"&gt;"&amp;M1442)+COUNTIF($M$1402:M1442,M1442)</f>
        <v>3</v>
      </c>
      <c r="O1442" s="1">
        <f>J1442+L1442+IF(N1442&lt;=I1442-SUM($J$1402:$J$1457)-SUM($L$1402:$L$1457),1,0)</f>
        <v>26</v>
      </c>
    </row>
    <row r="1443" spans="1:15">
      <c r="A1443" s="1" t="s">
        <v>74</v>
      </c>
      <c r="B1443" s="1" t="s">
        <v>79</v>
      </c>
      <c r="C1443" s="1" t="s">
        <v>50</v>
      </c>
      <c r="D1443" s="1" t="s">
        <v>39</v>
      </c>
      <c r="E1443" s="1" t="s">
        <v>48</v>
      </c>
      <c r="F1443" s="1" t="s">
        <v>42</v>
      </c>
      <c r="G1443" s="1">
        <v>1894</v>
      </c>
      <c r="H1443" s="1">
        <f>'1_Departamento_n'!C27</f>
        <v>85937</v>
      </c>
      <c r="I1443" s="1">
        <f>'1_Departamento_n'!H27</f>
        <v>1299</v>
      </c>
      <c r="J1443" s="1">
        <f>'0_Parametros'!B7</f>
        <v>10</v>
      </c>
      <c r="K1443" s="3">
        <f>(I1443-SUM($J$1402:$J$1457))*G1443/H1443</f>
        <v>16.28711730686433</v>
      </c>
      <c r="L1443" s="1">
        <f>INT(K1443)</f>
        <v>16</v>
      </c>
      <c r="M1443" s="3">
        <f>K1443-L1443</f>
        <v>0.28711730686433157</v>
      </c>
      <c r="N1443" s="1">
        <f>COUNTIF($M$1402:$M$1457,"&gt;"&amp;M1443)+COUNTIF($M$1402:M1443,M1443)</f>
        <v>46</v>
      </c>
      <c r="O1443" s="1">
        <f>J1443+L1443+IF(N1443&lt;=I1443-SUM($J$1402:$J$1457)-SUM($L$1402:$L$1457),1,0)</f>
        <v>26</v>
      </c>
    </row>
    <row r="1444" spans="1:15">
      <c r="A1444" s="1" t="s">
        <v>74</v>
      </c>
      <c r="B1444" s="1" t="s">
        <v>79</v>
      </c>
      <c r="C1444" s="1" t="s">
        <v>50</v>
      </c>
      <c r="D1444" s="1" t="s">
        <v>49</v>
      </c>
      <c r="E1444" s="1" t="s">
        <v>40</v>
      </c>
      <c r="F1444" s="1" t="s">
        <v>41</v>
      </c>
      <c r="G1444" s="1">
        <v>1710</v>
      </c>
      <c r="H1444" s="1">
        <f>'1_Departamento_n'!C27</f>
        <v>85937</v>
      </c>
      <c r="I1444" s="1">
        <f>'1_Departamento_n'!H27</f>
        <v>1299</v>
      </c>
      <c r="J1444" s="1">
        <f>'0_Parametros'!B7</f>
        <v>10</v>
      </c>
      <c r="K1444" s="3">
        <f>(I1444-SUM($J$1402:$J$1457))*G1444/H1444</f>
        <v>14.704841919080257</v>
      </c>
      <c r="L1444" s="1">
        <f>INT(K1444)</f>
        <v>14</v>
      </c>
      <c r="M1444" s="3">
        <f>K1444-L1444</f>
        <v>0.7048419190802573</v>
      </c>
      <c r="N1444" s="1">
        <f>COUNTIF($M$1402:$M$1457,"&gt;"&amp;M1444)+COUNTIF($M$1402:M1444,M1444)</f>
        <v>19</v>
      </c>
      <c r="O1444" s="1">
        <f>J1444+L1444+IF(N1444&lt;=I1444-SUM($J$1402:$J$1457)-SUM($L$1402:$L$1457),1,0)</f>
        <v>25</v>
      </c>
    </row>
    <row r="1445" spans="1:15">
      <c r="A1445" s="1" t="s">
        <v>74</v>
      </c>
      <c r="B1445" s="1" t="s">
        <v>79</v>
      </c>
      <c r="C1445" s="1" t="s">
        <v>50</v>
      </c>
      <c r="D1445" s="1" t="s">
        <v>49</v>
      </c>
      <c r="E1445" s="1" t="s">
        <v>40</v>
      </c>
      <c r="F1445" s="1" t="s">
        <v>42</v>
      </c>
      <c r="G1445" s="1">
        <v>3149</v>
      </c>
      <c r="H1445" s="1">
        <f>'1_Departamento_n'!C27</f>
        <v>85937</v>
      </c>
      <c r="I1445" s="1">
        <f>'1_Departamento_n'!H27</f>
        <v>1299</v>
      </c>
      <c r="J1445" s="1">
        <f>'0_Parametros'!B7</f>
        <v>10</v>
      </c>
      <c r="K1445" s="3">
        <f>(I1445-SUM($J$1402:$J$1457))*G1445/H1445</f>
        <v>27.07926737028288</v>
      </c>
      <c r="L1445" s="1">
        <f>INT(K1445)</f>
        <v>27</v>
      </c>
      <c r="M1445" s="3">
        <f>K1445-L1445</f>
        <v>0.07926737028288144</v>
      </c>
      <c r="N1445" s="1">
        <f>COUNTIF($M$1402:$M$1457,"&gt;"&amp;M1445)+COUNTIF($M$1402:M1445,M1445)</f>
        <v>51</v>
      </c>
      <c r="O1445" s="1">
        <f>J1445+L1445+IF(N1445&lt;=I1445-SUM($J$1402:$J$1457)-SUM($L$1402:$L$1457),1,0)</f>
        <v>37</v>
      </c>
    </row>
    <row r="1446" spans="1:15">
      <c r="A1446" s="1" t="s">
        <v>74</v>
      </c>
      <c r="B1446" s="1" t="s">
        <v>79</v>
      </c>
      <c r="C1446" s="1" t="s">
        <v>50</v>
      </c>
      <c r="D1446" s="1" t="s">
        <v>49</v>
      </c>
      <c r="E1446" s="1" t="s">
        <v>43</v>
      </c>
      <c r="F1446" s="1" t="s">
        <v>41</v>
      </c>
      <c r="G1446" s="1">
        <v>2310</v>
      </c>
      <c r="H1446" s="1">
        <f>'1_Departamento_n'!C27</f>
        <v>85937</v>
      </c>
      <c r="I1446" s="1">
        <f>'1_Departamento_n'!H27</f>
        <v>1299</v>
      </c>
      <c r="J1446" s="1">
        <f>'0_Parametros'!B7</f>
        <v>10</v>
      </c>
      <c r="K1446" s="3">
        <f>(I1446-SUM($J$1402:$J$1457))*G1446/H1446</f>
        <v>19.86443557489789</v>
      </c>
      <c r="L1446" s="1">
        <f>INT(K1446)</f>
        <v>19</v>
      </c>
      <c r="M1446" s="3">
        <f>K1446-L1446</f>
        <v>0.8644355748978896</v>
      </c>
      <c r="N1446" s="1">
        <f>COUNTIF($M$1402:$M$1457,"&gt;"&amp;M1446)+COUNTIF($M$1402:M1446,M1446)</f>
        <v>8</v>
      </c>
      <c r="O1446" s="1">
        <f>J1446+L1446+IF(N1446&lt;=I1446-SUM($J$1402:$J$1457)-SUM($L$1402:$L$1457),1,0)</f>
        <v>30</v>
      </c>
    </row>
    <row r="1447" spans="1:15">
      <c r="A1447" s="1" t="s">
        <v>74</v>
      </c>
      <c r="B1447" s="1" t="s">
        <v>79</v>
      </c>
      <c r="C1447" s="1" t="s">
        <v>50</v>
      </c>
      <c r="D1447" s="1" t="s">
        <v>49</v>
      </c>
      <c r="E1447" s="1" t="s">
        <v>43</v>
      </c>
      <c r="F1447" s="1" t="s">
        <v>42</v>
      </c>
      <c r="G1447" s="1">
        <v>3461</v>
      </c>
      <c r="H1447" s="1">
        <f>'1_Departamento_n'!C27</f>
        <v>85937</v>
      </c>
      <c r="I1447" s="1">
        <f>'1_Departamento_n'!H27</f>
        <v>1299</v>
      </c>
      <c r="J1447" s="1">
        <f>'0_Parametros'!B7</f>
        <v>10</v>
      </c>
      <c r="K1447" s="3">
        <f>(I1447-SUM($J$1402:$J$1457))*G1447/H1447</f>
        <v>29.76225607130805</v>
      </c>
      <c r="L1447" s="1">
        <f>INT(K1447)</f>
        <v>29</v>
      </c>
      <c r="M1447" s="3">
        <f>K1447-L1447</f>
        <v>0.7622560713080517</v>
      </c>
      <c r="N1447" s="1">
        <f>COUNTIF($M$1402:$M$1457,"&gt;"&amp;M1447)+COUNTIF($M$1402:M1447,M1447)</f>
        <v>16</v>
      </c>
      <c r="O1447" s="1">
        <f>J1447+L1447+IF(N1447&lt;=I1447-SUM($J$1402:$J$1457)-SUM($L$1402:$L$1457),1,0)</f>
        <v>40</v>
      </c>
    </row>
    <row r="1448" spans="1:15">
      <c r="A1448" s="1" t="s">
        <v>74</v>
      </c>
      <c r="B1448" s="1" t="s">
        <v>79</v>
      </c>
      <c r="C1448" s="1" t="s">
        <v>50</v>
      </c>
      <c r="D1448" s="1" t="s">
        <v>49</v>
      </c>
      <c r="E1448" s="1" t="s">
        <v>44</v>
      </c>
      <c r="F1448" s="1" t="s">
        <v>41</v>
      </c>
      <c r="G1448" s="1">
        <v>2065</v>
      </c>
      <c r="H1448" s="1">
        <f>'1_Departamento_n'!C27</f>
        <v>85937</v>
      </c>
      <c r="I1448" s="1">
        <f>'1_Departamento_n'!H27</f>
        <v>1299</v>
      </c>
      <c r="J1448" s="1">
        <f>'0_Parametros'!B7</f>
        <v>10</v>
      </c>
      <c r="K1448" s="3">
        <f>(I1448-SUM($J$1402:$J$1457))*G1448/H1448</f>
        <v>17.757601498772356</v>
      </c>
      <c r="L1448" s="1">
        <f>INT(K1448)</f>
        <v>17</v>
      </c>
      <c r="M1448" s="3">
        <f>K1448-L1448</f>
        <v>0.757601498772356</v>
      </c>
      <c r="N1448" s="1">
        <f>COUNTIF($M$1402:$M$1457,"&gt;"&amp;M1448)+COUNTIF($M$1402:M1448,M1448)</f>
        <v>17</v>
      </c>
      <c r="O1448" s="1">
        <f>J1448+L1448+IF(N1448&lt;=I1448-SUM($J$1402:$J$1457)-SUM($L$1402:$L$1457),1,0)</f>
        <v>28</v>
      </c>
    </row>
    <row r="1449" spans="1:15">
      <c r="A1449" s="1" t="s">
        <v>74</v>
      </c>
      <c r="B1449" s="1" t="s">
        <v>79</v>
      </c>
      <c r="C1449" s="1" t="s">
        <v>50</v>
      </c>
      <c r="D1449" s="1" t="s">
        <v>49</v>
      </c>
      <c r="E1449" s="1" t="s">
        <v>44</v>
      </c>
      <c r="F1449" s="1" t="s">
        <v>42</v>
      </c>
      <c r="G1449" s="1">
        <v>3087</v>
      </c>
      <c r="H1449" s="1">
        <f>'1_Departamento_n'!C27</f>
        <v>85937</v>
      </c>
      <c r="I1449" s="1">
        <f>'1_Departamento_n'!H27</f>
        <v>1299</v>
      </c>
      <c r="J1449" s="1">
        <f>'0_Parametros'!B7</f>
        <v>10</v>
      </c>
      <c r="K1449" s="3">
        <f>(I1449-SUM($J$1402:$J$1457))*G1449/H1449</f>
        <v>26.546109359181727</v>
      </c>
      <c r="L1449" s="1">
        <f>INT(K1449)</f>
        <v>26</v>
      </c>
      <c r="M1449" s="3">
        <f>K1449-L1449</f>
        <v>0.5461093591817274</v>
      </c>
      <c r="N1449" s="1">
        <f>COUNTIF($M$1402:$M$1457,"&gt;"&amp;M1449)+COUNTIF($M$1402:M1449,M1449)</f>
        <v>25</v>
      </c>
      <c r="O1449" s="1">
        <f>J1449+L1449+IF(N1449&lt;=I1449-SUM($J$1402:$J$1457)-SUM($L$1402:$L$1457),1,0)</f>
        <v>37</v>
      </c>
    </row>
    <row r="1450" spans="1:15">
      <c r="A1450" s="1" t="s">
        <v>74</v>
      </c>
      <c r="B1450" s="1" t="s">
        <v>79</v>
      </c>
      <c r="C1450" s="1" t="s">
        <v>50</v>
      </c>
      <c r="D1450" s="1" t="s">
        <v>49</v>
      </c>
      <c r="E1450" s="1" t="s">
        <v>45</v>
      </c>
      <c r="F1450" s="1" t="s">
        <v>41</v>
      </c>
      <c r="G1450" s="1">
        <v>1799</v>
      </c>
      <c r="H1450" s="1">
        <f>'1_Departamento_n'!C27</f>
        <v>85937</v>
      </c>
      <c r="I1450" s="1">
        <f>'1_Departamento_n'!H27</f>
        <v>1299</v>
      </c>
      <c r="J1450" s="1">
        <f>'0_Parametros'!B7</f>
        <v>10</v>
      </c>
      <c r="K1450" s="3">
        <f>(I1450-SUM($J$1402:$J$1457))*G1450/H1450</f>
        <v>15.470181644693206</v>
      </c>
      <c r="L1450" s="1">
        <f>INT(K1450)</f>
        <v>15</v>
      </c>
      <c r="M1450" s="3">
        <f>K1450-L1450</f>
        <v>0.47018164469320567</v>
      </c>
      <c r="N1450" s="1">
        <f>COUNTIF($M$1402:$M$1457,"&gt;"&amp;M1450)+COUNTIF($M$1402:M1450,M1450)</f>
        <v>32</v>
      </c>
      <c r="O1450" s="1">
        <f>J1450+L1450+IF(N1450&lt;=I1450-SUM($J$1402:$J$1457)-SUM($L$1402:$L$1457),1,0)</f>
        <v>25</v>
      </c>
    </row>
    <row r="1451" spans="1:15">
      <c r="A1451" s="1" t="s">
        <v>74</v>
      </c>
      <c r="B1451" s="1" t="s">
        <v>79</v>
      </c>
      <c r="C1451" s="1" t="s">
        <v>50</v>
      </c>
      <c r="D1451" s="1" t="s">
        <v>49</v>
      </c>
      <c r="E1451" s="1" t="s">
        <v>45</v>
      </c>
      <c r="F1451" s="1" t="s">
        <v>42</v>
      </c>
      <c r="G1451" s="1">
        <v>2627</v>
      </c>
      <c r="H1451" s="1">
        <f>'1_Departamento_n'!C27</f>
        <v>85937</v>
      </c>
      <c r="I1451" s="1">
        <f>'1_Departamento_n'!H27</f>
        <v>1299</v>
      </c>
      <c r="J1451" s="1">
        <f>'0_Parametros'!B7</f>
        <v>10</v>
      </c>
      <c r="K1451" s="3">
        <f>(I1451-SUM($J$1402:$J$1457))*G1451/H1451</f>
        <v>22.59042088972154</v>
      </c>
      <c r="L1451" s="1">
        <f>INT(K1451)</f>
        <v>22</v>
      </c>
      <c r="M1451" s="3">
        <f>K1451-L1451</f>
        <v>0.590420889721539</v>
      </c>
      <c r="N1451" s="1">
        <f>COUNTIF($M$1402:$M$1457,"&gt;"&amp;M1451)+COUNTIF($M$1402:M1451,M1451)</f>
        <v>23</v>
      </c>
      <c r="O1451" s="1">
        <f>J1451+L1451+IF(N1451&lt;=I1451-SUM($J$1402:$J$1457)-SUM($L$1402:$L$1457),1,0)</f>
        <v>33</v>
      </c>
    </row>
    <row r="1452" spans="1:15">
      <c r="A1452" s="1" t="s">
        <v>74</v>
      </c>
      <c r="B1452" s="1" t="s">
        <v>79</v>
      </c>
      <c r="C1452" s="1" t="s">
        <v>50</v>
      </c>
      <c r="D1452" s="1" t="s">
        <v>49</v>
      </c>
      <c r="E1452" s="1" t="s">
        <v>46</v>
      </c>
      <c r="F1452" s="1" t="s">
        <v>41</v>
      </c>
      <c r="G1452" s="1">
        <v>1608</v>
      </c>
      <c r="H1452" s="1">
        <f>'1_Departamento_n'!C27</f>
        <v>85937</v>
      </c>
      <c r="I1452" s="1">
        <f>'1_Departamento_n'!H27</f>
        <v>1299</v>
      </c>
      <c r="J1452" s="1">
        <f>'0_Parametros'!B7</f>
        <v>10</v>
      </c>
      <c r="K1452" s="3">
        <f>(I1452-SUM($J$1402:$J$1457))*G1452/H1452</f>
        <v>13.827710997591259</v>
      </c>
      <c r="L1452" s="1">
        <f>INT(K1452)</f>
        <v>13</v>
      </c>
      <c r="M1452" s="3">
        <f>K1452-L1452</f>
        <v>0.8277109975912591</v>
      </c>
      <c r="N1452" s="1">
        <f>COUNTIF($M$1402:$M$1457,"&gt;"&amp;M1452)+COUNTIF($M$1402:M1452,M1452)</f>
        <v>9</v>
      </c>
      <c r="O1452" s="1">
        <f>J1452+L1452+IF(N1452&lt;=I1452-SUM($J$1402:$J$1457)-SUM($L$1402:$L$1457),1,0)</f>
        <v>24</v>
      </c>
    </row>
    <row r="1453" spans="1:15">
      <c r="A1453" s="1" t="s">
        <v>74</v>
      </c>
      <c r="B1453" s="1" t="s">
        <v>79</v>
      </c>
      <c r="C1453" s="1" t="s">
        <v>50</v>
      </c>
      <c r="D1453" s="1" t="s">
        <v>49</v>
      </c>
      <c r="E1453" s="1" t="s">
        <v>46</v>
      </c>
      <c r="F1453" s="1" t="s">
        <v>42</v>
      </c>
      <c r="G1453" s="1">
        <v>2615</v>
      </c>
      <c r="H1453" s="1">
        <f>'1_Departamento_n'!C27</f>
        <v>85937</v>
      </c>
      <c r="I1453" s="1">
        <f>'1_Departamento_n'!H27</f>
        <v>1299</v>
      </c>
      <c r="J1453" s="1">
        <f>'0_Parametros'!B7</f>
        <v>10</v>
      </c>
      <c r="K1453" s="3">
        <f>(I1453-SUM($J$1402:$J$1457))*G1453/H1453</f>
        <v>22.487229016605188</v>
      </c>
      <c r="L1453" s="1">
        <f>INT(K1453)</f>
        <v>22</v>
      </c>
      <c r="M1453" s="3">
        <f>K1453-L1453</f>
        <v>0.4872290166051876</v>
      </c>
      <c r="N1453" s="1">
        <f>COUNTIF($M$1402:$M$1457,"&gt;"&amp;M1453)+COUNTIF($M$1402:M1453,M1453)</f>
        <v>29</v>
      </c>
      <c r="O1453" s="1">
        <f>J1453+L1453+IF(N1453&lt;=I1453-SUM($J$1402:$J$1457)-SUM($L$1402:$L$1457),1,0)</f>
        <v>33</v>
      </c>
    </row>
    <row r="1454" spans="1:15">
      <c r="A1454" s="1" t="s">
        <v>74</v>
      </c>
      <c r="B1454" s="1" t="s">
        <v>79</v>
      </c>
      <c r="C1454" s="1" t="s">
        <v>50</v>
      </c>
      <c r="D1454" s="1" t="s">
        <v>49</v>
      </c>
      <c r="E1454" s="1" t="s">
        <v>47</v>
      </c>
      <c r="F1454" s="1" t="s">
        <v>41</v>
      </c>
      <c r="G1454" s="1">
        <v>1590</v>
      </c>
      <c r="H1454" s="1">
        <f>'1_Departamento_n'!C27</f>
        <v>85937</v>
      </c>
      <c r="I1454" s="1">
        <f>'1_Departamento_n'!H27</f>
        <v>1299</v>
      </c>
      <c r="J1454" s="1">
        <f>'0_Parametros'!B7</f>
        <v>10</v>
      </c>
      <c r="K1454" s="3">
        <f>(I1454-SUM($J$1402:$J$1457))*G1454/H1454</f>
        <v>13.67292318791673</v>
      </c>
      <c r="L1454" s="1">
        <f>INT(K1454)</f>
        <v>13</v>
      </c>
      <c r="M1454" s="3">
        <f>K1454-L1454</f>
        <v>0.6729231879167301</v>
      </c>
      <c r="N1454" s="1">
        <f>COUNTIF($M$1402:$M$1457,"&gt;"&amp;M1454)+COUNTIF($M$1402:M1454,M1454)</f>
        <v>20</v>
      </c>
      <c r="O1454" s="1">
        <f>J1454+L1454+IF(N1454&lt;=I1454-SUM($J$1402:$J$1457)-SUM($L$1402:$L$1457),1,0)</f>
        <v>24</v>
      </c>
    </row>
    <row r="1455" spans="1:15">
      <c r="A1455" s="1" t="s">
        <v>74</v>
      </c>
      <c r="B1455" s="1" t="s">
        <v>79</v>
      </c>
      <c r="C1455" s="1" t="s">
        <v>50</v>
      </c>
      <c r="D1455" s="1" t="s">
        <v>49</v>
      </c>
      <c r="E1455" s="1" t="s">
        <v>47</v>
      </c>
      <c r="F1455" s="1" t="s">
        <v>42</v>
      </c>
      <c r="G1455" s="1">
        <v>3078</v>
      </c>
      <c r="H1455" s="1">
        <f>'1_Departamento_n'!C27</f>
        <v>85937</v>
      </c>
      <c r="I1455" s="1">
        <f>'1_Departamento_n'!H27</f>
        <v>1299</v>
      </c>
      <c r="J1455" s="1">
        <f>'0_Parametros'!B7</f>
        <v>10</v>
      </c>
      <c r="K1455" s="3">
        <f>(I1455-SUM($J$1402:$J$1457))*G1455/H1455</f>
        <v>26.468715454344462</v>
      </c>
      <c r="L1455" s="1">
        <f>INT(K1455)</f>
        <v>26</v>
      </c>
      <c r="M1455" s="3">
        <f>K1455-L1455</f>
        <v>0.46871545434446205</v>
      </c>
      <c r="N1455" s="1">
        <f>COUNTIF($M$1402:$M$1457,"&gt;"&amp;M1455)+COUNTIF($M$1402:M1455,M1455)</f>
        <v>33</v>
      </c>
      <c r="O1455" s="1">
        <f>J1455+L1455+IF(N1455&lt;=I1455-SUM($J$1402:$J$1457)-SUM($L$1402:$L$1457),1,0)</f>
        <v>36</v>
      </c>
    </row>
    <row r="1456" spans="1:15">
      <c r="A1456" s="1" t="s">
        <v>74</v>
      </c>
      <c r="B1456" s="1" t="s">
        <v>79</v>
      </c>
      <c r="C1456" s="1" t="s">
        <v>50</v>
      </c>
      <c r="D1456" s="1" t="s">
        <v>49</v>
      </c>
      <c r="E1456" s="1" t="s">
        <v>48</v>
      </c>
      <c r="F1456" s="1" t="s">
        <v>41</v>
      </c>
      <c r="G1456" s="1">
        <v>2255</v>
      </c>
      <c r="H1456" s="1">
        <f>'1_Departamento_n'!C27</f>
        <v>85937</v>
      </c>
      <c r="I1456" s="1">
        <f>'1_Departamento_n'!H27</f>
        <v>1299</v>
      </c>
      <c r="J1456" s="1">
        <f>'0_Parametros'!B7</f>
        <v>10</v>
      </c>
      <c r="K1456" s="3">
        <f>(I1456-SUM($J$1402:$J$1457))*G1456/H1456</f>
        <v>19.391472823114608</v>
      </c>
      <c r="L1456" s="1">
        <f>INT(K1456)</f>
        <v>19</v>
      </c>
      <c r="M1456" s="3">
        <f>K1456-L1456</f>
        <v>0.39147282311460785</v>
      </c>
      <c r="N1456" s="1">
        <f>COUNTIF($M$1402:$M$1457,"&gt;"&amp;M1456)+COUNTIF($M$1402:M1456,M1456)</f>
        <v>38</v>
      </c>
      <c r="O1456" s="1">
        <f>J1456+L1456+IF(N1456&lt;=I1456-SUM($J$1402:$J$1457)-SUM($L$1402:$L$1457),1,0)</f>
        <v>29</v>
      </c>
    </row>
    <row r="1457" spans="1:15">
      <c r="A1457" s="1" t="s">
        <v>74</v>
      </c>
      <c r="B1457" s="1" t="s">
        <v>79</v>
      </c>
      <c r="C1457" s="1" t="s">
        <v>50</v>
      </c>
      <c r="D1457" s="1" t="s">
        <v>49</v>
      </c>
      <c r="E1457" s="1" t="s">
        <v>48</v>
      </c>
      <c r="F1457" s="1" t="s">
        <v>42</v>
      </c>
      <c r="G1457" s="1">
        <v>4135</v>
      </c>
      <c r="H1457" s="1">
        <f>'1_Departamento_n'!C27</f>
        <v>85937</v>
      </c>
      <c r="I1457" s="1">
        <f>'1_Departamento_n'!H27</f>
        <v>1299</v>
      </c>
      <c r="J1457" s="1">
        <f>'0_Parametros'!B7</f>
        <v>10</v>
      </c>
      <c r="K1457" s="3">
        <f>(I1457-SUM($J$1402:$J$1457))*G1457/H1457</f>
        <v>35.55819961134319</v>
      </c>
      <c r="L1457" s="1">
        <f>INT(K1457)</f>
        <v>35</v>
      </c>
      <c r="M1457" s="3">
        <f>K1457-L1457</f>
        <v>0.5581996113431913</v>
      </c>
      <c r="N1457" s="1">
        <f>COUNTIF($M$1402:$M$1457,"&gt;"&amp;M1457)+COUNTIF($M$1402:M1457,M1457)</f>
        <v>24</v>
      </c>
      <c r="O1457" s="1">
        <f>J1457+L1457+IF(N1457&lt;=I1457-SUM($J$1402:$J$1457)-SUM($L$1402:$L$1457),1,0)</f>
        <v>46</v>
      </c>
    </row>
    <row r="1458" spans="1:15">
      <c r="A1458" s="1" t="s">
        <v>74</v>
      </c>
      <c r="B1458" s="1" t="s">
        <v>80</v>
      </c>
      <c r="C1458" s="1" t="s">
        <v>38</v>
      </c>
      <c r="D1458" s="1" t="s">
        <v>39</v>
      </c>
      <c r="E1458" s="1" t="s">
        <v>40</v>
      </c>
      <c r="F1458" s="1" t="s">
        <v>41</v>
      </c>
      <c r="G1458" s="1">
        <v>1011</v>
      </c>
      <c r="H1458" s="1">
        <f>'1_Departamento_n'!C28</f>
        <v>332640</v>
      </c>
      <c r="I1458" s="1">
        <f>'1_Departamento_n'!H28</f>
        <v>1309</v>
      </c>
      <c r="J1458" s="1">
        <f>'0_Parametros'!B7</f>
        <v>10</v>
      </c>
      <c r="K1458" s="3">
        <f>(I1458-SUM($J$1458:$J$1513))*G1458/H1458</f>
        <v>2.2764520202020204</v>
      </c>
      <c r="L1458" s="1">
        <f>INT(K1458)</f>
        <v>2</v>
      </c>
      <c r="M1458" s="3">
        <f>K1458-L1458</f>
        <v>0.2764520202020204</v>
      </c>
      <c r="N1458" s="1">
        <f>COUNTIF($M$1458:$M$1513,"&gt;"&amp;M1458)+COUNTIF($M$1458:M1458,M1458)</f>
        <v>40</v>
      </c>
      <c r="O1458" s="1">
        <f>J1458+L1458+IF(N1458&lt;=I1458-SUM($J$1458:$J$1513)-SUM($L$1458:$L$1513),1,0)</f>
        <v>12</v>
      </c>
    </row>
    <row r="1459" spans="1:15">
      <c r="A1459" s="1" t="s">
        <v>74</v>
      </c>
      <c r="B1459" s="1" t="s">
        <v>80</v>
      </c>
      <c r="C1459" s="1" t="s">
        <v>38</v>
      </c>
      <c r="D1459" s="1" t="s">
        <v>39</v>
      </c>
      <c r="E1459" s="1" t="s">
        <v>40</v>
      </c>
      <c r="F1459" s="1" t="s">
        <v>42</v>
      </c>
      <c r="G1459" s="1">
        <v>1123</v>
      </c>
      <c r="H1459" s="1">
        <f>'1_Departamento_n'!C28</f>
        <v>332640</v>
      </c>
      <c r="I1459" s="1">
        <f>'1_Departamento_n'!H28</f>
        <v>1309</v>
      </c>
      <c r="J1459" s="1">
        <f>'0_Parametros'!B7</f>
        <v>10</v>
      </c>
      <c r="K1459" s="3">
        <f>(I1459-SUM($J$1458:$J$1513))*G1459/H1459</f>
        <v>2.5286405723905725</v>
      </c>
      <c r="L1459" s="1">
        <f>INT(K1459)</f>
        <v>2</v>
      </c>
      <c r="M1459" s="3">
        <f>K1459-L1459</f>
        <v>0.5286405723905725</v>
      </c>
      <c r="N1459" s="1">
        <f>COUNTIF($M$1458:$M$1513,"&gt;"&amp;M1459)+COUNTIF($M$1458:M1459,M1459)</f>
        <v>23</v>
      </c>
      <c r="O1459" s="1">
        <f>J1459+L1459+IF(N1459&lt;=I1459-SUM($J$1458:$J$1513)-SUM($L$1458:$L$1513),1,0)</f>
        <v>13</v>
      </c>
    </row>
    <row r="1460" spans="1:15">
      <c r="A1460" s="1" t="s">
        <v>74</v>
      </c>
      <c r="B1460" s="1" t="s">
        <v>80</v>
      </c>
      <c r="C1460" s="1" t="s">
        <v>38</v>
      </c>
      <c r="D1460" s="1" t="s">
        <v>39</v>
      </c>
      <c r="E1460" s="1" t="s">
        <v>43</v>
      </c>
      <c r="F1460" s="1" t="s">
        <v>41</v>
      </c>
      <c r="G1460" s="1">
        <v>1563</v>
      </c>
      <c r="H1460" s="1">
        <f>'1_Departamento_n'!C28</f>
        <v>332640</v>
      </c>
      <c r="I1460" s="1">
        <f>'1_Departamento_n'!H28</f>
        <v>1309</v>
      </c>
      <c r="J1460" s="1">
        <f>'0_Parametros'!B7</f>
        <v>10</v>
      </c>
      <c r="K1460" s="3">
        <f>(I1460-SUM($J$1458:$J$1513))*G1460/H1460</f>
        <v>3.519381313131313</v>
      </c>
      <c r="L1460" s="1">
        <f>INT(K1460)</f>
        <v>3</v>
      </c>
      <c r="M1460" s="3">
        <f>K1460-L1460</f>
        <v>0.519381313131313</v>
      </c>
      <c r="N1460" s="1">
        <f>COUNTIF($M$1458:$M$1513,"&gt;"&amp;M1460)+COUNTIF($M$1458:M1460,M1460)</f>
        <v>27</v>
      </c>
      <c r="O1460" s="1">
        <f>J1460+L1460+IF(N1460&lt;=I1460-SUM($J$1458:$J$1513)-SUM($L$1458:$L$1513),1,0)</f>
        <v>14</v>
      </c>
    </row>
    <row r="1461" spans="1:15">
      <c r="A1461" s="1" t="s">
        <v>74</v>
      </c>
      <c r="B1461" s="1" t="s">
        <v>80</v>
      </c>
      <c r="C1461" s="1" t="s">
        <v>38</v>
      </c>
      <c r="D1461" s="1" t="s">
        <v>39</v>
      </c>
      <c r="E1461" s="1" t="s">
        <v>43</v>
      </c>
      <c r="F1461" s="1" t="s">
        <v>42</v>
      </c>
      <c r="G1461" s="1">
        <v>982</v>
      </c>
      <c r="H1461" s="1">
        <f>'1_Departamento_n'!C28</f>
        <v>332640</v>
      </c>
      <c r="I1461" s="1">
        <f>'1_Departamento_n'!H28</f>
        <v>1309</v>
      </c>
      <c r="J1461" s="1">
        <f>'0_Parametros'!B7</f>
        <v>10</v>
      </c>
      <c r="K1461" s="3">
        <f>(I1461-SUM($J$1458:$J$1513))*G1461/H1461</f>
        <v>2.2111531986531987</v>
      </c>
      <c r="L1461" s="1">
        <f>INT(K1461)</f>
        <v>2</v>
      </c>
      <c r="M1461" s="3">
        <f>K1461-L1461</f>
        <v>0.2111531986531987</v>
      </c>
      <c r="N1461" s="1">
        <f>COUNTIF($M$1458:$M$1513,"&gt;"&amp;M1461)+COUNTIF($M$1458:M1461,M1461)</f>
        <v>47</v>
      </c>
      <c r="O1461" s="1">
        <f>J1461+L1461+IF(N1461&lt;=I1461-SUM($J$1458:$J$1513)-SUM($L$1458:$L$1513),1,0)</f>
        <v>12</v>
      </c>
    </row>
    <row r="1462" spans="1:15">
      <c r="A1462" s="1" t="s">
        <v>74</v>
      </c>
      <c r="B1462" s="1" t="s">
        <v>80</v>
      </c>
      <c r="C1462" s="1" t="s">
        <v>38</v>
      </c>
      <c r="D1462" s="1" t="s">
        <v>39</v>
      </c>
      <c r="E1462" s="1" t="s">
        <v>44</v>
      </c>
      <c r="F1462" s="1" t="s">
        <v>41</v>
      </c>
      <c r="G1462" s="1">
        <v>2866</v>
      </c>
      <c r="H1462" s="1">
        <f>'1_Departamento_n'!C28</f>
        <v>332640</v>
      </c>
      <c r="I1462" s="1">
        <f>'1_Departamento_n'!H28</f>
        <v>1309</v>
      </c>
      <c r="J1462" s="1">
        <f>'0_Parametros'!B7</f>
        <v>10</v>
      </c>
      <c r="K1462" s="3">
        <f>(I1462-SUM($J$1458:$J$1513))*G1462/H1462</f>
        <v>6.453324915824916</v>
      </c>
      <c r="L1462" s="1">
        <f>INT(K1462)</f>
        <v>6</v>
      </c>
      <c r="M1462" s="3">
        <f>K1462-L1462</f>
        <v>0.45332491582491574</v>
      </c>
      <c r="N1462" s="1">
        <f>COUNTIF($M$1458:$M$1513,"&gt;"&amp;M1462)+COUNTIF($M$1458:M1462,M1462)</f>
        <v>31</v>
      </c>
      <c r="O1462" s="1">
        <f>J1462+L1462+IF(N1462&lt;=I1462-SUM($J$1458:$J$1513)-SUM($L$1458:$L$1513),1,0)</f>
        <v>16</v>
      </c>
    </row>
    <row r="1463" spans="1:15">
      <c r="A1463" s="1" t="s">
        <v>74</v>
      </c>
      <c r="B1463" s="1" t="s">
        <v>80</v>
      </c>
      <c r="C1463" s="1" t="s">
        <v>38</v>
      </c>
      <c r="D1463" s="1" t="s">
        <v>39</v>
      </c>
      <c r="E1463" s="1" t="s">
        <v>44</v>
      </c>
      <c r="F1463" s="1" t="s">
        <v>42</v>
      </c>
      <c r="G1463" s="1">
        <v>2076</v>
      </c>
      <c r="H1463" s="1">
        <f>'1_Departamento_n'!C28</f>
        <v>332640</v>
      </c>
      <c r="I1463" s="1">
        <f>'1_Departamento_n'!H28</f>
        <v>1309</v>
      </c>
      <c r="J1463" s="1">
        <f>'0_Parametros'!B7</f>
        <v>10</v>
      </c>
      <c r="K1463" s="3">
        <f>(I1463-SUM($J$1458:$J$1513))*G1463/H1463</f>
        <v>4.6744949494949495</v>
      </c>
      <c r="L1463" s="1">
        <f>INT(K1463)</f>
        <v>4</v>
      </c>
      <c r="M1463" s="3">
        <f>K1463-L1463</f>
        <v>0.6744949494949495</v>
      </c>
      <c r="N1463" s="1">
        <f>COUNTIF($M$1458:$M$1513,"&gt;"&amp;M1463)+COUNTIF($M$1458:M1463,M1463)</f>
        <v>19</v>
      </c>
      <c r="O1463" s="1">
        <f>J1463+L1463+IF(N1463&lt;=I1463-SUM($J$1458:$J$1513)-SUM($L$1458:$L$1513),1,0)</f>
        <v>15</v>
      </c>
    </row>
    <row r="1464" spans="1:15">
      <c r="A1464" s="1" t="s">
        <v>74</v>
      </c>
      <c r="B1464" s="1" t="s">
        <v>80</v>
      </c>
      <c r="C1464" s="1" t="s">
        <v>38</v>
      </c>
      <c r="D1464" s="1" t="s">
        <v>39</v>
      </c>
      <c r="E1464" s="1" t="s">
        <v>45</v>
      </c>
      <c r="F1464" s="1" t="s">
        <v>41</v>
      </c>
      <c r="G1464" s="1">
        <v>3729</v>
      </c>
      <c r="H1464" s="1">
        <f>'1_Departamento_n'!C28</f>
        <v>332640</v>
      </c>
      <c r="I1464" s="1">
        <f>'1_Departamento_n'!H28</f>
        <v>1309</v>
      </c>
      <c r="J1464" s="1">
        <f>'0_Parametros'!B7</f>
        <v>10</v>
      </c>
      <c r="K1464" s="3">
        <f>(I1464-SUM($J$1458:$J$1513))*G1464/H1464</f>
        <v>8.396527777777777</v>
      </c>
      <c r="L1464" s="1">
        <f>INT(K1464)</f>
        <v>8</v>
      </c>
      <c r="M1464" s="3">
        <f>K1464-L1464</f>
        <v>0.39652777777777715</v>
      </c>
      <c r="N1464" s="1">
        <f>COUNTIF($M$1458:$M$1513,"&gt;"&amp;M1464)+COUNTIF($M$1458:M1464,M1464)</f>
        <v>35</v>
      </c>
      <c r="O1464" s="1">
        <f>J1464+L1464+IF(N1464&lt;=I1464-SUM($J$1458:$J$1513)-SUM($L$1458:$L$1513),1,0)</f>
        <v>18</v>
      </c>
    </row>
    <row r="1465" spans="1:15">
      <c r="A1465" s="1" t="s">
        <v>74</v>
      </c>
      <c r="B1465" s="1" t="s">
        <v>80</v>
      </c>
      <c r="C1465" s="1" t="s">
        <v>38</v>
      </c>
      <c r="D1465" s="1" t="s">
        <v>39</v>
      </c>
      <c r="E1465" s="1" t="s">
        <v>45</v>
      </c>
      <c r="F1465" s="1" t="s">
        <v>42</v>
      </c>
      <c r="G1465" s="1">
        <v>2431</v>
      </c>
      <c r="H1465" s="1">
        <f>'1_Departamento_n'!C28</f>
        <v>332640</v>
      </c>
      <c r="I1465" s="1">
        <f>'1_Departamento_n'!H28</f>
        <v>1309</v>
      </c>
      <c r="J1465" s="1">
        <f>'0_Parametros'!B7</f>
        <v>10</v>
      </c>
      <c r="K1465" s="3">
        <f>(I1465-SUM($J$1458:$J$1513))*G1465/H1465</f>
        <v>5.473842592592592</v>
      </c>
      <c r="L1465" s="1">
        <f>INT(K1465)</f>
        <v>5</v>
      </c>
      <c r="M1465" s="3">
        <f>K1465-L1465</f>
        <v>0.4738425925925922</v>
      </c>
      <c r="N1465" s="1">
        <f>COUNTIF($M$1458:$M$1513,"&gt;"&amp;M1465)+COUNTIF($M$1458:M1465,M1465)</f>
        <v>29</v>
      </c>
      <c r="O1465" s="1">
        <f>J1465+L1465+IF(N1465&lt;=I1465-SUM($J$1458:$J$1513)-SUM($L$1458:$L$1513),1,0)</f>
        <v>15</v>
      </c>
    </row>
    <row r="1466" spans="1:15">
      <c r="A1466" s="1" t="s">
        <v>74</v>
      </c>
      <c r="B1466" s="1" t="s">
        <v>80</v>
      </c>
      <c r="C1466" s="1" t="s">
        <v>38</v>
      </c>
      <c r="D1466" s="1" t="s">
        <v>39</v>
      </c>
      <c r="E1466" s="1" t="s">
        <v>46</v>
      </c>
      <c r="F1466" s="1" t="s">
        <v>41</v>
      </c>
      <c r="G1466" s="1">
        <v>2635</v>
      </c>
      <c r="H1466" s="1">
        <f>'1_Departamento_n'!C28</f>
        <v>332640</v>
      </c>
      <c r="I1466" s="1">
        <f>'1_Departamento_n'!H28</f>
        <v>1309</v>
      </c>
      <c r="J1466" s="1">
        <f>'0_Parametros'!B7</f>
        <v>10</v>
      </c>
      <c r="K1466" s="3">
        <f>(I1466-SUM($J$1458:$J$1513))*G1466/H1466</f>
        <v>5.933186026936027</v>
      </c>
      <c r="L1466" s="1">
        <f>INT(K1466)</f>
        <v>5</v>
      </c>
      <c r="M1466" s="3">
        <f>K1466-L1466</f>
        <v>0.9331860269360268</v>
      </c>
      <c r="N1466" s="1">
        <f>COUNTIF($M$1458:$M$1513,"&gt;"&amp;M1466)+COUNTIF($M$1458:M1466,M1466)</f>
        <v>4</v>
      </c>
      <c r="O1466" s="1">
        <f>J1466+L1466+IF(N1466&lt;=I1466-SUM($J$1458:$J$1513)-SUM($L$1458:$L$1513),1,0)</f>
        <v>16</v>
      </c>
    </row>
    <row r="1467" spans="1:15">
      <c r="A1467" s="1" t="s">
        <v>74</v>
      </c>
      <c r="B1467" s="1" t="s">
        <v>80</v>
      </c>
      <c r="C1467" s="1" t="s">
        <v>38</v>
      </c>
      <c r="D1467" s="1" t="s">
        <v>39</v>
      </c>
      <c r="E1467" s="1" t="s">
        <v>46</v>
      </c>
      <c r="F1467" s="1" t="s">
        <v>42</v>
      </c>
      <c r="G1467" s="1">
        <v>1499</v>
      </c>
      <c r="H1467" s="1">
        <f>'1_Departamento_n'!C28</f>
        <v>332640</v>
      </c>
      <c r="I1467" s="1">
        <f>'1_Departamento_n'!H28</f>
        <v>1309</v>
      </c>
      <c r="J1467" s="1">
        <f>'0_Parametros'!B7</f>
        <v>10</v>
      </c>
      <c r="K1467" s="3">
        <f>(I1467-SUM($J$1458:$J$1513))*G1467/H1467</f>
        <v>3.375273569023569</v>
      </c>
      <c r="L1467" s="1">
        <f>INT(K1467)</f>
        <v>3</v>
      </c>
      <c r="M1467" s="3">
        <f>K1467-L1467</f>
        <v>0.3752735690235691</v>
      </c>
      <c r="N1467" s="1">
        <f>COUNTIF($M$1458:$M$1513,"&gt;"&amp;M1467)+COUNTIF($M$1458:M1467,M1467)</f>
        <v>37</v>
      </c>
      <c r="O1467" s="1">
        <f>J1467+L1467+IF(N1467&lt;=I1467-SUM($J$1458:$J$1513)-SUM($L$1458:$L$1513),1,0)</f>
        <v>13</v>
      </c>
    </row>
    <row r="1468" spans="1:15">
      <c r="A1468" s="1" t="s">
        <v>74</v>
      </c>
      <c r="B1468" s="1" t="s">
        <v>80</v>
      </c>
      <c r="C1468" s="1" t="s">
        <v>38</v>
      </c>
      <c r="D1468" s="1" t="s">
        <v>39</v>
      </c>
      <c r="E1468" s="1" t="s">
        <v>47</v>
      </c>
      <c r="F1468" s="1" t="s">
        <v>41</v>
      </c>
      <c r="G1468" s="1">
        <v>1659</v>
      </c>
      <c r="H1468" s="1">
        <f>'1_Departamento_n'!C28</f>
        <v>332640</v>
      </c>
      <c r="I1468" s="1">
        <f>'1_Departamento_n'!H28</f>
        <v>1309</v>
      </c>
      <c r="J1468" s="1">
        <f>'0_Parametros'!B7</f>
        <v>10</v>
      </c>
      <c r="K1468" s="3">
        <f>(I1468-SUM($J$1458:$J$1513))*G1468/H1468</f>
        <v>3.7355429292929294</v>
      </c>
      <c r="L1468" s="1">
        <f>INT(K1468)</f>
        <v>3</v>
      </c>
      <c r="M1468" s="3">
        <f>K1468-L1468</f>
        <v>0.7355429292929294</v>
      </c>
      <c r="N1468" s="1">
        <f>COUNTIF($M$1458:$M$1513,"&gt;"&amp;M1468)+COUNTIF($M$1458:M1468,M1468)</f>
        <v>14</v>
      </c>
      <c r="O1468" s="1">
        <f>J1468+L1468+IF(N1468&lt;=I1468-SUM($J$1458:$J$1513)-SUM($L$1458:$L$1513),1,0)</f>
        <v>14</v>
      </c>
    </row>
    <row r="1469" spans="1:15">
      <c r="A1469" s="1" t="s">
        <v>74</v>
      </c>
      <c r="B1469" s="1" t="s">
        <v>80</v>
      </c>
      <c r="C1469" s="1" t="s">
        <v>38</v>
      </c>
      <c r="D1469" s="1" t="s">
        <v>39</v>
      </c>
      <c r="E1469" s="1" t="s">
        <v>47</v>
      </c>
      <c r="F1469" s="1" t="s">
        <v>42</v>
      </c>
      <c r="G1469" s="1">
        <v>676</v>
      </c>
      <c r="H1469" s="1">
        <f>'1_Departamento_n'!C28</f>
        <v>332640</v>
      </c>
      <c r="I1469" s="1">
        <f>'1_Departamento_n'!H28</f>
        <v>1309</v>
      </c>
      <c r="J1469" s="1">
        <f>'0_Parametros'!B7</f>
        <v>10</v>
      </c>
      <c r="K1469" s="3">
        <f>(I1469-SUM($J$1458:$J$1513))*G1469/H1469</f>
        <v>1.5221380471380472</v>
      </c>
      <c r="L1469" s="1">
        <f>INT(K1469)</f>
        <v>1</v>
      </c>
      <c r="M1469" s="3">
        <f>K1469-L1469</f>
        <v>0.5221380471380472</v>
      </c>
      <c r="N1469" s="1">
        <f>COUNTIF($M$1458:$M$1513,"&gt;"&amp;M1469)+COUNTIF($M$1458:M1469,M1469)</f>
        <v>26</v>
      </c>
      <c r="O1469" s="1">
        <f>J1469+L1469+IF(N1469&lt;=I1469-SUM($J$1458:$J$1513)-SUM($L$1458:$L$1513),1,0)</f>
        <v>12</v>
      </c>
    </row>
    <row r="1470" spans="1:15">
      <c r="A1470" s="1" t="s">
        <v>74</v>
      </c>
      <c r="B1470" s="1" t="s">
        <v>80</v>
      </c>
      <c r="C1470" s="1" t="s">
        <v>38</v>
      </c>
      <c r="D1470" s="1" t="s">
        <v>39</v>
      </c>
      <c r="E1470" s="1" t="s">
        <v>48</v>
      </c>
      <c r="F1470" s="1" t="s">
        <v>41</v>
      </c>
      <c r="G1470" s="1">
        <v>1711</v>
      </c>
      <c r="H1470" s="1">
        <f>'1_Departamento_n'!C28</f>
        <v>332640</v>
      </c>
      <c r="I1470" s="1">
        <f>'1_Departamento_n'!H28</f>
        <v>1309</v>
      </c>
      <c r="J1470" s="1">
        <f>'0_Parametros'!B7</f>
        <v>10</v>
      </c>
      <c r="K1470" s="3">
        <f>(I1470-SUM($J$1458:$J$1513))*G1470/H1470</f>
        <v>3.8526304713804715</v>
      </c>
      <c r="L1470" s="1">
        <f>INT(K1470)</f>
        <v>3</v>
      </c>
      <c r="M1470" s="3">
        <f>K1470-L1470</f>
        <v>0.8526304713804715</v>
      </c>
      <c r="N1470" s="1">
        <f>COUNTIF($M$1458:$M$1513,"&gt;"&amp;M1470)+COUNTIF($M$1458:M1470,M1470)</f>
        <v>10</v>
      </c>
      <c r="O1470" s="1">
        <f>J1470+L1470+IF(N1470&lt;=I1470-SUM($J$1458:$J$1513)-SUM($L$1458:$L$1513),1,0)</f>
        <v>14</v>
      </c>
    </row>
    <row r="1471" spans="1:15">
      <c r="A1471" s="1" t="s">
        <v>74</v>
      </c>
      <c r="B1471" s="1" t="s">
        <v>80</v>
      </c>
      <c r="C1471" s="1" t="s">
        <v>38</v>
      </c>
      <c r="D1471" s="1" t="s">
        <v>39</v>
      </c>
      <c r="E1471" s="1" t="s">
        <v>48</v>
      </c>
      <c r="F1471" s="1" t="s">
        <v>42</v>
      </c>
      <c r="G1471" s="1">
        <v>446</v>
      </c>
      <c r="H1471" s="1">
        <f>'1_Departamento_n'!C28</f>
        <v>332640</v>
      </c>
      <c r="I1471" s="1">
        <f>'1_Departamento_n'!H28</f>
        <v>1309</v>
      </c>
      <c r="J1471" s="1">
        <f>'0_Parametros'!B7</f>
        <v>10</v>
      </c>
      <c r="K1471" s="3">
        <f>(I1471-SUM($J$1458:$J$1513))*G1471/H1471</f>
        <v>1.0042508417508418</v>
      </c>
      <c r="L1471" s="1">
        <f>INT(K1471)</f>
        <v>1</v>
      </c>
      <c r="M1471" s="3">
        <f>K1471-L1471</f>
        <v>0.004250841750841783</v>
      </c>
      <c r="N1471" s="1">
        <f>COUNTIF($M$1458:$M$1513,"&gt;"&amp;M1471)+COUNTIF($M$1458:M1471,M1471)</f>
        <v>56</v>
      </c>
      <c r="O1471" s="1">
        <f>J1471+L1471+IF(N1471&lt;=I1471-SUM($J$1458:$J$1513)-SUM($L$1458:$L$1513),1,0)</f>
        <v>11</v>
      </c>
    </row>
    <row r="1472" spans="1:15">
      <c r="A1472" s="1" t="s">
        <v>74</v>
      </c>
      <c r="B1472" s="1" t="s">
        <v>80</v>
      </c>
      <c r="C1472" s="1" t="s">
        <v>38</v>
      </c>
      <c r="D1472" s="1" t="s">
        <v>49</v>
      </c>
      <c r="E1472" s="1" t="s">
        <v>40</v>
      </c>
      <c r="F1472" s="1" t="s">
        <v>41</v>
      </c>
      <c r="G1472" s="1">
        <v>1097</v>
      </c>
      <c r="H1472" s="1">
        <f>'1_Departamento_n'!C28</f>
        <v>332640</v>
      </c>
      <c r="I1472" s="1">
        <f>'1_Departamento_n'!H28</f>
        <v>1309</v>
      </c>
      <c r="J1472" s="1">
        <f>'0_Parametros'!B7</f>
        <v>10</v>
      </c>
      <c r="K1472" s="3">
        <f>(I1472-SUM($J$1458:$J$1513))*G1472/H1472</f>
        <v>2.470096801346801</v>
      </c>
      <c r="L1472" s="1">
        <f>INT(K1472)</f>
        <v>2</v>
      </c>
      <c r="M1472" s="3">
        <f>K1472-L1472</f>
        <v>0.4700968013468012</v>
      </c>
      <c r="N1472" s="1">
        <f>COUNTIF($M$1458:$M$1513,"&gt;"&amp;M1472)+COUNTIF($M$1458:M1472,M1472)</f>
        <v>30</v>
      </c>
      <c r="O1472" s="1">
        <f>J1472+L1472+IF(N1472&lt;=I1472-SUM($J$1458:$J$1513)-SUM($L$1458:$L$1513),1,0)</f>
        <v>12</v>
      </c>
    </row>
    <row r="1473" spans="1:15">
      <c r="A1473" s="1" t="s">
        <v>74</v>
      </c>
      <c r="B1473" s="1" t="s">
        <v>80</v>
      </c>
      <c r="C1473" s="1" t="s">
        <v>38</v>
      </c>
      <c r="D1473" s="1" t="s">
        <v>49</v>
      </c>
      <c r="E1473" s="1" t="s">
        <v>40</v>
      </c>
      <c r="F1473" s="1" t="s">
        <v>42</v>
      </c>
      <c r="G1473" s="1">
        <v>1133</v>
      </c>
      <c r="H1473" s="1">
        <f>'1_Departamento_n'!C28</f>
        <v>332640</v>
      </c>
      <c r="I1473" s="1">
        <f>'1_Departamento_n'!H28</f>
        <v>1309</v>
      </c>
      <c r="J1473" s="1">
        <f>'0_Parametros'!B7</f>
        <v>10</v>
      </c>
      <c r="K1473" s="3">
        <f>(I1473-SUM($J$1458:$J$1513))*G1473/H1473</f>
        <v>2.5511574074074073</v>
      </c>
      <c r="L1473" s="1">
        <f>INT(K1473)</f>
        <v>2</v>
      </c>
      <c r="M1473" s="3">
        <f>K1473-L1473</f>
        <v>0.5511574074074073</v>
      </c>
      <c r="N1473" s="1">
        <f>COUNTIF($M$1458:$M$1513,"&gt;"&amp;M1473)+COUNTIF($M$1458:M1473,M1473)</f>
        <v>21</v>
      </c>
      <c r="O1473" s="1">
        <f>J1473+L1473+IF(N1473&lt;=I1473-SUM($J$1458:$J$1513)-SUM($L$1458:$L$1513),1,0)</f>
        <v>13</v>
      </c>
    </row>
    <row r="1474" spans="1:15">
      <c r="A1474" s="1" t="s">
        <v>74</v>
      </c>
      <c r="B1474" s="1" t="s">
        <v>80</v>
      </c>
      <c r="C1474" s="1" t="s">
        <v>38</v>
      </c>
      <c r="D1474" s="1" t="s">
        <v>49</v>
      </c>
      <c r="E1474" s="1" t="s">
        <v>43</v>
      </c>
      <c r="F1474" s="1" t="s">
        <v>41</v>
      </c>
      <c r="G1474" s="1">
        <v>1525</v>
      </c>
      <c r="H1474" s="1">
        <f>'1_Departamento_n'!C28</f>
        <v>332640</v>
      </c>
      <c r="I1474" s="1">
        <f>'1_Departamento_n'!H28</f>
        <v>1309</v>
      </c>
      <c r="J1474" s="1">
        <f>'0_Parametros'!B7</f>
        <v>10</v>
      </c>
      <c r="K1474" s="3">
        <f>(I1474-SUM($J$1458:$J$1513))*G1474/H1474</f>
        <v>3.43381734006734</v>
      </c>
      <c r="L1474" s="1">
        <f>INT(K1474)</f>
        <v>3</v>
      </c>
      <c r="M1474" s="3">
        <f>K1474-L1474</f>
        <v>0.43381734006733996</v>
      </c>
      <c r="N1474" s="1">
        <f>COUNTIF($M$1458:$M$1513,"&gt;"&amp;M1474)+COUNTIF($M$1458:M1474,M1474)</f>
        <v>33</v>
      </c>
      <c r="O1474" s="1">
        <f>J1474+L1474+IF(N1474&lt;=I1474-SUM($J$1458:$J$1513)-SUM($L$1458:$L$1513),1,0)</f>
        <v>13</v>
      </c>
    </row>
    <row r="1475" spans="1:15">
      <c r="A1475" s="1" t="s">
        <v>74</v>
      </c>
      <c r="B1475" s="1" t="s">
        <v>80</v>
      </c>
      <c r="C1475" s="1" t="s">
        <v>38</v>
      </c>
      <c r="D1475" s="1" t="s">
        <v>49</v>
      </c>
      <c r="E1475" s="1" t="s">
        <v>43</v>
      </c>
      <c r="F1475" s="1" t="s">
        <v>42</v>
      </c>
      <c r="G1475" s="1">
        <v>1084</v>
      </c>
      <c r="H1475" s="1">
        <f>'1_Departamento_n'!C28</f>
        <v>332640</v>
      </c>
      <c r="I1475" s="1">
        <f>'1_Departamento_n'!H28</f>
        <v>1309</v>
      </c>
      <c r="J1475" s="1">
        <f>'0_Parametros'!B7</f>
        <v>10</v>
      </c>
      <c r="K1475" s="3">
        <f>(I1475-SUM($J$1458:$J$1513))*G1475/H1475</f>
        <v>2.440824915824916</v>
      </c>
      <c r="L1475" s="1">
        <f>INT(K1475)</f>
        <v>2</v>
      </c>
      <c r="M1475" s="3">
        <f>K1475-L1475</f>
        <v>0.440824915824916</v>
      </c>
      <c r="N1475" s="1">
        <f>COUNTIF($M$1458:$M$1513,"&gt;"&amp;M1475)+COUNTIF($M$1458:M1475,M1475)</f>
        <v>32</v>
      </c>
      <c r="O1475" s="1">
        <f>J1475+L1475+IF(N1475&lt;=I1475-SUM($J$1458:$J$1513)-SUM($L$1458:$L$1513),1,0)</f>
        <v>12</v>
      </c>
    </row>
    <row r="1476" spans="1:15">
      <c r="A1476" s="1" t="s">
        <v>74</v>
      </c>
      <c r="B1476" s="1" t="s">
        <v>80</v>
      </c>
      <c r="C1476" s="1" t="s">
        <v>38</v>
      </c>
      <c r="D1476" s="1" t="s">
        <v>49</v>
      </c>
      <c r="E1476" s="1" t="s">
        <v>44</v>
      </c>
      <c r="F1476" s="1" t="s">
        <v>41</v>
      </c>
      <c r="G1476" s="1">
        <v>2881</v>
      </c>
      <c r="H1476" s="1">
        <f>'1_Departamento_n'!C28</f>
        <v>332640</v>
      </c>
      <c r="I1476" s="1">
        <f>'1_Departamento_n'!H28</f>
        <v>1309</v>
      </c>
      <c r="J1476" s="1">
        <f>'0_Parametros'!B7</f>
        <v>10</v>
      </c>
      <c r="K1476" s="3">
        <f>(I1476-SUM($J$1458:$J$1513))*G1476/H1476</f>
        <v>6.487100168350168</v>
      </c>
      <c r="L1476" s="1">
        <f>INT(K1476)</f>
        <v>6</v>
      </c>
      <c r="M1476" s="3">
        <f>K1476-L1476</f>
        <v>0.48710016835016834</v>
      </c>
      <c r="N1476" s="1">
        <f>COUNTIF($M$1458:$M$1513,"&gt;"&amp;M1476)+COUNTIF($M$1458:M1476,M1476)</f>
        <v>28</v>
      </c>
      <c r="O1476" s="1">
        <f>J1476+L1476+IF(N1476&lt;=I1476-SUM($J$1458:$J$1513)-SUM($L$1458:$L$1513),1,0)</f>
        <v>17</v>
      </c>
    </row>
    <row r="1477" spans="1:15">
      <c r="A1477" s="1" t="s">
        <v>74</v>
      </c>
      <c r="B1477" s="1" t="s">
        <v>80</v>
      </c>
      <c r="C1477" s="1" t="s">
        <v>38</v>
      </c>
      <c r="D1477" s="1" t="s">
        <v>49</v>
      </c>
      <c r="E1477" s="1" t="s">
        <v>44</v>
      </c>
      <c r="F1477" s="1" t="s">
        <v>42</v>
      </c>
      <c r="G1477" s="1">
        <v>2516</v>
      </c>
      <c r="H1477" s="1">
        <f>'1_Departamento_n'!C28</f>
        <v>332640</v>
      </c>
      <c r="I1477" s="1">
        <f>'1_Departamento_n'!H28</f>
        <v>1309</v>
      </c>
      <c r="J1477" s="1">
        <f>'0_Parametros'!B7</f>
        <v>10</v>
      </c>
      <c r="K1477" s="3">
        <f>(I1477-SUM($J$1458:$J$1513))*G1477/H1477</f>
        <v>5.66523569023569</v>
      </c>
      <c r="L1477" s="1">
        <f>INT(K1477)</f>
        <v>5</v>
      </c>
      <c r="M1477" s="3">
        <f>K1477-L1477</f>
        <v>0.66523569023569</v>
      </c>
      <c r="N1477" s="1">
        <f>COUNTIF($M$1458:$M$1513,"&gt;"&amp;M1477)+COUNTIF($M$1458:M1477,M1477)</f>
        <v>20</v>
      </c>
      <c r="O1477" s="1">
        <f>J1477+L1477+IF(N1477&lt;=I1477-SUM($J$1458:$J$1513)-SUM($L$1458:$L$1513),1,0)</f>
        <v>16</v>
      </c>
    </row>
    <row r="1478" spans="1:15">
      <c r="A1478" s="1" t="s">
        <v>74</v>
      </c>
      <c r="B1478" s="1" t="s">
        <v>80</v>
      </c>
      <c r="C1478" s="1" t="s">
        <v>38</v>
      </c>
      <c r="D1478" s="1" t="s">
        <v>49</v>
      </c>
      <c r="E1478" s="1" t="s">
        <v>45</v>
      </c>
      <c r="F1478" s="1" t="s">
        <v>41</v>
      </c>
      <c r="G1478" s="1">
        <v>3736</v>
      </c>
      <c r="H1478" s="1">
        <f>'1_Departamento_n'!C28</f>
        <v>332640</v>
      </c>
      <c r="I1478" s="1">
        <f>'1_Departamento_n'!H28</f>
        <v>1309</v>
      </c>
      <c r="J1478" s="1">
        <f>'0_Parametros'!B7</f>
        <v>10</v>
      </c>
      <c r="K1478" s="3">
        <f>(I1478-SUM($J$1458:$J$1513))*G1478/H1478</f>
        <v>8.412289562289562</v>
      </c>
      <c r="L1478" s="1">
        <f>INT(K1478)</f>
        <v>8</v>
      </c>
      <c r="M1478" s="3">
        <f>K1478-L1478</f>
        <v>0.41228956228956193</v>
      </c>
      <c r="N1478" s="1">
        <f>COUNTIF($M$1458:$M$1513,"&gt;"&amp;M1478)+COUNTIF($M$1458:M1478,M1478)</f>
        <v>34</v>
      </c>
      <c r="O1478" s="1">
        <f>J1478+L1478+IF(N1478&lt;=I1478-SUM($J$1458:$J$1513)-SUM($L$1458:$L$1513),1,0)</f>
        <v>18</v>
      </c>
    </row>
    <row r="1479" spans="1:15">
      <c r="A1479" s="1" t="s">
        <v>74</v>
      </c>
      <c r="B1479" s="1" t="s">
        <v>80</v>
      </c>
      <c r="C1479" s="1" t="s">
        <v>38</v>
      </c>
      <c r="D1479" s="1" t="s">
        <v>49</v>
      </c>
      <c r="E1479" s="1" t="s">
        <v>45</v>
      </c>
      <c r="F1479" s="1" t="s">
        <v>42</v>
      </c>
      <c r="G1479" s="1">
        <v>2897</v>
      </c>
      <c r="H1479" s="1">
        <f>'1_Departamento_n'!C28</f>
        <v>332640</v>
      </c>
      <c r="I1479" s="1">
        <f>'1_Departamento_n'!H28</f>
        <v>1309</v>
      </c>
      <c r="J1479" s="1">
        <f>'0_Parametros'!B7</f>
        <v>10</v>
      </c>
      <c r="K1479" s="3">
        <f>(I1479-SUM($J$1458:$J$1513))*G1479/H1479</f>
        <v>6.523127104377104</v>
      </c>
      <c r="L1479" s="1">
        <f>INT(K1479)</f>
        <v>6</v>
      </c>
      <c r="M1479" s="3">
        <f>K1479-L1479</f>
        <v>0.523127104377104</v>
      </c>
      <c r="N1479" s="1">
        <f>COUNTIF($M$1458:$M$1513,"&gt;"&amp;M1479)+COUNTIF($M$1458:M1479,M1479)</f>
        <v>24</v>
      </c>
      <c r="O1479" s="1">
        <f>J1479+L1479+IF(N1479&lt;=I1479-SUM($J$1458:$J$1513)-SUM($L$1458:$L$1513),1,0)</f>
        <v>17</v>
      </c>
    </row>
    <row r="1480" spans="1:15">
      <c r="A1480" s="1" t="s">
        <v>74</v>
      </c>
      <c r="B1480" s="1" t="s">
        <v>80</v>
      </c>
      <c r="C1480" s="1" t="s">
        <v>38</v>
      </c>
      <c r="D1480" s="1" t="s">
        <v>49</v>
      </c>
      <c r="E1480" s="1" t="s">
        <v>46</v>
      </c>
      <c r="F1480" s="1" t="s">
        <v>41</v>
      </c>
      <c r="G1480" s="1">
        <v>3080</v>
      </c>
      <c r="H1480" s="1">
        <f>'1_Departamento_n'!C28</f>
        <v>332640</v>
      </c>
      <c r="I1480" s="1">
        <f>'1_Departamento_n'!H28</f>
        <v>1309</v>
      </c>
      <c r="J1480" s="1">
        <f>'0_Parametros'!B7</f>
        <v>10</v>
      </c>
      <c r="K1480" s="3">
        <f>(I1480-SUM($J$1458:$J$1513))*G1480/H1480</f>
        <v>6.935185185185185</v>
      </c>
      <c r="L1480" s="1">
        <f>INT(K1480)</f>
        <v>6</v>
      </c>
      <c r="M1480" s="3">
        <f>K1480-L1480</f>
        <v>0.9351851851851851</v>
      </c>
      <c r="N1480" s="1">
        <f>COUNTIF($M$1458:$M$1513,"&gt;"&amp;M1480)+COUNTIF($M$1458:M1480,M1480)</f>
        <v>3</v>
      </c>
      <c r="O1480" s="1">
        <f>J1480+L1480+IF(N1480&lt;=I1480-SUM($J$1458:$J$1513)-SUM($L$1458:$L$1513),1,0)</f>
        <v>17</v>
      </c>
    </row>
    <row r="1481" spans="1:15">
      <c r="A1481" s="1" t="s">
        <v>74</v>
      </c>
      <c r="B1481" s="1" t="s">
        <v>80</v>
      </c>
      <c r="C1481" s="1" t="s">
        <v>38</v>
      </c>
      <c r="D1481" s="1" t="s">
        <v>49</v>
      </c>
      <c r="E1481" s="1" t="s">
        <v>46</v>
      </c>
      <c r="F1481" s="1" t="s">
        <v>42</v>
      </c>
      <c r="G1481" s="1">
        <v>1862</v>
      </c>
      <c r="H1481" s="1">
        <f>'1_Departamento_n'!C28</f>
        <v>332640</v>
      </c>
      <c r="I1481" s="1">
        <f>'1_Departamento_n'!H28</f>
        <v>1309</v>
      </c>
      <c r="J1481" s="1">
        <f>'0_Parametros'!B7</f>
        <v>10</v>
      </c>
      <c r="K1481" s="3">
        <f>(I1481-SUM($J$1458:$J$1513))*G1481/H1481</f>
        <v>4.19263468013468</v>
      </c>
      <c r="L1481" s="1">
        <f>INT(K1481)</f>
        <v>4</v>
      </c>
      <c r="M1481" s="3">
        <f>K1481-L1481</f>
        <v>0.1926346801346801</v>
      </c>
      <c r="N1481" s="1">
        <f>COUNTIF($M$1458:$M$1513,"&gt;"&amp;M1481)+COUNTIF($M$1458:M1481,M1481)</f>
        <v>49</v>
      </c>
      <c r="O1481" s="1">
        <f>J1481+L1481+IF(N1481&lt;=I1481-SUM($J$1458:$J$1513)-SUM($L$1458:$L$1513),1,0)</f>
        <v>14</v>
      </c>
    </row>
    <row r="1482" spans="1:15">
      <c r="A1482" s="1" t="s">
        <v>74</v>
      </c>
      <c r="B1482" s="1" t="s">
        <v>80</v>
      </c>
      <c r="C1482" s="1" t="s">
        <v>38</v>
      </c>
      <c r="D1482" s="1" t="s">
        <v>49</v>
      </c>
      <c r="E1482" s="1" t="s">
        <v>47</v>
      </c>
      <c r="F1482" s="1" t="s">
        <v>41</v>
      </c>
      <c r="G1482" s="1">
        <v>1860</v>
      </c>
      <c r="H1482" s="1">
        <f>'1_Departamento_n'!C28</f>
        <v>332640</v>
      </c>
      <c r="I1482" s="1">
        <f>'1_Departamento_n'!H28</f>
        <v>1309</v>
      </c>
      <c r="J1482" s="1">
        <f>'0_Parametros'!B7</f>
        <v>10</v>
      </c>
      <c r="K1482" s="3">
        <f>(I1482-SUM($J$1458:$J$1513))*G1482/H1482</f>
        <v>4.188131313131313</v>
      </c>
      <c r="L1482" s="1">
        <f>INT(K1482)</f>
        <v>4</v>
      </c>
      <c r="M1482" s="3">
        <f>K1482-L1482</f>
        <v>0.18813131313131315</v>
      </c>
      <c r="N1482" s="1">
        <f>COUNTIF($M$1458:$M$1513,"&gt;"&amp;M1482)+COUNTIF($M$1458:M1482,M1482)</f>
        <v>50</v>
      </c>
      <c r="O1482" s="1">
        <f>J1482+L1482+IF(N1482&lt;=I1482-SUM($J$1458:$J$1513)-SUM($L$1458:$L$1513),1,0)</f>
        <v>14</v>
      </c>
    </row>
    <row r="1483" spans="1:15">
      <c r="A1483" s="1" t="s">
        <v>74</v>
      </c>
      <c r="B1483" s="1" t="s">
        <v>80</v>
      </c>
      <c r="C1483" s="1" t="s">
        <v>38</v>
      </c>
      <c r="D1483" s="1" t="s">
        <v>49</v>
      </c>
      <c r="E1483" s="1" t="s">
        <v>47</v>
      </c>
      <c r="F1483" s="1" t="s">
        <v>42</v>
      </c>
      <c r="G1483" s="1">
        <v>926</v>
      </c>
      <c r="H1483" s="1">
        <f>'1_Departamento_n'!C28</f>
        <v>332640</v>
      </c>
      <c r="I1483" s="1">
        <f>'1_Departamento_n'!H28</f>
        <v>1309</v>
      </c>
      <c r="J1483" s="1">
        <f>'0_Parametros'!B7</f>
        <v>10</v>
      </c>
      <c r="K1483" s="3">
        <f>(I1483-SUM($J$1458:$J$1513))*G1483/H1483</f>
        <v>2.0850589225589227</v>
      </c>
      <c r="L1483" s="1">
        <f>INT(K1483)</f>
        <v>2</v>
      </c>
      <c r="M1483" s="3">
        <f>K1483-L1483</f>
        <v>0.08505892255892267</v>
      </c>
      <c r="N1483" s="1">
        <f>COUNTIF($M$1458:$M$1513,"&gt;"&amp;M1483)+COUNTIF($M$1458:M1483,M1483)</f>
        <v>53</v>
      </c>
      <c r="O1483" s="1">
        <f>J1483+L1483+IF(N1483&lt;=I1483-SUM($J$1458:$J$1513)-SUM($L$1458:$L$1513),1,0)</f>
        <v>12</v>
      </c>
    </row>
    <row r="1484" spans="1:15">
      <c r="A1484" s="1" t="s">
        <v>74</v>
      </c>
      <c r="B1484" s="1" t="s">
        <v>80</v>
      </c>
      <c r="C1484" s="1" t="s">
        <v>38</v>
      </c>
      <c r="D1484" s="1" t="s">
        <v>49</v>
      </c>
      <c r="E1484" s="1" t="s">
        <v>48</v>
      </c>
      <c r="F1484" s="1" t="s">
        <v>41</v>
      </c>
      <c r="G1484" s="1">
        <v>1736</v>
      </c>
      <c r="H1484" s="1">
        <f>'1_Departamento_n'!C28</f>
        <v>332640</v>
      </c>
      <c r="I1484" s="1">
        <f>'1_Departamento_n'!H28</f>
        <v>1309</v>
      </c>
      <c r="J1484" s="1">
        <f>'0_Parametros'!B7</f>
        <v>10</v>
      </c>
      <c r="K1484" s="3">
        <f>(I1484-SUM($J$1458:$J$1513))*G1484/H1484</f>
        <v>3.908922558922559</v>
      </c>
      <c r="L1484" s="1">
        <f>INT(K1484)</f>
        <v>3</v>
      </c>
      <c r="M1484" s="3">
        <f>K1484-L1484</f>
        <v>0.9089225589225589</v>
      </c>
      <c r="N1484" s="1">
        <f>COUNTIF($M$1458:$M$1513,"&gt;"&amp;M1484)+COUNTIF($M$1458:M1484,M1484)</f>
        <v>7</v>
      </c>
      <c r="O1484" s="1">
        <f>J1484+L1484+IF(N1484&lt;=I1484-SUM($J$1458:$J$1513)-SUM($L$1458:$L$1513),1,0)</f>
        <v>14</v>
      </c>
    </row>
    <row r="1485" spans="1:15">
      <c r="A1485" s="1" t="s">
        <v>74</v>
      </c>
      <c r="B1485" s="1" t="s">
        <v>80</v>
      </c>
      <c r="C1485" s="1" t="s">
        <v>38</v>
      </c>
      <c r="D1485" s="1" t="s">
        <v>49</v>
      </c>
      <c r="E1485" s="1" t="s">
        <v>48</v>
      </c>
      <c r="F1485" s="1" t="s">
        <v>42</v>
      </c>
      <c r="G1485" s="1">
        <v>548</v>
      </c>
      <c r="H1485" s="1">
        <f>'1_Departamento_n'!C28</f>
        <v>332640</v>
      </c>
      <c r="I1485" s="1">
        <f>'1_Departamento_n'!H28</f>
        <v>1309</v>
      </c>
      <c r="J1485" s="1">
        <f>'0_Parametros'!B7</f>
        <v>10</v>
      </c>
      <c r="K1485" s="3">
        <f>(I1485-SUM($J$1458:$J$1513))*G1485/H1485</f>
        <v>1.2339225589225589</v>
      </c>
      <c r="L1485" s="1">
        <f>INT(K1485)</f>
        <v>1</v>
      </c>
      <c r="M1485" s="3">
        <f>K1485-L1485</f>
        <v>0.23392255892255887</v>
      </c>
      <c r="N1485" s="1">
        <f>COUNTIF($M$1458:$M$1513,"&gt;"&amp;M1485)+COUNTIF($M$1458:M1485,M1485)</f>
        <v>43</v>
      </c>
      <c r="O1485" s="1">
        <f>J1485+L1485+IF(N1485&lt;=I1485-SUM($J$1458:$J$1513)-SUM($L$1458:$L$1513),1,0)</f>
        <v>11</v>
      </c>
    </row>
    <row r="1486" spans="1:15">
      <c r="A1486" s="1" t="s">
        <v>74</v>
      </c>
      <c r="B1486" s="1" t="s">
        <v>80</v>
      </c>
      <c r="C1486" s="1" t="s">
        <v>50</v>
      </c>
      <c r="D1486" s="1" t="s">
        <v>39</v>
      </c>
      <c r="E1486" s="1" t="s">
        <v>40</v>
      </c>
      <c r="F1486" s="1" t="s">
        <v>41</v>
      </c>
      <c r="G1486" s="1">
        <v>8899</v>
      </c>
      <c r="H1486" s="1">
        <f>'1_Departamento_n'!C28</f>
        <v>332640</v>
      </c>
      <c r="I1486" s="1">
        <f>'1_Departamento_n'!H28</f>
        <v>1309</v>
      </c>
      <c r="J1486" s="1">
        <f>'0_Parametros'!B7</f>
        <v>10</v>
      </c>
      <c r="K1486" s="3">
        <f>(I1486-SUM($J$1458:$J$1513))*G1486/H1486</f>
        <v>20.037731481481483</v>
      </c>
      <c r="L1486" s="1">
        <f>INT(K1486)</f>
        <v>20</v>
      </c>
      <c r="M1486" s="3">
        <f>K1486-L1486</f>
        <v>0.03773148148148309</v>
      </c>
      <c r="N1486" s="1">
        <f>COUNTIF($M$1458:$M$1513,"&gt;"&amp;M1486)+COUNTIF($M$1458:M1486,M1486)</f>
        <v>55</v>
      </c>
      <c r="O1486" s="1">
        <f>J1486+L1486+IF(N1486&lt;=I1486-SUM($J$1458:$J$1513)-SUM($L$1458:$L$1513),1,0)</f>
        <v>30</v>
      </c>
    </row>
    <row r="1487" spans="1:15">
      <c r="A1487" s="1" t="s">
        <v>74</v>
      </c>
      <c r="B1487" s="1" t="s">
        <v>80</v>
      </c>
      <c r="C1487" s="1" t="s">
        <v>50</v>
      </c>
      <c r="D1487" s="1" t="s">
        <v>39</v>
      </c>
      <c r="E1487" s="1" t="s">
        <v>40</v>
      </c>
      <c r="F1487" s="1" t="s">
        <v>42</v>
      </c>
      <c r="G1487" s="1">
        <v>10519</v>
      </c>
      <c r="H1487" s="1">
        <f>'1_Departamento_n'!C28</f>
        <v>332640</v>
      </c>
      <c r="I1487" s="1">
        <f>'1_Departamento_n'!H28</f>
        <v>1309</v>
      </c>
      <c r="J1487" s="1">
        <f>'0_Parametros'!B7</f>
        <v>10</v>
      </c>
      <c r="K1487" s="3">
        <f>(I1487-SUM($J$1458:$J$1513))*G1487/H1487</f>
        <v>23.685458754208753</v>
      </c>
      <c r="L1487" s="1">
        <f>INT(K1487)</f>
        <v>23</v>
      </c>
      <c r="M1487" s="3">
        <f>K1487-L1487</f>
        <v>0.6854587542087529</v>
      </c>
      <c r="N1487" s="1">
        <f>COUNTIF($M$1458:$M$1513,"&gt;"&amp;M1487)+COUNTIF($M$1458:M1487,M1487)</f>
        <v>17</v>
      </c>
      <c r="O1487" s="1">
        <f>J1487+L1487+IF(N1487&lt;=I1487-SUM($J$1458:$J$1513)-SUM($L$1458:$L$1513),1,0)</f>
        <v>34</v>
      </c>
    </row>
    <row r="1488" spans="1:15">
      <c r="A1488" s="1" t="s">
        <v>74</v>
      </c>
      <c r="B1488" s="1" t="s">
        <v>80</v>
      </c>
      <c r="C1488" s="1" t="s">
        <v>50</v>
      </c>
      <c r="D1488" s="1" t="s">
        <v>39</v>
      </c>
      <c r="E1488" s="1" t="s">
        <v>43</v>
      </c>
      <c r="F1488" s="1" t="s">
        <v>41</v>
      </c>
      <c r="G1488" s="1">
        <v>11415</v>
      </c>
      <c r="H1488" s="1">
        <f>'1_Departamento_n'!C28</f>
        <v>332640</v>
      </c>
      <c r="I1488" s="1">
        <f>'1_Departamento_n'!H28</f>
        <v>1309</v>
      </c>
      <c r="J1488" s="1">
        <f>'0_Parametros'!B7</f>
        <v>10</v>
      </c>
      <c r="K1488" s="3">
        <f>(I1488-SUM($J$1458:$J$1513))*G1488/H1488</f>
        <v>25.702967171717173</v>
      </c>
      <c r="L1488" s="1">
        <f>INT(K1488)</f>
        <v>25</v>
      </c>
      <c r="M1488" s="3">
        <f>K1488-L1488</f>
        <v>0.702967171717173</v>
      </c>
      <c r="N1488" s="1">
        <f>COUNTIF($M$1458:$M$1513,"&gt;"&amp;M1488)+COUNTIF($M$1458:M1488,M1488)</f>
        <v>16</v>
      </c>
      <c r="O1488" s="1">
        <f>J1488+L1488+IF(N1488&lt;=I1488-SUM($J$1458:$J$1513)-SUM($L$1458:$L$1513),1,0)</f>
        <v>36</v>
      </c>
    </row>
    <row r="1489" spans="1:15">
      <c r="A1489" s="1" t="s">
        <v>74</v>
      </c>
      <c r="B1489" s="1" t="s">
        <v>80</v>
      </c>
      <c r="C1489" s="1" t="s">
        <v>50</v>
      </c>
      <c r="D1489" s="1" t="s">
        <v>39</v>
      </c>
      <c r="E1489" s="1" t="s">
        <v>43</v>
      </c>
      <c r="F1489" s="1" t="s">
        <v>42</v>
      </c>
      <c r="G1489" s="1">
        <v>13443</v>
      </c>
      <c r="H1489" s="1">
        <f>'1_Departamento_n'!C28</f>
        <v>332640</v>
      </c>
      <c r="I1489" s="1">
        <f>'1_Departamento_n'!H28</f>
        <v>1309</v>
      </c>
      <c r="J1489" s="1">
        <f>'0_Parametros'!B7</f>
        <v>10</v>
      </c>
      <c r="K1489" s="3">
        <f>(I1489-SUM($J$1458:$J$1513))*G1489/H1489</f>
        <v>30.269381313131312</v>
      </c>
      <c r="L1489" s="1">
        <f>INT(K1489)</f>
        <v>30</v>
      </c>
      <c r="M1489" s="3">
        <f>K1489-L1489</f>
        <v>0.2693813131313121</v>
      </c>
      <c r="N1489" s="1">
        <f>COUNTIF($M$1458:$M$1513,"&gt;"&amp;M1489)+COUNTIF($M$1458:M1489,M1489)</f>
        <v>41</v>
      </c>
      <c r="O1489" s="1">
        <f>J1489+L1489+IF(N1489&lt;=I1489-SUM($J$1458:$J$1513)-SUM($L$1458:$L$1513),1,0)</f>
        <v>40</v>
      </c>
    </row>
    <row r="1490" spans="1:15">
      <c r="A1490" s="1" t="s">
        <v>74</v>
      </c>
      <c r="B1490" s="1" t="s">
        <v>80</v>
      </c>
      <c r="C1490" s="1" t="s">
        <v>50</v>
      </c>
      <c r="D1490" s="1" t="s">
        <v>39</v>
      </c>
      <c r="E1490" s="1" t="s">
        <v>44</v>
      </c>
      <c r="F1490" s="1" t="s">
        <v>41</v>
      </c>
      <c r="G1490" s="1">
        <v>12802</v>
      </c>
      <c r="H1490" s="1">
        <f>'1_Departamento_n'!C28</f>
        <v>332640</v>
      </c>
      <c r="I1490" s="1">
        <f>'1_Departamento_n'!H28</f>
        <v>1309</v>
      </c>
      <c r="J1490" s="1">
        <f>'0_Parametros'!B7</f>
        <v>10</v>
      </c>
      <c r="K1490" s="3">
        <f>(I1490-SUM($J$1458:$J$1513))*G1490/H1490</f>
        <v>28.82605218855219</v>
      </c>
      <c r="L1490" s="1">
        <f>INT(K1490)</f>
        <v>28</v>
      </c>
      <c r="M1490" s="3">
        <f>K1490-L1490</f>
        <v>0.8260521885521896</v>
      </c>
      <c r="N1490" s="1">
        <f>COUNTIF($M$1458:$M$1513,"&gt;"&amp;M1490)+COUNTIF($M$1458:M1490,M1490)</f>
        <v>11</v>
      </c>
      <c r="O1490" s="1">
        <f>J1490+L1490+IF(N1490&lt;=I1490-SUM($J$1458:$J$1513)-SUM($L$1458:$L$1513),1,0)</f>
        <v>39</v>
      </c>
    </row>
    <row r="1491" spans="1:15">
      <c r="A1491" s="1" t="s">
        <v>74</v>
      </c>
      <c r="B1491" s="1" t="s">
        <v>80</v>
      </c>
      <c r="C1491" s="1" t="s">
        <v>50</v>
      </c>
      <c r="D1491" s="1" t="s">
        <v>39</v>
      </c>
      <c r="E1491" s="1" t="s">
        <v>44</v>
      </c>
      <c r="F1491" s="1" t="s">
        <v>42</v>
      </c>
      <c r="G1491" s="1">
        <v>13726</v>
      </c>
      <c r="H1491" s="1">
        <f>'1_Departamento_n'!C28</f>
        <v>332640</v>
      </c>
      <c r="I1491" s="1">
        <f>'1_Departamento_n'!H28</f>
        <v>1309</v>
      </c>
      <c r="J1491" s="1">
        <f>'0_Parametros'!B7</f>
        <v>10</v>
      </c>
      <c r="K1491" s="3">
        <f>(I1491-SUM($J$1458:$J$1513))*G1491/H1491</f>
        <v>30.906607744107745</v>
      </c>
      <c r="L1491" s="1">
        <f>INT(K1491)</f>
        <v>30</v>
      </c>
      <c r="M1491" s="3">
        <f>K1491-L1491</f>
        <v>0.9066077441077454</v>
      </c>
      <c r="N1491" s="1">
        <f>COUNTIF($M$1458:$M$1513,"&gt;"&amp;M1491)+COUNTIF($M$1458:M1491,M1491)</f>
        <v>8</v>
      </c>
      <c r="O1491" s="1">
        <f>J1491+L1491+IF(N1491&lt;=I1491-SUM($J$1458:$J$1513)-SUM($L$1458:$L$1513),1,0)</f>
        <v>41</v>
      </c>
    </row>
    <row r="1492" spans="1:15">
      <c r="A1492" s="1" t="s">
        <v>74</v>
      </c>
      <c r="B1492" s="1" t="s">
        <v>80</v>
      </c>
      <c r="C1492" s="1" t="s">
        <v>50</v>
      </c>
      <c r="D1492" s="1" t="s">
        <v>39</v>
      </c>
      <c r="E1492" s="1" t="s">
        <v>45</v>
      </c>
      <c r="F1492" s="1" t="s">
        <v>41</v>
      </c>
      <c r="G1492" s="1">
        <v>10982</v>
      </c>
      <c r="H1492" s="1">
        <f>'1_Departamento_n'!C28</f>
        <v>332640</v>
      </c>
      <c r="I1492" s="1">
        <f>'1_Departamento_n'!H28</f>
        <v>1309</v>
      </c>
      <c r="J1492" s="1">
        <f>'0_Parametros'!B7</f>
        <v>10</v>
      </c>
      <c r="K1492" s="3">
        <f>(I1492-SUM($J$1458:$J$1513))*G1492/H1492</f>
        <v>24.727988215488214</v>
      </c>
      <c r="L1492" s="1">
        <f>INT(K1492)</f>
        <v>24</v>
      </c>
      <c r="M1492" s="3">
        <f>K1492-L1492</f>
        <v>0.7279882154882138</v>
      </c>
      <c r="N1492" s="1">
        <f>COUNTIF($M$1458:$M$1513,"&gt;"&amp;M1492)+COUNTIF($M$1458:M1492,M1492)</f>
        <v>15</v>
      </c>
      <c r="O1492" s="1">
        <f>J1492+L1492+IF(N1492&lt;=I1492-SUM($J$1458:$J$1513)-SUM($L$1458:$L$1513),1,0)</f>
        <v>35</v>
      </c>
    </row>
    <row r="1493" spans="1:15">
      <c r="A1493" s="1" t="s">
        <v>74</v>
      </c>
      <c r="B1493" s="1" t="s">
        <v>80</v>
      </c>
      <c r="C1493" s="1" t="s">
        <v>50</v>
      </c>
      <c r="D1493" s="1" t="s">
        <v>39</v>
      </c>
      <c r="E1493" s="1" t="s">
        <v>45</v>
      </c>
      <c r="F1493" s="1" t="s">
        <v>42</v>
      </c>
      <c r="G1493" s="1">
        <v>10767</v>
      </c>
      <c r="H1493" s="1">
        <f>'1_Departamento_n'!C28</f>
        <v>332640</v>
      </c>
      <c r="I1493" s="1">
        <f>'1_Departamento_n'!H28</f>
        <v>1309</v>
      </c>
      <c r="J1493" s="1">
        <f>'0_Parametros'!B7</f>
        <v>10</v>
      </c>
      <c r="K1493" s="3">
        <f>(I1493-SUM($J$1458:$J$1513))*G1493/H1493</f>
        <v>24.243876262626262</v>
      </c>
      <c r="L1493" s="1">
        <f>INT(K1493)</f>
        <v>24</v>
      </c>
      <c r="M1493" s="3">
        <f>K1493-L1493</f>
        <v>0.24387626262626227</v>
      </c>
      <c r="N1493" s="1">
        <f>COUNTIF($M$1458:$M$1513,"&gt;"&amp;M1493)+COUNTIF($M$1458:M1493,M1493)</f>
        <v>42</v>
      </c>
      <c r="O1493" s="1">
        <f>J1493+L1493+IF(N1493&lt;=I1493-SUM($J$1458:$J$1513)-SUM($L$1458:$L$1513),1,0)</f>
        <v>34</v>
      </c>
    </row>
    <row r="1494" spans="1:15">
      <c r="A1494" s="1" t="s">
        <v>74</v>
      </c>
      <c r="B1494" s="1" t="s">
        <v>80</v>
      </c>
      <c r="C1494" s="1" t="s">
        <v>50</v>
      </c>
      <c r="D1494" s="1" t="s">
        <v>39</v>
      </c>
      <c r="E1494" s="1" t="s">
        <v>46</v>
      </c>
      <c r="F1494" s="1" t="s">
        <v>41</v>
      </c>
      <c r="G1494" s="1">
        <v>9301</v>
      </c>
      <c r="H1494" s="1">
        <f>'1_Departamento_n'!C28</f>
        <v>332640</v>
      </c>
      <c r="I1494" s="1">
        <f>'1_Departamento_n'!H28</f>
        <v>1309</v>
      </c>
      <c r="J1494" s="1">
        <f>'0_Parametros'!B7</f>
        <v>10</v>
      </c>
      <c r="K1494" s="3">
        <f>(I1494-SUM($J$1458:$J$1513))*G1494/H1494</f>
        <v>20.94290824915825</v>
      </c>
      <c r="L1494" s="1">
        <f>INT(K1494)</f>
        <v>20</v>
      </c>
      <c r="M1494" s="3">
        <f>K1494-L1494</f>
        <v>0.9429082491582506</v>
      </c>
      <c r="N1494" s="1">
        <f>COUNTIF($M$1458:$M$1513,"&gt;"&amp;M1494)+COUNTIF($M$1458:M1494,M1494)</f>
        <v>2</v>
      </c>
      <c r="O1494" s="1">
        <f>J1494+L1494+IF(N1494&lt;=I1494-SUM($J$1458:$J$1513)-SUM($L$1458:$L$1513),1,0)</f>
        <v>31</v>
      </c>
    </row>
    <row r="1495" spans="1:15">
      <c r="A1495" s="1" t="s">
        <v>74</v>
      </c>
      <c r="B1495" s="1" t="s">
        <v>80</v>
      </c>
      <c r="C1495" s="1" t="s">
        <v>50</v>
      </c>
      <c r="D1495" s="1" t="s">
        <v>39</v>
      </c>
      <c r="E1495" s="1" t="s">
        <v>46</v>
      </c>
      <c r="F1495" s="1" t="s">
        <v>42</v>
      </c>
      <c r="G1495" s="1">
        <v>9425</v>
      </c>
      <c r="H1495" s="1">
        <f>'1_Departamento_n'!C28</f>
        <v>332640</v>
      </c>
      <c r="I1495" s="1">
        <f>'1_Departamento_n'!H28</f>
        <v>1309</v>
      </c>
      <c r="J1495" s="1">
        <f>'0_Parametros'!B7</f>
        <v>10</v>
      </c>
      <c r="K1495" s="3">
        <f>(I1495-SUM($J$1458:$J$1513))*G1495/H1495</f>
        <v>21.222117003367003</v>
      </c>
      <c r="L1495" s="1">
        <f>INT(K1495)</f>
        <v>21</v>
      </c>
      <c r="M1495" s="3">
        <f>K1495-L1495</f>
        <v>0.22211700336700346</v>
      </c>
      <c r="N1495" s="1">
        <f>COUNTIF($M$1458:$M$1513,"&gt;"&amp;M1495)+COUNTIF($M$1458:M1495,M1495)</f>
        <v>45</v>
      </c>
      <c r="O1495" s="1">
        <f>J1495+L1495+IF(N1495&lt;=I1495-SUM($J$1458:$J$1513)-SUM($L$1458:$L$1513),1,0)</f>
        <v>31</v>
      </c>
    </row>
    <row r="1496" spans="1:15">
      <c r="A1496" s="1" t="s">
        <v>74</v>
      </c>
      <c r="B1496" s="1" t="s">
        <v>80</v>
      </c>
      <c r="C1496" s="1" t="s">
        <v>50</v>
      </c>
      <c r="D1496" s="1" t="s">
        <v>39</v>
      </c>
      <c r="E1496" s="1" t="s">
        <v>47</v>
      </c>
      <c r="F1496" s="1" t="s">
        <v>41</v>
      </c>
      <c r="G1496" s="1">
        <v>7073</v>
      </c>
      <c r="H1496" s="1">
        <f>'1_Departamento_n'!C28</f>
        <v>332640</v>
      </c>
      <c r="I1496" s="1">
        <f>'1_Departamento_n'!H28</f>
        <v>1309</v>
      </c>
      <c r="J1496" s="1">
        <f>'0_Parametros'!B7</f>
        <v>10</v>
      </c>
      <c r="K1496" s="3">
        <f>(I1496-SUM($J$1458:$J$1513))*G1496/H1496</f>
        <v>15.926157407407407</v>
      </c>
      <c r="L1496" s="1">
        <f>INT(K1496)</f>
        <v>15</v>
      </c>
      <c r="M1496" s="3">
        <f>K1496-L1496</f>
        <v>0.9261574074074073</v>
      </c>
      <c r="N1496" s="1">
        <f>COUNTIF($M$1458:$M$1513,"&gt;"&amp;M1496)+COUNTIF($M$1458:M1496,M1496)</f>
        <v>5</v>
      </c>
      <c r="O1496" s="1">
        <f>J1496+L1496+IF(N1496&lt;=I1496-SUM($J$1458:$J$1513)-SUM($L$1458:$L$1513),1,0)</f>
        <v>26</v>
      </c>
    </row>
    <row r="1497" spans="1:15">
      <c r="A1497" s="1" t="s">
        <v>74</v>
      </c>
      <c r="B1497" s="1" t="s">
        <v>80</v>
      </c>
      <c r="C1497" s="1" t="s">
        <v>50</v>
      </c>
      <c r="D1497" s="1" t="s">
        <v>39</v>
      </c>
      <c r="E1497" s="1" t="s">
        <v>47</v>
      </c>
      <c r="F1497" s="1" t="s">
        <v>42</v>
      </c>
      <c r="G1497" s="1">
        <v>7158</v>
      </c>
      <c r="H1497" s="1">
        <f>'1_Departamento_n'!C28</f>
        <v>332640</v>
      </c>
      <c r="I1497" s="1">
        <f>'1_Departamento_n'!H28</f>
        <v>1309</v>
      </c>
      <c r="J1497" s="1">
        <f>'0_Parametros'!B7</f>
        <v>10</v>
      </c>
      <c r="K1497" s="3">
        <f>(I1497-SUM($J$1458:$J$1513))*G1497/H1497</f>
        <v>16.117550505050506</v>
      </c>
      <c r="L1497" s="1">
        <f>INT(K1497)</f>
        <v>16</v>
      </c>
      <c r="M1497" s="3">
        <f>K1497-L1497</f>
        <v>0.1175505050505059</v>
      </c>
      <c r="N1497" s="1">
        <f>COUNTIF($M$1458:$M$1513,"&gt;"&amp;M1497)+COUNTIF($M$1458:M1497,M1497)</f>
        <v>51</v>
      </c>
      <c r="O1497" s="1">
        <f>J1497+L1497+IF(N1497&lt;=I1497-SUM($J$1458:$J$1513)-SUM($L$1458:$L$1513),1,0)</f>
        <v>26</v>
      </c>
    </row>
    <row r="1498" spans="1:15">
      <c r="A1498" s="1" t="s">
        <v>74</v>
      </c>
      <c r="B1498" s="1" t="s">
        <v>80</v>
      </c>
      <c r="C1498" s="1" t="s">
        <v>50</v>
      </c>
      <c r="D1498" s="1" t="s">
        <v>39</v>
      </c>
      <c r="E1498" s="1" t="s">
        <v>48</v>
      </c>
      <c r="F1498" s="1" t="s">
        <v>41</v>
      </c>
      <c r="G1498" s="1">
        <v>8043</v>
      </c>
      <c r="H1498" s="1">
        <f>'1_Departamento_n'!C28</f>
        <v>332640</v>
      </c>
      <c r="I1498" s="1">
        <f>'1_Departamento_n'!H28</f>
        <v>1309</v>
      </c>
      <c r="J1498" s="1">
        <f>'0_Parametros'!B7</f>
        <v>10</v>
      </c>
      <c r="K1498" s="3">
        <f>(I1498-SUM($J$1458:$J$1513))*G1498/H1498</f>
        <v>18.110290404040406</v>
      </c>
      <c r="L1498" s="1">
        <f>INT(K1498)</f>
        <v>18</v>
      </c>
      <c r="M1498" s="3">
        <f>K1498-L1498</f>
        <v>0.11029040404040558</v>
      </c>
      <c r="N1498" s="1">
        <f>COUNTIF($M$1458:$M$1513,"&gt;"&amp;M1498)+COUNTIF($M$1458:M1498,M1498)</f>
        <v>52</v>
      </c>
      <c r="O1498" s="1">
        <f>J1498+L1498+IF(N1498&lt;=I1498-SUM($J$1458:$J$1513)-SUM($L$1458:$L$1513),1,0)</f>
        <v>28</v>
      </c>
    </row>
    <row r="1499" spans="1:15">
      <c r="A1499" s="1" t="s">
        <v>74</v>
      </c>
      <c r="B1499" s="1" t="s">
        <v>80</v>
      </c>
      <c r="C1499" s="1" t="s">
        <v>50</v>
      </c>
      <c r="D1499" s="1" t="s">
        <v>39</v>
      </c>
      <c r="E1499" s="1" t="s">
        <v>48</v>
      </c>
      <c r="F1499" s="1" t="s">
        <v>42</v>
      </c>
      <c r="G1499" s="1">
        <v>8983</v>
      </c>
      <c r="H1499" s="1">
        <f>'1_Departamento_n'!C28</f>
        <v>332640</v>
      </c>
      <c r="I1499" s="1">
        <f>'1_Departamento_n'!H28</f>
        <v>1309</v>
      </c>
      <c r="J1499" s="1">
        <f>'0_Parametros'!B7</f>
        <v>10</v>
      </c>
      <c r="K1499" s="3">
        <f>(I1499-SUM($J$1458:$J$1513))*G1499/H1499</f>
        <v>20.226872895622897</v>
      </c>
      <c r="L1499" s="1">
        <f>INT(K1499)</f>
        <v>20</v>
      </c>
      <c r="M1499" s="3">
        <f>K1499-L1499</f>
        <v>0.22687289562289692</v>
      </c>
      <c r="N1499" s="1">
        <f>COUNTIF($M$1458:$M$1513,"&gt;"&amp;M1499)+COUNTIF($M$1458:M1499,M1499)</f>
        <v>44</v>
      </c>
      <c r="O1499" s="1">
        <f>J1499+L1499+IF(N1499&lt;=I1499-SUM($J$1458:$J$1513)-SUM($L$1458:$L$1513),1,0)</f>
        <v>30</v>
      </c>
    </row>
    <row r="1500" spans="1:15">
      <c r="A1500" s="1" t="s">
        <v>74</v>
      </c>
      <c r="B1500" s="1" t="s">
        <v>80</v>
      </c>
      <c r="C1500" s="1" t="s">
        <v>50</v>
      </c>
      <c r="D1500" s="1" t="s">
        <v>49</v>
      </c>
      <c r="E1500" s="1" t="s">
        <v>40</v>
      </c>
      <c r="F1500" s="1" t="s">
        <v>41</v>
      </c>
      <c r="G1500" s="1">
        <v>9423</v>
      </c>
      <c r="H1500" s="1">
        <f>'1_Departamento_n'!C28</f>
        <v>332640</v>
      </c>
      <c r="I1500" s="1">
        <f>'1_Departamento_n'!H28</f>
        <v>1309</v>
      </c>
      <c r="J1500" s="1">
        <f>'0_Parametros'!B7</f>
        <v>10</v>
      </c>
      <c r="K1500" s="3">
        <f>(I1500-SUM($J$1458:$J$1513))*G1500/H1500</f>
        <v>21.217613636363637</v>
      </c>
      <c r="L1500" s="1">
        <f>INT(K1500)</f>
        <v>21</v>
      </c>
      <c r="M1500" s="3">
        <f>K1500-L1500</f>
        <v>0.2176136363636374</v>
      </c>
      <c r="N1500" s="1">
        <f>COUNTIF($M$1458:$M$1513,"&gt;"&amp;M1500)+COUNTIF($M$1458:M1500,M1500)</f>
        <v>46</v>
      </c>
      <c r="O1500" s="1">
        <f>J1500+L1500+IF(N1500&lt;=I1500-SUM($J$1458:$J$1513)-SUM($L$1458:$L$1513),1,0)</f>
        <v>31</v>
      </c>
    </row>
    <row r="1501" spans="1:15">
      <c r="A1501" s="1" t="s">
        <v>74</v>
      </c>
      <c r="B1501" s="1" t="s">
        <v>80</v>
      </c>
      <c r="C1501" s="1" t="s">
        <v>50</v>
      </c>
      <c r="D1501" s="1" t="s">
        <v>49</v>
      </c>
      <c r="E1501" s="1" t="s">
        <v>40</v>
      </c>
      <c r="F1501" s="1" t="s">
        <v>42</v>
      </c>
      <c r="G1501" s="1">
        <v>10900</v>
      </c>
      <c r="H1501" s="1">
        <f>'1_Departamento_n'!C28</f>
        <v>332640</v>
      </c>
      <c r="I1501" s="1">
        <f>'1_Departamento_n'!H28</f>
        <v>1309</v>
      </c>
      <c r="J1501" s="1">
        <f>'0_Parametros'!B7</f>
        <v>10</v>
      </c>
      <c r="K1501" s="3">
        <f>(I1501-SUM($J$1458:$J$1513))*G1501/H1501</f>
        <v>24.54335016835017</v>
      </c>
      <c r="L1501" s="1">
        <f>INT(K1501)</f>
        <v>24</v>
      </c>
      <c r="M1501" s="3">
        <f>K1501-L1501</f>
        <v>0.5433501683501696</v>
      </c>
      <c r="N1501" s="1">
        <f>COUNTIF($M$1458:$M$1513,"&gt;"&amp;M1501)+COUNTIF($M$1458:M1501,M1501)</f>
        <v>22</v>
      </c>
      <c r="O1501" s="1">
        <f>J1501+L1501+IF(N1501&lt;=I1501-SUM($J$1458:$J$1513)-SUM($L$1458:$L$1513),1,0)</f>
        <v>35</v>
      </c>
    </row>
    <row r="1502" spans="1:15">
      <c r="A1502" s="1" t="s">
        <v>74</v>
      </c>
      <c r="B1502" s="1" t="s">
        <v>80</v>
      </c>
      <c r="C1502" s="1" t="s">
        <v>50</v>
      </c>
      <c r="D1502" s="1" t="s">
        <v>49</v>
      </c>
      <c r="E1502" s="1" t="s">
        <v>43</v>
      </c>
      <c r="F1502" s="1" t="s">
        <v>41</v>
      </c>
      <c r="G1502" s="1">
        <v>11446</v>
      </c>
      <c r="H1502" s="1">
        <f>'1_Departamento_n'!C28</f>
        <v>332640</v>
      </c>
      <c r="I1502" s="1">
        <f>'1_Departamento_n'!H28</f>
        <v>1309</v>
      </c>
      <c r="J1502" s="1">
        <f>'0_Parametros'!B7</f>
        <v>10</v>
      </c>
      <c r="K1502" s="3">
        <f>(I1502-SUM($J$1458:$J$1513))*G1502/H1502</f>
        <v>25.77276936026936</v>
      </c>
      <c r="L1502" s="1">
        <f>INT(K1502)</f>
        <v>25</v>
      </c>
      <c r="M1502" s="3">
        <f>K1502-L1502</f>
        <v>0.7727693602693613</v>
      </c>
      <c r="N1502" s="1">
        <f>COUNTIF($M$1458:$M$1513,"&gt;"&amp;M1502)+COUNTIF($M$1458:M1502,M1502)</f>
        <v>12</v>
      </c>
      <c r="O1502" s="1">
        <f>J1502+L1502+IF(N1502&lt;=I1502-SUM($J$1458:$J$1513)-SUM($L$1458:$L$1513),1,0)</f>
        <v>36</v>
      </c>
    </row>
    <row r="1503" spans="1:15">
      <c r="A1503" s="1" t="s">
        <v>74</v>
      </c>
      <c r="B1503" s="1" t="s">
        <v>80</v>
      </c>
      <c r="C1503" s="1" t="s">
        <v>50</v>
      </c>
      <c r="D1503" s="1" t="s">
        <v>49</v>
      </c>
      <c r="E1503" s="1" t="s">
        <v>43</v>
      </c>
      <c r="F1503" s="1" t="s">
        <v>42</v>
      </c>
      <c r="G1503" s="1">
        <v>13909</v>
      </c>
      <c r="H1503" s="1">
        <f>'1_Departamento_n'!C28</f>
        <v>332640</v>
      </c>
      <c r="I1503" s="1">
        <f>'1_Departamento_n'!H28</f>
        <v>1309</v>
      </c>
      <c r="J1503" s="1">
        <f>'0_Parametros'!B7</f>
        <v>10</v>
      </c>
      <c r="K1503" s="3">
        <f>(I1503-SUM($J$1458:$J$1513))*G1503/H1503</f>
        <v>31.318665824915826</v>
      </c>
      <c r="L1503" s="1">
        <f>INT(K1503)</f>
        <v>31</v>
      </c>
      <c r="M1503" s="3">
        <f>K1503-L1503</f>
        <v>0.3186658249158256</v>
      </c>
      <c r="N1503" s="1">
        <f>COUNTIF($M$1458:$M$1513,"&gt;"&amp;M1503)+COUNTIF($M$1458:M1503,M1503)</f>
        <v>39</v>
      </c>
      <c r="O1503" s="1">
        <f>J1503+L1503+IF(N1503&lt;=I1503-SUM($J$1458:$J$1513)-SUM($L$1458:$L$1513),1,0)</f>
        <v>41</v>
      </c>
    </row>
    <row r="1504" spans="1:15">
      <c r="A1504" s="1" t="s">
        <v>74</v>
      </c>
      <c r="B1504" s="1" t="s">
        <v>80</v>
      </c>
      <c r="C1504" s="1" t="s">
        <v>50</v>
      </c>
      <c r="D1504" s="1" t="s">
        <v>49</v>
      </c>
      <c r="E1504" s="1" t="s">
        <v>44</v>
      </c>
      <c r="F1504" s="1" t="s">
        <v>41</v>
      </c>
      <c r="G1504" s="1">
        <v>10832</v>
      </c>
      <c r="H1504" s="1">
        <f>'1_Departamento_n'!C28</f>
        <v>332640</v>
      </c>
      <c r="I1504" s="1">
        <f>'1_Departamento_n'!H28</f>
        <v>1309</v>
      </c>
      <c r="J1504" s="1">
        <f>'0_Parametros'!B7</f>
        <v>10</v>
      </c>
      <c r="K1504" s="3">
        <f>(I1504-SUM($J$1458:$J$1513))*G1504/H1504</f>
        <v>24.39023569023569</v>
      </c>
      <c r="L1504" s="1">
        <f>INT(K1504)</f>
        <v>24</v>
      </c>
      <c r="M1504" s="3">
        <f>K1504-L1504</f>
        <v>0.3902356902356914</v>
      </c>
      <c r="N1504" s="1">
        <f>COUNTIF($M$1458:$M$1513,"&gt;"&amp;M1504)+COUNTIF($M$1458:M1504,M1504)</f>
        <v>36</v>
      </c>
      <c r="O1504" s="1">
        <f>J1504+L1504+IF(N1504&lt;=I1504-SUM($J$1458:$J$1513)-SUM($L$1458:$L$1513),1,0)</f>
        <v>34</v>
      </c>
    </row>
    <row r="1505" spans="1:15">
      <c r="A1505" s="1" t="s">
        <v>74</v>
      </c>
      <c r="B1505" s="1" t="s">
        <v>80</v>
      </c>
      <c r="C1505" s="1" t="s">
        <v>50</v>
      </c>
      <c r="D1505" s="1" t="s">
        <v>49</v>
      </c>
      <c r="E1505" s="1" t="s">
        <v>44</v>
      </c>
      <c r="F1505" s="1" t="s">
        <v>42</v>
      </c>
      <c r="G1505" s="1">
        <v>12321</v>
      </c>
      <c r="H1505" s="1">
        <f>'1_Departamento_n'!C28</f>
        <v>332640</v>
      </c>
      <c r="I1505" s="1">
        <f>'1_Departamento_n'!H28</f>
        <v>1309</v>
      </c>
      <c r="J1505" s="1">
        <f>'0_Parametros'!B7</f>
        <v>10</v>
      </c>
      <c r="K1505" s="3">
        <f>(I1505-SUM($J$1458:$J$1513))*G1505/H1505</f>
        <v>27.742992424242424</v>
      </c>
      <c r="L1505" s="1">
        <f>INT(K1505)</f>
        <v>27</v>
      </c>
      <c r="M1505" s="3">
        <f>K1505-L1505</f>
        <v>0.7429924242424235</v>
      </c>
      <c r="N1505" s="1">
        <f>COUNTIF($M$1458:$M$1513,"&gt;"&amp;M1505)+COUNTIF($M$1458:M1505,M1505)</f>
        <v>13</v>
      </c>
      <c r="O1505" s="1">
        <f>J1505+L1505+IF(N1505&lt;=I1505-SUM($J$1458:$J$1513)-SUM($L$1458:$L$1513),1,0)</f>
        <v>38</v>
      </c>
    </row>
    <row r="1506" spans="1:15">
      <c r="A1506" s="1" t="s">
        <v>74</v>
      </c>
      <c r="B1506" s="1" t="s">
        <v>80</v>
      </c>
      <c r="C1506" s="1" t="s">
        <v>50</v>
      </c>
      <c r="D1506" s="1" t="s">
        <v>49</v>
      </c>
      <c r="E1506" s="1" t="s">
        <v>45</v>
      </c>
      <c r="F1506" s="1" t="s">
        <v>41</v>
      </c>
      <c r="G1506" s="1">
        <v>9737</v>
      </c>
      <c r="H1506" s="1">
        <f>'1_Departamento_n'!C28</f>
        <v>332640</v>
      </c>
      <c r="I1506" s="1">
        <f>'1_Departamento_n'!H28</f>
        <v>1309</v>
      </c>
      <c r="J1506" s="1">
        <f>'0_Parametros'!B7</f>
        <v>10</v>
      </c>
      <c r="K1506" s="3">
        <f>(I1506-SUM($J$1458:$J$1513))*G1506/H1506</f>
        <v>21.924642255892255</v>
      </c>
      <c r="L1506" s="1">
        <f>INT(K1506)</f>
        <v>21</v>
      </c>
      <c r="M1506" s="3">
        <f>K1506-L1506</f>
        <v>0.9246422558922553</v>
      </c>
      <c r="N1506" s="1">
        <f>COUNTIF($M$1458:$M$1513,"&gt;"&amp;M1506)+COUNTIF($M$1458:M1506,M1506)</f>
        <v>6</v>
      </c>
      <c r="O1506" s="1">
        <f>J1506+L1506+IF(N1506&lt;=I1506-SUM($J$1458:$J$1513)-SUM($L$1458:$L$1513),1,0)</f>
        <v>32</v>
      </c>
    </row>
    <row r="1507" spans="1:15">
      <c r="A1507" s="1" t="s">
        <v>74</v>
      </c>
      <c r="B1507" s="1" t="s">
        <v>80</v>
      </c>
      <c r="C1507" s="1" t="s">
        <v>50</v>
      </c>
      <c r="D1507" s="1" t="s">
        <v>49</v>
      </c>
      <c r="E1507" s="1" t="s">
        <v>45</v>
      </c>
      <c r="F1507" s="1" t="s">
        <v>42</v>
      </c>
      <c r="G1507" s="1">
        <v>10239</v>
      </c>
      <c r="H1507" s="1">
        <f>'1_Departamento_n'!C28</f>
        <v>332640</v>
      </c>
      <c r="I1507" s="1">
        <f>'1_Departamento_n'!H28</f>
        <v>1309</v>
      </c>
      <c r="J1507" s="1">
        <f>'0_Parametros'!B7</f>
        <v>10</v>
      </c>
      <c r="K1507" s="3">
        <f>(I1507-SUM($J$1458:$J$1513))*G1507/H1507</f>
        <v>23.054987373737372</v>
      </c>
      <c r="L1507" s="1">
        <f>INT(K1507)</f>
        <v>23</v>
      </c>
      <c r="M1507" s="3">
        <f>K1507-L1507</f>
        <v>0.05498737373737228</v>
      </c>
      <c r="N1507" s="1">
        <f>COUNTIF($M$1458:$M$1513,"&gt;"&amp;M1507)+COUNTIF($M$1458:M1507,M1507)</f>
        <v>54</v>
      </c>
      <c r="O1507" s="1">
        <f>J1507+L1507+IF(N1507&lt;=I1507-SUM($J$1458:$J$1513)-SUM($L$1458:$L$1513),1,0)</f>
        <v>33</v>
      </c>
    </row>
    <row r="1508" spans="1:15">
      <c r="A1508" s="1" t="s">
        <v>74</v>
      </c>
      <c r="B1508" s="1" t="s">
        <v>80</v>
      </c>
      <c r="C1508" s="1" t="s">
        <v>50</v>
      </c>
      <c r="D1508" s="1" t="s">
        <v>49</v>
      </c>
      <c r="E1508" s="1" t="s">
        <v>46</v>
      </c>
      <c r="F1508" s="1" t="s">
        <v>41</v>
      </c>
      <c r="G1508" s="1">
        <v>7975</v>
      </c>
      <c r="H1508" s="1">
        <f>'1_Departamento_n'!C28</f>
        <v>332640</v>
      </c>
      <c r="I1508" s="1">
        <f>'1_Departamento_n'!H28</f>
        <v>1309</v>
      </c>
      <c r="J1508" s="1">
        <f>'0_Parametros'!B7</f>
        <v>10</v>
      </c>
      <c r="K1508" s="3">
        <f>(I1508-SUM($J$1458:$J$1513))*G1508/H1508</f>
        <v>17.957175925925927</v>
      </c>
      <c r="L1508" s="1">
        <f>INT(K1508)</f>
        <v>17</v>
      </c>
      <c r="M1508" s="3">
        <f>K1508-L1508</f>
        <v>0.9571759259259274</v>
      </c>
      <c r="N1508" s="1">
        <f>COUNTIF($M$1458:$M$1513,"&gt;"&amp;M1508)+COUNTIF($M$1458:M1508,M1508)</f>
        <v>1</v>
      </c>
      <c r="O1508" s="1">
        <f>J1508+L1508+IF(N1508&lt;=I1508-SUM($J$1458:$J$1513)-SUM($L$1458:$L$1513),1,0)</f>
        <v>28</v>
      </c>
    </row>
    <row r="1509" spans="1:15">
      <c r="A1509" s="1" t="s">
        <v>74</v>
      </c>
      <c r="B1509" s="1" t="s">
        <v>80</v>
      </c>
      <c r="C1509" s="1" t="s">
        <v>50</v>
      </c>
      <c r="D1509" s="1" t="s">
        <v>49</v>
      </c>
      <c r="E1509" s="1" t="s">
        <v>46</v>
      </c>
      <c r="F1509" s="1" t="s">
        <v>42</v>
      </c>
      <c r="G1509" s="1">
        <v>9483</v>
      </c>
      <c r="H1509" s="1">
        <f>'1_Departamento_n'!C28</f>
        <v>332640</v>
      </c>
      <c r="I1509" s="1">
        <f>'1_Departamento_n'!H28</f>
        <v>1309</v>
      </c>
      <c r="J1509" s="1">
        <f>'0_Parametros'!B7</f>
        <v>10</v>
      </c>
      <c r="K1509" s="3">
        <f>(I1509-SUM($J$1458:$J$1513))*G1509/H1509</f>
        <v>21.352714646464648</v>
      </c>
      <c r="L1509" s="1">
        <f>INT(K1509)</f>
        <v>21</v>
      </c>
      <c r="M1509" s="3">
        <f>K1509-L1509</f>
        <v>0.3527146464646478</v>
      </c>
      <c r="N1509" s="1">
        <f>COUNTIF($M$1458:$M$1513,"&gt;"&amp;M1509)+COUNTIF($M$1458:M1509,M1509)</f>
        <v>38</v>
      </c>
      <c r="O1509" s="1">
        <f>J1509+L1509+IF(N1509&lt;=I1509-SUM($J$1458:$J$1513)-SUM($L$1458:$L$1513),1,0)</f>
        <v>31</v>
      </c>
    </row>
    <row r="1510" spans="1:15">
      <c r="A1510" s="1" t="s">
        <v>74</v>
      </c>
      <c r="B1510" s="1" t="s">
        <v>80</v>
      </c>
      <c r="C1510" s="1" t="s">
        <v>50</v>
      </c>
      <c r="D1510" s="1" t="s">
        <v>49</v>
      </c>
      <c r="E1510" s="1" t="s">
        <v>47</v>
      </c>
      <c r="F1510" s="1" t="s">
        <v>41</v>
      </c>
      <c r="G1510" s="1">
        <v>6168</v>
      </c>
      <c r="H1510" s="1">
        <f>'1_Departamento_n'!C28</f>
        <v>332640</v>
      </c>
      <c r="I1510" s="1">
        <f>'1_Departamento_n'!H28</f>
        <v>1309</v>
      </c>
      <c r="J1510" s="1">
        <f>'0_Parametros'!B7</f>
        <v>10</v>
      </c>
      <c r="K1510" s="3">
        <f>(I1510-SUM($J$1458:$J$1513))*G1510/H1510</f>
        <v>13.888383838383838</v>
      </c>
      <c r="L1510" s="1">
        <f>INT(K1510)</f>
        <v>13</v>
      </c>
      <c r="M1510" s="3">
        <f>K1510-L1510</f>
        <v>0.888383838383838</v>
      </c>
      <c r="N1510" s="1">
        <f>COUNTIF($M$1458:$M$1513,"&gt;"&amp;M1510)+COUNTIF($M$1458:M1510,M1510)</f>
        <v>9</v>
      </c>
      <c r="O1510" s="1">
        <f>J1510+L1510+IF(N1510&lt;=I1510-SUM($J$1458:$J$1513)-SUM($L$1458:$L$1513),1,0)</f>
        <v>24</v>
      </c>
    </row>
    <row r="1511" spans="1:15">
      <c r="A1511" s="1" t="s">
        <v>74</v>
      </c>
      <c r="B1511" s="1" t="s">
        <v>80</v>
      </c>
      <c r="C1511" s="1" t="s">
        <v>50</v>
      </c>
      <c r="D1511" s="1" t="s">
        <v>49</v>
      </c>
      <c r="E1511" s="1" t="s">
        <v>47</v>
      </c>
      <c r="F1511" s="1" t="s">
        <v>42</v>
      </c>
      <c r="G1511" s="1">
        <v>8085</v>
      </c>
      <c r="H1511" s="1">
        <f>'1_Departamento_n'!C28</f>
        <v>332640</v>
      </c>
      <c r="I1511" s="1">
        <f>'1_Departamento_n'!H28</f>
        <v>1309</v>
      </c>
      <c r="J1511" s="1">
        <f>'0_Parametros'!B7</f>
        <v>10</v>
      </c>
      <c r="K1511" s="3">
        <f>(I1511-SUM($J$1458:$J$1513))*G1511/H1511</f>
        <v>18.20486111111111</v>
      </c>
      <c r="L1511" s="1">
        <f>INT(K1511)</f>
        <v>18</v>
      </c>
      <c r="M1511" s="3">
        <f>K1511-L1511</f>
        <v>0.20486111111111072</v>
      </c>
      <c r="N1511" s="1">
        <f>COUNTIF($M$1458:$M$1513,"&gt;"&amp;M1511)+COUNTIF($M$1458:M1511,M1511)</f>
        <v>48</v>
      </c>
      <c r="O1511" s="1">
        <f>J1511+L1511+IF(N1511&lt;=I1511-SUM($J$1458:$J$1513)-SUM($L$1458:$L$1513),1,0)</f>
        <v>28</v>
      </c>
    </row>
    <row r="1512" spans="1:15">
      <c r="A1512" s="1" t="s">
        <v>74</v>
      </c>
      <c r="B1512" s="1" t="s">
        <v>80</v>
      </c>
      <c r="C1512" s="1" t="s">
        <v>50</v>
      </c>
      <c r="D1512" s="1" t="s">
        <v>49</v>
      </c>
      <c r="E1512" s="1" t="s">
        <v>48</v>
      </c>
      <c r="F1512" s="1" t="s">
        <v>41</v>
      </c>
      <c r="G1512" s="1">
        <v>7338</v>
      </c>
      <c r="H1512" s="1">
        <f>'1_Departamento_n'!C28</f>
        <v>332640</v>
      </c>
      <c r="I1512" s="1">
        <f>'1_Departamento_n'!H28</f>
        <v>1309</v>
      </c>
      <c r="J1512" s="1">
        <f>'0_Parametros'!B7</f>
        <v>10</v>
      </c>
      <c r="K1512" s="3">
        <f>(I1512-SUM($J$1458:$J$1513))*G1512/H1512</f>
        <v>16.522853535353537</v>
      </c>
      <c r="L1512" s="1">
        <f>INT(K1512)</f>
        <v>16</v>
      </c>
      <c r="M1512" s="3">
        <f>K1512-L1512</f>
        <v>0.5228535353535371</v>
      </c>
      <c r="N1512" s="1">
        <f>COUNTIF($M$1458:$M$1513,"&gt;"&amp;M1512)+COUNTIF($M$1458:M1512,M1512)</f>
        <v>25</v>
      </c>
      <c r="O1512" s="1">
        <f>J1512+L1512+IF(N1512&lt;=I1512-SUM($J$1458:$J$1513)-SUM($L$1458:$L$1513),1,0)</f>
        <v>27</v>
      </c>
    </row>
    <row r="1513" spans="1:15">
      <c r="A1513" s="1" t="s">
        <v>74</v>
      </c>
      <c r="B1513" s="1" t="s">
        <v>80</v>
      </c>
      <c r="C1513" s="1" t="s">
        <v>50</v>
      </c>
      <c r="D1513" s="1" t="s">
        <v>49</v>
      </c>
      <c r="E1513" s="1" t="s">
        <v>48</v>
      </c>
      <c r="F1513" s="1" t="s">
        <v>42</v>
      </c>
      <c r="G1513" s="1">
        <v>10960</v>
      </c>
      <c r="H1513" s="1">
        <f>'1_Departamento_n'!C28</f>
        <v>332640</v>
      </c>
      <c r="I1513" s="1">
        <f>'1_Departamento_n'!H28</f>
        <v>1309</v>
      </c>
      <c r="J1513" s="1">
        <f>'0_Parametros'!B7</f>
        <v>10</v>
      </c>
      <c r="K1513" s="3">
        <f>(I1513-SUM($J$1458:$J$1513))*G1513/H1513</f>
        <v>24.67845117845118</v>
      </c>
      <c r="L1513" s="1">
        <f>INT(K1513)</f>
        <v>24</v>
      </c>
      <c r="M1513" s="3">
        <f>K1513-L1513</f>
        <v>0.67845117845118</v>
      </c>
      <c r="N1513" s="1">
        <f>COUNTIF($M$1458:$M$1513,"&gt;"&amp;M1513)+COUNTIF($M$1458:M1513,M1513)</f>
        <v>18</v>
      </c>
      <c r="O1513" s="1">
        <f>J1513+L1513+IF(N1513&lt;=I1513-SUM($J$1458:$J$1513)-SUM($L$1458:$L$1513),1,0)</f>
        <v>35</v>
      </c>
    </row>
    <row r="1514" spans="1:15">
      <c r="A1514" s="1" t="s">
        <v>74</v>
      </c>
      <c r="B1514" s="1" t="s">
        <v>81</v>
      </c>
      <c r="C1514" s="1" t="s">
        <v>38</v>
      </c>
      <c r="D1514" s="1" t="s">
        <v>39</v>
      </c>
      <c r="E1514" s="1" t="s">
        <v>40</v>
      </c>
      <c r="F1514" s="1" t="s">
        <v>41</v>
      </c>
      <c r="G1514" s="1">
        <v>142</v>
      </c>
      <c r="H1514" s="1">
        <f>'1_Departamento_n'!C29</f>
        <v>34307</v>
      </c>
      <c r="I1514" s="1">
        <f>'1_Departamento_n'!H29</f>
        <v>1278</v>
      </c>
      <c r="J1514" s="1">
        <f>'0_Parametros'!B7</f>
        <v>10</v>
      </c>
      <c r="K1514" s="3">
        <f>(I1514-SUM($J$1514:$J$1569))*G1514/H1514</f>
        <v>2.9718716296965635</v>
      </c>
      <c r="L1514" s="1">
        <f>INT(K1514)</f>
        <v>2</v>
      </c>
      <c r="M1514" s="3">
        <f>K1514-L1514</f>
        <v>0.9718716296965635</v>
      </c>
      <c r="N1514" s="1">
        <f>COUNTIF($M$1514:$M$1569,"&gt;"&amp;M1514)+COUNTIF($M$1514:M1514,M1514)</f>
        <v>1</v>
      </c>
      <c r="O1514" s="1">
        <f>J1514+L1514+IF(N1514&lt;=I1514-SUM($J$1514:$J$1569)-SUM($L$1514:$L$1569),1,0)</f>
        <v>13</v>
      </c>
    </row>
    <row r="1515" spans="1:15">
      <c r="A1515" s="1" t="s">
        <v>74</v>
      </c>
      <c r="B1515" s="1" t="s">
        <v>81</v>
      </c>
      <c r="C1515" s="1" t="s">
        <v>38</v>
      </c>
      <c r="D1515" s="1" t="s">
        <v>39</v>
      </c>
      <c r="E1515" s="1" t="s">
        <v>40</v>
      </c>
      <c r="F1515" s="1" t="s">
        <v>42</v>
      </c>
      <c r="G1515" s="1">
        <v>298</v>
      </c>
      <c r="H1515" s="1">
        <f>'1_Departamento_n'!C29</f>
        <v>34307</v>
      </c>
      <c r="I1515" s="1">
        <f>'1_Departamento_n'!H29</f>
        <v>1278</v>
      </c>
      <c r="J1515" s="1">
        <f>'0_Parametros'!B7</f>
        <v>10</v>
      </c>
      <c r="K1515" s="3">
        <f>(I1515-SUM($J$1514:$J$1569))*G1515/H1515</f>
        <v>6.236744687673069</v>
      </c>
      <c r="L1515" s="1">
        <f>INT(K1515)</f>
        <v>6</v>
      </c>
      <c r="M1515" s="3">
        <f>K1515-L1515</f>
        <v>0.23674468767306944</v>
      </c>
      <c r="N1515" s="1">
        <f>COUNTIF($M$1514:$M$1569,"&gt;"&amp;M1515)+COUNTIF($M$1514:M1515,M1515)</f>
        <v>39</v>
      </c>
      <c r="O1515" s="1">
        <f>J1515+L1515+IF(N1515&lt;=I1515-SUM($J$1514:$J$1569)-SUM($L$1514:$L$1569),1,0)</f>
        <v>16</v>
      </c>
    </row>
    <row r="1516" spans="1:15">
      <c r="A1516" s="1" t="s">
        <v>74</v>
      </c>
      <c r="B1516" s="1" t="s">
        <v>81</v>
      </c>
      <c r="C1516" s="1" t="s">
        <v>38</v>
      </c>
      <c r="D1516" s="1" t="s">
        <v>39</v>
      </c>
      <c r="E1516" s="1" t="s">
        <v>43</v>
      </c>
      <c r="F1516" s="1" t="s">
        <v>41</v>
      </c>
      <c r="G1516" s="1">
        <v>131</v>
      </c>
      <c r="H1516" s="1">
        <f>'1_Departamento_n'!C29</f>
        <v>34307</v>
      </c>
      <c r="I1516" s="1">
        <f>'1_Departamento_n'!H29</f>
        <v>1278</v>
      </c>
      <c r="J1516" s="1">
        <f>'0_Parametros'!B7</f>
        <v>10</v>
      </c>
      <c r="K1516" s="3">
        <f>(I1516-SUM($J$1514:$J$1569))*G1516/H1516</f>
        <v>2.7416562217623226</v>
      </c>
      <c r="L1516" s="1">
        <f>INT(K1516)</f>
        <v>2</v>
      </c>
      <c r="M1516" s="3">
        <f>K1516-L1516</f>
        <v>0.7416562217623226</v>
      </c>
      <c r="N1516" s="1">
        <f>COUNTIF($M$1514:$M$1569,"&gt;"&amp;M1516)+COUNTIF($M$1514:M1516,M1516)</f>
        <v>17</v>
      </c>
      <c r="O1516" s="1">
        <f>J1516+L1516+IF(N1516&lt;=I1516-SUM($J$1514:$J$1569)-SUM($L$1514:$L$1569),1,0)</f>
        <v>13</v>
      </c>
    </row>
    <row r="1517" spans="1:15">
      <c r="A1517" s="1" t="s">
        <v>74</v>
      </c>
      <c r="B1517" s="1" t="s">
        <v>81</v>
      </c>
      <c r="C1517" s="1" t="s">
        <v>38</v>
      </c>
      <c r="D1517" s="1" t="s">
        <v>39</v>
      </c>
      <c r="E1517" s="1" t="s">
        <v>43</v>
      </c>
      <c r="F1517" s="1" t="s">
        <v>42</v>
      </c>
      <c r="G1517" s="1">
        <v>130</v>
      </c>
      <c r="H1517" s="1">
        <f>'1_Departamento_n'!C29</f>
        <v>34307</v>
      </c>
      <c r="I1517" s="1">
        <f>'1_Departamento_n'!H29</f>
        <v>1278</v>
      </c>
      <c r="J1517" s="1">
        <f>'0_Parametros'!B7</f>
        <v>10</v>
      </c>
      <c r="K1517" s="3">
        <f>(I1517-SUM($J$1514:$J$1569))*G1517/H1517</f>
        <v>2.7207275483137554</v>
      </c>
      <c r="L1517" s="1">
        <f>INT(K1517)</f>
        <v>2</v>
      </c>
      <c r="M1517" s="3">
        <f>K1517-L1517</f>
        <v>0.7207275483137554</v>
      </c>
      <c r="N1517" s="1">
        <f>COUNTIF($M$1514:$M$1569,"&gt;"&amp;M1517)+COUNTIF($M$1514:M1517,M1517)</f>
        <v>19</v>
      </c>
      <c r="O1517" s="1">
        <f>J1517+L1517+IF(N1517&lt;=I1517-SUM($J$1514:$J$1569)-SUM($L$1514:$L$1569),1,0)</f>
        <v>13</v>
      </c>
    </row>
    <row r="1518" spans="1:15">
      <c r="A1518" s="1" t="s">
        <v>74</v>
      </c>
      <c r="B1518" s="1" t="s">
        <v>81</v>
      </c>
      <c r="C1518" s="1" t="s">
        <v>38</v>
      </c>
      <c r="D1518" s="1" t="s">
        <v>39</v>
      </c>
      <c r="E1518" s="1" t="s">
        <v>44</v>
      </c>
      <c r="F1518" s="1" t="s">
        <v>41</v>
      </c>
      <c r="G1518" s="1">
        <v>282</v>
      </c>
      <c r="H1518" s="1">
        <f>'1_Departamento_n'!C29</f>
        <v>34307</v>
      </c>
      <c r="I1518" s="1">
        <f>'1_Departamento_n'!H29</f>
        <v>1278</v>
      </c>
      <c r="J1518" s="1">
        <f>'0_Parametros'!B7</f>
        <v>10</v>
      </c>
      <c r="K1518" s="3">
        <f>(I1518-SUM($J$1514:$J$1569))*G1518/H1518</f>
        <v>5.901885912495992</v>
      </c>
      <c r="L1518" s="1">
        <f>INT(K1518)</f>
        <v>5</v>
      </c>
      <c r="M1518" s="3">
        <f>K1518-L1518</f>
        <v>0.9018859124959917</v>
      </c>
      <c r="N1518" s="1">
        <f>COUNTIF($M$1514:$M$1569,"&gt;"&amp;M1518)+COUNTIF($M$1514:M1518,M1518)</f>
        <v>6</v>
      </c>
      <c r="O1518" s="1">
        <f>J1518+L1518+IF(N1518&lt;=I1518-SUM($J$1514:$J$1569)-SUM($L$1514:$L$1569),1,0)</f>
        <v>16</v>
      </c>
    </row>
    <row r="1519" spans="1:15">
      <c r="A1519" s="1" t="s">
        <v>74</v>
      </c>
      <c r="B1519" s="1" t="s">
        <v>81</v>
      </c>
      <c r="C1519" s="1" t="s">
        <v>38</v>
      </c>
      <c r="D1519" s="1" t="s">
        <v>39</v>
      </c>
      <c r="E1519" s="1" t="s">
        <v>44</v>
      </c>
      <c r="F1519" s="1" t="s">
        <v>42</v>
      </c>
      <c r="G1519" s="1">
        <v>302</v>
      </c>
      <c r="H1519" s="1">
        <f>'1_Departamento_n'!C29</f>
        <v>34307</v>
      </c>
      <c r="I1519" s="1">
        <f>'1_Departamento_n'!H29</f>
        <v>1278</v>
      </c>
      <c r="J1519" s="1">
        <f>'0_Parametros'!B7</f>
        <v>10</v>
      </c>
      <c r="K1519" s="3">
        <f>(I1519-SUM($J$1514:$J$1569))*G1519/H1519</f>
        <v>6.320459381467339</v>
      </c>
      <c r="L1519" s="1">
        <f>INT(K1519)</f>
        <v>6</v>
      </c>
      <c r="M1519" s="3">
        <f>K1519-L1519</f>
        <v>0.3204593814673391</v>
      </c>
      <c r="N1519" s="1">
        <f>COUNTIF($M$1514:$M$1569,"&gt;"&amp;M1519)+COUNTIF($M$1514:M1519,M1519)</f>
        <v>34</v>
      </c>
      <c r="O1519" s="1">
        <f>J1519+L1519+IF(N1519&lt;=I1519-SUM($J$1514:$J$1569)-SUM($L$1514:$L$1569),1,0)</f>
        <v>16</v>
      </c>
    </row>
    <row r="1520" spans="1:15">
      <c r="A1520" s="1" t="s">
        <v>74</v>
      </c>
      <c r="B1520" s="1" t="s">
        <v>81</v>
      </c>
      <c r="C1520" s="1" t="s">
        <v>38</v>
      </c>
      <c r="D1520" s="1" t="s">
        <v>39</v>
      </c>
      <c r="E1520" s="1" t="s">
        <v>45</v>
      </c>
      <c r="F1520" s="1" t="s">
        <v>41</v>
      </c>
      <c r="G1520" s="1">
        <v>389</v>
      </c>
      <c r="H1520" s="1">
        <f>'1_Departamento_n'!C29</f>
        <v>34307</v>
      </c>
      <c r="I1520" s="1">
        <f>'1_Departamento_n'!H29</f>
        <v>1278</v>
      </c>
      <c r="J1520" s="1">
        <f>'0_Parametros'!B7</f>
        <v>10</v>
      </c>
      <c r="K1520" s="3">
        <f>(I1520-SUM($J$1514:$J$1569))*G1520/H1520</f>
        <v>8.141253971492699</v>
      </c>
      <c r="L1520" s="1">
        <f>INT(K1520)</f>
        <v>8</v>
      </c>
      <c r="M1520" s="3">
        <f>K1520-L1520</f>
        <v>0.14125397149269858</v>
      </c>
      <c r="N1520" s="1">
        <f>COUNTIF($M$1514:$M$1569,"&gt;"&amp;M1520)+COUNTIF($M$1514:M1520,M1520)</f>
        <v>47</v>
      </c>
      <c r="O1520" s="1">
        <f>J1520+L1520+IF(N1520&lt;=I1520-SUM($J$1514:$J$1569)-SUM($L$1514:$L$1569),1,0)</f>
        <v>18</v>
      </c>
    </row>
    <row r="1521" spans="1:15">
      <c r="A1521" s="1" t="s">
        <v>74</v>
      </c>
      <c r="B1521" s="1" t="s">
        <v>81</v>
      </c>
      <c r="C1521" s="1" t="s">
        <v>38</v>
      </c>
      <c r="D1521" s="1" t="s">
        <v>39</v>
      </c>
      <c r="E1521" s="1" t="s">
        <v>45</v>
      </c>
      <c r="F1521" s="1" t="s">
        <v>42</v>
      </c>
      <c r="G1521" s="1">
        <v>310</v>
      </c>
      <c r="H1521" s="1">
        <f>'1_Departamento_n'!C29</f>
        <v>34307</v>
      </c>
      <c r="I1521" s="1">
        <f>'1_Departamento_n'!H29</f>
        <v>1278</v>
      </c>
      <c r="J1521" s="1">
        <f>'0_Parametros'!B7</f>
        <v>10</v>
      </c>
      <c r="K1521" s="3">
        <f>(I1521-SUM($J$1514:$J$1569))*G1521/H1521</f>
        <v>6.4878887690558775</v>
      </c>
      <c r="L1521" s="1">
        <f>INT(K1521)</f>
        <v>6</v>
      </c>
      <c r="M1521" s="3">
        <f>K1521-L1521</f>
        <v>0.4878887690558775</v>
      </c>
      <c r="N1521" s="1">
        <f>COUNTIF($M$1514:$M$1569,"&gt;"&amp;M1521)+COUNTIF($M$1514:M1521,M1521)</f>
        <v>31</v>
      </c>
      <c r="O1521" s="1">
        <f>J1521+L1521+IF(N1521&lt;=I1521-SUM($J$1514:$J$1569)-SUM($L$1514:$L$1569),1,0)</f>
        <v>16</v>
      </c>
    </row>
    <row r="1522" spans="1:15">
      <c r="A1522" s="1" t="s">
        <v>74</v>
      </c>
      <c r="B1522" s="1" t="s">
        <v>81</v>
      </c>
      <c r="C1522" s="1" t="s">
        <v>38</v>
      </c>
      <c r="D1522" s="1" t="s">
        <v>39</v>
      </c>
      <c r="E1522" s="1" t="s">
        <v>46</v>
      </c>
      <c r="F1522" s="1" t="s">
        <v>41</v>
      </c>
      <c r="G1522" s="1">
        <v>231</v>
      </c>
      <c r="H1522" s="1">
        <f>'1_Departamento_n'!C29</f>
        <v>34307</v>
      </c>
      <c r="I1522" s="1">
        <f>'1_Departamento_n'!H29</f>
        <v>1278</v>
      </c>
      <c r="J1522" s="1">
        <f>'0_Parametros'!B7</f>
        <v>10</v>
      </c>
      <c r="K1522" s="3">
        <f>(I1522-SUM($J$1514:$J$1569))*G1522/H1522</f>
        <v>4.834523566619057</v>
      </c>
      <c r="L1522" s="1">
        <f>INT(K1522)</f>
        <v>4</v>
      </c>
      <c r="M1522" s="3">
        <f>K1522-L1522</f>
        <v>0.8345235666190574</v>
      </c>
      <c r="N1522" s="1">
        <f>COUNTIF($M$1514:$M$1569,"&gt;"&amp;M1522)+COUNTIF($M$1514:M1522,M1522)</f>
        <v>11</v>
      </c>
      <c r="O1522" s="1">
        <f>J1522+L1522+IF(N1522&lt;=I1522-SUM($J$1514:$J$1569)-SUM($L$1514:$L$1569),1,0)</f>
        <v>15</v>
      </c>
    </row>
    <row r="1523" spans="1:15">
      <c r="A1523" s="1" t="s">
        <v>74</v>
      </c>
      <c r="B1523" s="1" t="s">
        <v>81</v>
      </c>
      <c r="C1523" s="1" t="s">
        <v>38</v>
      </c>
      <c r="D1523" s="1" t="s">
        <v>39</v>
      </c>
      <c r="E1523" s="1" t="s">
        <v>46</v>
      </c>
      <c r="F1523" s="1" t="s">
        <v>42</v>
      </c>
      <c r="G1523" s="1">
        <v>167</v>
      </c>
      <c r="H1523" s="1">
        <f>'1_Departamento_n'!C29</f>
        <v>34307</v>
      </c>
      <c r="I1523" s="1">
        <f>'1_Departamento_n'!H29</f>
        <v>1278</v>
      </c>
      <c r="J1523" s="1">
        <f>'0_Parametros'!B7</f>
        <v>10</v>
      </c>
      <c r="K1523" s="3">
        <f>(I1523-SUM($J$1514:$J$1569))*G1523/H1523</f>
        <v>3.4950884659107473</v>
      </c>
      <c r="L1523" s="1">
        <f>INT(K1523)</f>
        <v>3</v>
      </c>
      <c r="M1523" s="3">
        <f>K1523-L1523</f>
        <v>0.4950884659107473</v>
      </c>
      <c r="N1523" s="1">
        <f>COUNTIF($M$1514:$M$1569,"&gt;"&amp;M1523)+COUNTIF($M$1514:M1523,M1523)</f>
        <v>30</v>
      </c>
      <c r="O1523" s="1">
        <f>J1523+L1523+IF(N1523&lt;=I1523-SUM($J$1514:$J$1569)-SUM($L$1514:$L$1569),1,0)</f>
        <v>13</v>
      </c>
    </row>
    <row r="1524" spans="1:15">
      <c r="A1524" s="1" t="s">
        <v>74</v>
      </c>
      <c r="B1524" s="1" t="s">
        <v>81</v>
      </c>
      <c r="C1524" s="1" t="s">
        <v>38</v>
      </c>
      <c r="D1524" s="1" t="s">
        <v>39</v>
      </c>
      <c r="E1524" s="1" t="s">
        <v>47</v>
      </c>
      <c r="F1524" s="1" t="s">
        <v>41</v>
      </c>
      <c r="G1524" s="1">
        <v>126</v>
      </c>
      <c r="H1524" s="1">
        <f>'1_Departamento_n'!C29</f>
        <v>34307</v>
      </c>
      <c r="I1524" s="1">
        <f>'1_Departamento_n'!H29</f>
        <v>1278</v>
      </c>
      <c r="J1524" s="1">
        <f>'0_Parametros'!B7</f>
        <v>10</v>
      </c>
      <c r="K1524" s="3">
        <f>(I1524-SUM($J$1514:$J$1569))*G1524/H1524</f>
        <v>2.6370128545194857</v>
      </c>
      <c r="L1524" s="1">
        <f>INT(K1524)</f>
        <v>2</v>
      </c>
      <c r="M1524" s="3">
        <f>K1524-L1524</f>
        <v>0.6370128545194857</v>
      </c>
      <c r="N1524" s="1">
        <f>COUNTIF($M$1514:$M$1569,"&gt;"&amp;M1524)+COUNTIF($M$1514:M1524,M1524)</f>
        <v>24</v>
      </c>
      <c r="O1524" s="1">
        <f>J1524+L1524+IF(N1524&lt;=I1524-SUM($J$1514:$J$1569)-SUM($L$1514:$L$1569),1,0)</f>
        <v>13</v>
      </c>
    </row>
    <row r="1525" spans="1:15">
      <c r="A1525" s="1" t="s">
        <v>74</v>
      </c>
      <c r="B1525" s="1" t="s">
        <v>81</v>
      </c>
      <c r="C1525" s="1" t="s">
        <v>38</v>
      </c>
      <c r="D1525" s="1" t="s">
        <v>39</v>
      </c>
      <c r="E1525" s="1" t="s">
        <v>47</v>
      </c>
      <c r="F1525" s="1" t="s">
        <v>42</v>
      </c>
      <c r="G1525" s="1">
        <v>61</v>
      </c>
      <c r="H1525" s="1">
        <f>'1_Departamento_n'!C29</f>
        <v>34307</v>
      </c>
      <c r="I1525" s="1">
        <f>'1_Departamento_n'!H29</f>
        <v>1278</v>
      </c>
      <c r="J1525" s="1">
        <f>'0_Parametros'!B7</f>
        <v>10</v>
      </c>
      <c r="K1525" s="3">
        <f>(I1525-SUM($J$1514:$J$1569))*G1525/H1525</f>
        <v>1.2766490803626083</v>
      </c>
      <c r="L1525" s="1">
        <f>INT(K1525)</f>
        <v>1</v>
      </c>
      <c r="M1525" s="3">
        <f>K1525-L1525</f>
        <v>0.27664908036260827</v>
      </c>
      <c r="N1525" s="1">
        <f>COUNTIF($M$1514:$M$1569,"&gt;"&amp;M1525)+COUNTIF($M$1514:M1525,M1525)</f>
        <v>36</v>
      </c>
      <c r="O1525" s="1">
        <f>J1525+L1525+IF(N1525&lt;=I1525-SUM($J$1514:$J$1569)-SUM($L$1514:$L$1569),1,0)</f>
        <v>11</v>
      </c>
    </row>
    <row r="1526" spans="1:15">
      <c r="A1526" s="1" t="s">
        <v>74</v>
      </c>
      <c r="B1526" s="1" t="s">
        <v>81</v>
      </c>
      <c r="C1526" s="1" t="s">
        <v>38</v>
      </c>
      <c r="D1526" s="1" t="s">
        <v>39</v>
      </c>
      <c r="E1526" s="1" t="s">
        <v>48</v>
      </c>
      <c r="F1526" s="1" t="s">
        <v>41</v>
      </c>
      <c r="G1526" s="1">
        <v>138</v>
      </c>
      <c r="H1526" s="1">
        <f>'1_Departamento_n'!C29</f>
        <v>34307</v>
      </c>
      <c r="I1526" s="1">
        <f>'1_Departamento_n'!H29</f>
        <v>1278</v>
      </c>
      <c r="J1526" s="1">
        <f>'0_Parametros'!B7</f>
        <v>10</v>
      </c>
      <c r="K1526" s="3">
        <f>(I1526-SUM($J$1514:$J$1569))*G1526/H1526</f>
        <v>2.888156935902294</v>
      </c>
      <c r="L1526" s="1">
        <f>INT(K1526)</f>
        <v>2</v>
      </c>
      <c r="M1526" s="3">
        <f>K1526-L1526</f>
        <v>0.8881569359022938</v>
      </c>
      <c r="N1526" s="1">
        <f>COUNTIF($M$1514:$M$1569,"&gt;"&amp;M1526)+COUNTIF($M$1514:M1526,M1526)</f>
        <v>7</v>
      </c>
      <c r="O1526" s="1">
        <f>J1526+L1526+IF(N1526&lt;=I1526-SUM($J$1514:$J$1569)-SUM($L$1514:$L$1569),1,0)</f>
        <v>13</v>
      </c>
    </row>
    <row r="1527" spans="1:15">
      <c r="A1527" s="1" t="s">
        <v>74</v>
      </c>
      <c r="B1527" s="1" t="s">
        <v>81</v>
      </c>
      <c r="C1527" s="1" t="s">
        <v>38</v>
      </c>
      <c r="D1527" s="1" t="s">
        <v>39</v>
      </c>
      <c r="E1527" s="1" t="s">
        <v>48</v>
      </c>
      <c r="F1527" s="1" t="s">
        <v>42</v>
      </c>
      <c r="G1527" s="1">
        <v>34</v>
      </c>
      <c r="H1527" s="1">
        <f>'1_Departamento_n'!C29</f>
        <v>34307</v>
      </c>
      <c r="I1527" s="1">
        <f>'1_Departamento_n'!H29</f>
        <v>1278</v>
      </c>
      <c r="J1527" s="1">
        <f>'0_Parametros'!B7</f>
        <v>10</v>
      </c>
      <c r="K1527" s="3">
        <f>(I1527-SUM($J$1514:$J$1569))*G1527/H1527</f>
        <v>0.7115748972512899</v>
      </c>
      <c r="L1527" s="1">
        <f>INT(K1527)</f>
        <v>0</v>
      </c>
      <c r="M1527" s="3">
        <f>K1527-L1527</f>
        <v>0.7115748972512899</v>
      </c>
      <c r="N1527" s="1">
        <f>COUNTIF($M$1514:$M$1569,"&gt;"&amp;M1527)+COUNTIF($M$1514:M1527,M1527)</f>
        <v>21</v>
      </c>
      <c r="O1527" s="1">
        <f>J1527+L1527+IF(N1527&lt;=I1527-SUM($J$1514:$J$1569)-SUM($L$1514:$L$1569),1,0)</f>
        <v>11</v>
      </c>
    </row>
    <row r="1528" spans="1:15">
      <c r="A1528" s="1" t="s">
        <v>74</v>
      </c>
      <c r="B1528" s="1" t="s">
        <v>81</v>
      </c>
      <c r="C1528" s="1" t="s">
        <v>38</v>
      </c>
      <c r="D1528" s="1" t="s">
        <v>49</v>
      </c>
      <c r="E1528" s="1" t="s">
        <v>40</v>
      </c>
      <c r="F1528" s="1" t="s">
        <v>41</v>
      </c>
      <c r="G1528" s="1">
        <v>136</v>
      </c>
      <c r="H1528" s="1">
        <f>'1_Departamento_n'!C29</f>
        <v>34307</v>
      </c>
      <c r="I1528" s="1">
        <f>'1_Departamento_n'!H29</f>
        <v>1278</v>
      </c>
      <c r="J1528" s="1">
        <f>'0_Parametros'!B7</f>
        <v>10</v>
      </c>
      <c r="K1528" s="3">
        <f>(I1528-SUM($J$1514:$J$1569))*G1528/H1528</f>
        <v>2.8462995890051594</v>
      </c>
      <c r="L1528" s="1">
        <f>INT(K1528)</f>
        <v>2</v>
      </c>
      <c r="M1528" s="3">
        <f>K1528-L1528</f>
        <v>0.8462995890051594</v>
      </c>
      <c r="N1528" s="1">
        <f>COUNTIF($M$1514:$M$1569,"&gt;"&amp;M1528)+COUNTIF($M$1514:M1528,M1528)</f>
        <v>10</v>
      </c>
      <c r="O1528" s="1">
        <f>J1528+L1528+IF(N1528&lt;=I1528-SUM($J$1514:$J$1569)-SUM($L$1514:$L$1569),1,0)</f>
        <v>13</v>
      </c>
    </row>
    <row r="1529" spans="1:15">
      <c r="A1529" s="1" t="s">
        <v>74</v>
      </c>
      <c r="B1529" s="1" t="s">
        <v>81</v>
      </c>
      <c r="C1529" s="1" t="s">
        <v>38</v>
      </c>
      <c r="D1529" s="1" t="s">
        <v>49</v>
      </c>
      <c r="E1529" s="1" t="s">
        <v>40</v>
      </c>
      <c r="F1529" s="1" t="s">
        <v>42</v>
      </c>
      <c r="G1529" s="1">
        <v>300</v>
      </c>
      <c r="H1529" s="1">
        <f>'1_Departamento_n'!C29</f>
        <v>34307</v>
      </c>
      <c r="I1529" s="1">
        <f>'1_Departamento_n'!H29</f>
        <v>1278</v>
      </c>
      <c r="J1529" s="1">
        <f>'0_Parametros'!B7</f>
        <v>10</v>
      </c>
      <c r="K1529" s="3">
        <f>(I1529-SUM($J$1514:$J$1569))*G1529/H1529</f>
        <v>6.278602034570205</v>
      </c>
      <c r="L1529" s="1">
        <f>INT(K1529)</f>
        <v>6</v>
      </c>
      <c r="M1529" s="3">
        <f>K1529-L1529</f>
        <v>0.2786020345702047</v>
      </c>
      <c r="N1529" s="1">
        <f>COUNTIF($M$1514:$M$1569,"&gt;"&amp;M1529)+COUNTIF($M$1514:M1529,M1529)</f>
        <v>35</v>
      </c>
      <c r="O1529" s="1">
        <f>J1529+L1529+IF(N1529&lt;=I1529-SUM($J$1514:$J$1569)-SUM($L$1514:$L$1569),1,0)</f>
        <v>16</v>
      </c>
    </row>
    <row r="1530" spans="1:15">
      <c r="A1530" s="1" t="s">
        <v>74</v>
      </c>
      <c r="B1530" s="1" t="s">
        <v>81</v>
      </c>
      <c r="C1530" s="1" t="s">
        <v>38</v>
      </c>
      <c r="D1530" s="1" t="s">
        <v>49</v>
      </c>
      <c r="E1530" s="1" t="s">
        <v>43</v>
      </c>
      <c r="F1530" s="1" t="s">
        <v>41</v>
      </c>
      <c r="G1530" s="1">
        <v>149</v>
      </c>
      <c r="H1530" s="1">
        <f>'1_Departamento_n'!C29</f>
        <v>34307</v>
      </c>
      <c r="I1530" s="1">
        <f>'1_Departamento_n'!H29</f>
        <v>1278</v>
      </c>
      <c r="J1530" s="1">
        <f>'0_Parametros'!B7</f>
        <v>10</v>
      </c>
      <c r="K1530" s="3">
        <f>(I1530-SUM($J$1514:$J$1569))*G1530/H1530</f>
        <v>3.1183723438365347</v>
      </c>
      <c r="L1530" s="1">
        <f>INT(K1530)</f>
        <v>3</v>
      </c>
      <c r="M1530" s="3">
        <f>K1530-L1530</f>
        <v>0.11837234383653472</v>
      </c>
      <c r="N1530" s="1">
        <f>COUNTIF($M$1514:$M$1569,"&gt;"&amp;M1530)+COUNTIF($M$1514:M1530,M1530)</f>
        <v>49</v>
      </c>
      <c r="O1530" s="1">
        <f>J1530+L1530+IF(N1530&lt;=I1530-SUM($J$1514:$J$1569)-SUM($L$1514:$L$1569),1,0)</f>
        <v>13</v>
      </c>
    </row>
    <row r="1531" spans="1:15">
      <c r="A1531" s="1" t="s">
        <v>74</v>
      </c>
      <c r="B1531" s="1" t="s">
        <v>81</v>
      </c>
      <c r="C1531" s="1" t="s">
        <v>38</v>
      </c>
      <c r="D1531" s="1" t="s">
        <v>49</v>
      </c>
      <c r="E1531" s="1" t="s">
        <v>43</v>
      </c>
      <c r="F1531" s="1" t="s">
        <v>42</v>
      </c>
      <c r="G1531" s="1">
        <v>147</v>
      </c>
      <c r="H1531" s="1">
        <f>'1_Departamento_n'!C29</f>
        <v>34307</v>
      </c>
      <c r="I1531" s="1">
        <f>'1_Departamento_n'!H29</f>
        <v>1278</v>
      </c>
      <c r="J1531" s="1">
        <f>'0_Parametros'!B7</f>
        <v>10</v>
      </c>
      <c r="K1531" s="3">
        <f>(I1531-SUM($J$1514:$J$1569))*G1531/H1531</f>
        <v>3.0765149969394003</v>
      </c>
      <c r="L1531" s="1">
        <f>INT(K1531)</f>
        <v>3</v>
      </c>
      <c r="M1531" s="3">
        <f>K1531-L1531</f>
        <v>0.07651499693940034</v>
      </c>
      <c r="N1531" s="1">
        <f>COUNTIF($M$1514:$M$1569,"&gt;"&amp;M1531)+COUNTIF($M$1514:M1531,M1531)</f>
        <v>55</v>
      </c>
      <c r="O1531" s="1">
        <f>J1531+L1531+IF(N1531&lt;=I1531-SUM($J$1514:$J$1569)-SUM($L$1514:$L$1569),1,0)</f>
        <v>13</v>
      </c>
    </row>
    <row r="1532" spans="1:15">
      <c r="A1532" s="1" t="s">
        <v>74</v>
      </c>
      <c r="B1532" s="1" t="s">
        <v>81</v>
      </c>
      <c r="C1532" s="1" t="s">
        <v>38</v>
      </c>
      <c r="D1532" s="1" t="s">
        <v>49</v>
      </c>
      <c r="E1532" s="1" t="s">
        <v>44</v>
      </c>
      <c r="F1532" s="1" t="s">
        <v>41</v>
      </c>
      <c r="G1532" s="1">
        <v>227</v>
      </c>
      <c r="H1532" s="1">
        <f>'1_Departamento_n'!C29</f>
        <v>34307</v>
      </c>
      <c r="I1532" s="1">
        <f>'1_Departamento_n'!H29</f>
        <v>1278</v>
      </c>
      <c r="J1532" s="1">
        <f>'0_Parametros'!B7</f>
        <v>10</v>
      </c>
      <c r="K1532" s="3">
        <f>(I1532-SUM($J$1514:$J$1569))*G1532/H1532</f>
        <v>4.750808872824788</v>
      </c>
      <c r="L1532" s="1">
        <f>INT(K1532)</f>
        <v>4</v>
      </c>
      <c r="M1532" s="3">
        <f>K1532-L1532</f>
        <v>0.7508088728247877</v>
      </c>
      <c r="N1532" s="1">
        <f>COUNTIF($M$1514:$M$1569,"&gt;"&amp;M1532)+COUNTIF($M$1514:M1532,M1532)</f>
        <v>15</v>
      </c>
      <c r="O1532" s="1">
        <f>J1532+L1532+IF(N1532&lt;=I1532-SUM($J$1514:$J$1569)-SUM($L$1514:$L$1569),1,0)</f>
        <v>15</v>
      </c>
    </row>
    <row r="1533" spans="1:15">
      <c r="A1533" s="1" t="s">
        <v>74</v>
      </c>
      <c r="B1533" s="1" t="s">
        <v>81</v>
      </c>
      <c r="C1533" s="1" t="s">
        <v>38</v>
      </c>
      <c r="D1533" s="1" t="s">
        <v>49</v>
      </c>
      <c r="E1533" s="1" t="s">
        <v>44</v>
      </c>
      <c r="F1533" s="1" t="s">
        <v>42</v>
      </c>
      <c r="G1533" s="1">
        <v>268</v>
      </c>
      <c r="H1533" s="1">
        <f>'1_Departamento_n'!C29</f>
        <v>34307</v>
      </c>
      <c r="I1533" s="1">
        <f>'1_Departamento_n'!H29</f>
        <v>1278</v>
      </c>
      <c r="J1533" s="1">
        <f>'0_Parametros'!B7</f>
        <v>10</v>
      </c>
      <c r="K1533" s="3">
        <f>(I1533-SUM($J$1514:$J$1569))*G1533/H1533</f>
        <v>5.608884484216049</v>
      </c>
      <c r="L1533" s="1">
        <f>INT(K1533)</f>
        <v>5</v>
      </c>
      <c r="M1533" s="3">
        <f>K1533-L1533</f>
        <v>0.6088844842160492</v>
      </c>
      <c r="N1533" s="1">
        <f>COUNTIF($M$1514:$M$1569,"&gt;"&amp;M1533)+COUNTIF($M$1514:M1533,M1533)</f>
        <v>25</v>
      </c>
      <c r="O1533" s="1">
        <f>J1533+L1533+IF(N1533&lt;=I1533-SUM($J$1514:$J$1569)-SUM($L$1514:$L$1569),1,0)</f>
        <v>16</v>
      </c>
    </row>
    <row r="1534" spans="1:15">
      <c r="A1534" s="1" t="s">
        <v>74</v>
      </c>
      <c r="B1534" s="1" t="s">
        <v>81</v>
      </c>
      <c r="C1534" s="1" t="s">
        <v>38</v>
      </c>
      <c r="D1534" s="1" t="s">
        <v>49</v>
      </c>
      <c r="E1534" s="1" t="s">
        <v>45</v>
      </c>
      <c r="F1534" s="1" t="s">
        <v>41</v>
      </c>
      <c r="G1534" s="1">
        <v>353</v>
      </c>
      <c r="H1534" s="1">
        <f>'1_Departamento_n'!C29</f>
        <v>34307</v>
      </c>
      <c r="I1534" s="1">
        <f>'1_Departamento_n'!H29</f>
        <v>1278</v>
      </c>
      <c r="J1534" s="1">
        <f>'0_Parametros'!B7</f>
        <v>10</v>
      </c>
      <c r="K1534" s="3">
        <f>(I1534-SUM($J$1514:$J$1569))*G1534/H1534</f>
        <v>7.3878217273442734</v>
      </c>
      <c r="L1534" s="1">
        <f>INT(K1534)</f>
        <v>7</v>
      </c>
      <c r="M1534" s="3">
        <f>K1534-L1534</f>
        <v>0.38782172734427345</v>
      </c>
      <c r="N1534" s="1">
        <f>COUNTIF($M$1514:$M$1569,"&gt;"&amp;M1534)+COUNTIF($M$1514:M1534,M1534)</f>
        <v>33</v>
      </c>
      <c r="O1534" s="1">
        <f>J1534+L1534+IF(N1534&lt;=I1534-SUM($J$1514:$J$1569)-SUM($L$1514:$L$1569),1,0)</f>
        <v>17</v>
      </c>
    </row>
    <row r="1535" spans="1:15">
      <c r="A1535" s="1" t="s">
        <v>74</v>
      </c>
      <c r="B1535" s="1" t="s">
        <v>81</v>
      </c>
      <c r="C1535" s="1" t="s">
        <v>38</v>
      </c>
      <c r="D1535" s="1" t="s">
        <v>49</v>
      </c>
      <c r="E1535" s="1" t="s">
        <v>45</v>
      </c>
      <c r="F1535" s="1" t="s">
        <v>42</v>
      </c>
      <c r="G1535" s="1">
        <v>379</v>
      </c>
      <c r="H1535" s="1">
        <f>'1_Departamento_n'!C29</f>
        <v>34307</v>
      </c>
      <c r="I1535" s="1">
        <f>'1_Departamento_n'!H29</f>
        <v>1278</v>
      </c>
      <c r="J1535" s="1">
        <f>'0_Parametros'!B7</f>
        <v>10</v>
      </c>
      <c r="K1535" s="3">
        <f>(I1535-SUM($J$1514:$J$1569))*G1535/H1535</f>
        <v>7.931967237007025</v>
      </c>
      <c r="L1535" s="1">
        <f>INT(K1535)</f>
        <v>7</v>
      </c>
      <c r="M1535" s="3">
        <f>K1535-L1535</f>
        <v>0.9319672370070249</v>
      </c>
      <c r="N1535" s="1">
        <f>COUNTIF($M$1514:$M$1569,"&gt;"&amp;M1535)+COUNTIF($M$1514:M1535,M1535)</f>
        <v>3</v>
      </c>
      <c r="O1535" s="1">
        <f>J1535+L1535+IF(N1535&lt;=I1535-SUM($J$1514:$J$1569)-SUM($L$1514:$L$1569),1,0)</f>
        <v>18</v>
      </c>
    </row>
    <row r="1536" spans="1:15">
      <c r="A1536" s="1" t="s">
        <v>74</v>
      </c>
      <c r="B1536" s="1" t="s">
        <v>81</v>
      </c>
      <c r="C1536" s="1" t="s">
        <v>38</v>
      </c>
      <c r="D1536" s="1" t="s">
        <v>49</v>
      </c>
      <c r="E1536" s="1" t="s">
        <v>46</v>
      </c>
      <c r="F1536" s="1" t="s">
        <v>41</v>
      </c>
      <c r="G1536" s="1">
        <v>250</v>
      </c>
      <c r="H1536" s="1">
        <f>'1_Departamento_n'!C29</f>
        <v>34307</v>
      </c>
      <c r="I1536" s="1">
        <f>'1_Departamento_n'!H29</f>
        <v>1278</v>
      </c>
      <c r="J1536" s="1">
        <f>'0_Parametros'!B7</f>
        <v>10</v>
      </c>
      <c r="K1536" s="3">
        <f>(I1536-SUM($J$1514:$J$1569))*G1536/H1536</f>
        <v>5.232168362141837</v>
      </c>
      <c r="L1536" s="1">
        <f>INT(K1536)</f>
        <v>5</v>
      </c>
      <c r="M1536" s="3">
        <f>K1536-L1536</f>
        <v>0.23216836214183711</v>
      </c>
      <c r="N1536" s="1">
        <f>COUNTIF($M$1514:$M$1569,"&gt;"&amp;M1536)+COUNTIF($M$1514:M1536,M1536)</f>
        <v>40</v>
      </c>
      <c r="O1536" s="1">
        <f>J1536+L1536+IF(N1536&lt;=I1536-SUM($J$1514:$J$1569)-SUM($L$1514:$L$1569),1,0)</f>
        <v>15</v>
      </c>
    </row>
    <row r="1537" spans="1:15">
      <c r="A1537" s="1" t="s">
        <v>74</v>
      </c>
      <c r="B1537" s="1" t="s">
        <v>81</v>
      </c>
      <c r="C1537" s="1" t="s">
        <v>38</v>
      </c>
      <c r="D1537" s="1" t="s">
        <v>49</v>
      </c>
      <c r="E1537" s="1" t="s">
        <v>46</v>
      </c>
      <c r="F1537" s="1" t="s">
        <v>42</v>
      </c>
      <c r="G1537" s="1">
        <v>195</v>
      </c>
      <c r="H1537" s="1">
        <f>'1_Departamento_n'!C29</f>
        <v>34307</v>
      </c>
      <c r="I1537" s="1">
        <f>'1_Departamento_n'!H29</f>
        <v>1278</v>
      </c>
      <c r="J1537" s="1">
        <f>'0_Parametros'!B7</f>
        <v>10</v>
      </c>
      <c r="K1537" s="3">
        <f>(I1537-SUM($J$1514:$J$1569))*G1537/H1537</f>
        <v>4.081091322470633</v>
      </c>
      <c r="L1537" s="1">
        <f>INT(K1537)</f>
        <v>4</v>
      </c>
      <c r="M1537" s="3">
        <f>K1537-L1537</f>
        <v>0.08109132247063311</v>
      </c>
      <c r="N1537" s="1">
        <f>COUNTIF($M$1514:$M$1569,"&gt;"&amp;M1537)+COUNTIF($M$1514:M1537,M1537)</f>
        <v>54</v>
      </c>
      <c r="O1537" s="1">
        <f>J1537+L1537+IF(N1537&lt;=I1537-SUM($J$1514:$J$1569)-SUM($L$1514:$L$1569),1,0)</f>
        <v>14</v>
      </c>
    </row>
    <row r="1538" spans="1:15">
      <c r="A1538" s="1" t="s">
        <v>74</v>
      </c>
      <c r="B1538" s="1" t="s">
        <v>81</v>
      </c>
      <c r="C1538" s="1" t="s">
        <v>38</v>
      </c>
      <c r="D1538" s="1" t="s">
        <v>49</v>
      </c>
      <c r="E1538" s="1" t="s">
        <v>47</v>
      </c>
      <c r="F1538" s="1" t="s">
        <v>41</v>
      </c>
      <c r="G1538" s="1">
        <v>135</v>
      </c>
      <c r="H1538" s="1">
        <f>'1_Departamento_n'!C29</f>
        <v>34307</v>
      </c>
      <c r="I1538" s="1">
        <f>'1_Departamento_n'!H29</f>
        <v>1278</v>
      </c>
      <c r="J1538" s="1">
        <f>'0_Parametros'!B7</f>
        <v>10</v>
      </c>
      <c r="K1538" s="3">
        <f>(I1538-SUM($J$1514:$J$1569))*G1538/H1538</f>
        <v>2.825370915556592</v>
      </c>
      <c r="L1538" s="1">
        <f>INT(K1538)</f>
        <v>2</v>
      </c>
      <c r="M1538" s="3">
        <f>K1538-L1538</f>
        <v>0.8253709155565918</v>
      </c>
      <c r="N1538" s="1">
        <f>COUNTIF($M$1514:$M$1569,"&gt;"&amp;M1538)+COUNTIF($M$1514:M1538,M1538)</f>
        <v>12</v>
      </c>
      <c r="O1538" s="1">
        <f>J1538+L1538+IF(N1538&lt;=I1538-SUM($J$1514:$J$1569)-SUM($L$1514:$L$1569),1,0)</f>
        <v>13</v>
      </c>
    </row>
    <row r="1539" spans="1:15">
      <c r="A1539" s="1" t="s">
        <v>74</v>
      </c>
      <c r="B1539" s="1" t="s">
        <v>81</v>
      </c>
      <c r="C1539" s="1" t="s">
        <v>38</v>
      </c>
      <c r="D1539" s="1" t="s">
        <v>49</v>
      </c>
      <c r="E1539" s="1" t="s">
        <v>47</v>
      </c>
      <c r="F1539" s="1" t="s">
        <v>42</v>
      </c>
      <c r="G1539" s="1">
        <v>91</v>
      </c>
      <c r="H1539" s="1">
        <f>'1_Departamento_n'!C29</f>
        <v>34307</v>
      </c>
      <c r="I1539" s="1">
        <f>'1_Departamento_n'!H29</f>
        <v>1278</v>
      </c>
      <c r="J1539" s="1">
        <f>'0_Parametros'!B7</f>
        <v>10</v>
      </c>
      <c r="K1539" s="3">
        <f>(I1539-SUM($J$1514:$J$1569))*G1539/H1539</f>
        <v>1.9045092838196287</v>
      </c>
      <c r="L1539" s="1">
        <f>INT(K1539)</f>
        <v>1</v>
      </c>
      <c r="M1539" s="3">
        <f>K1539-L1539</f>
        <v>0.9045092838196287</v>
      </c>
      <c r="N1539" s="1">
        <f>COUNTIF($M$1514:$M$1569,"&gt;"&amp;M1539)+COUNTIF($M$1514:M1539,M1539)</f>
        <v>5</v>
      </c>
      <c r="O1539" s="1">
        <f>J1539+L1539+IF(N1539&lt;=I1539-SUM($J$1514:$J$1569)-SUM($L$1514:$L$1569),1,0)</f>
        <v>12</v>
      </c>
    </row>
    <row r="1540" spans="1:15">
      <c r="A1540" s="1" t="s">
        <v>74</v>
      </c>
      <c r="B1540" s="1" t="s">
        <v>81</v>
      </c>
      <c r="C1540" s="1" t="s">
        <v>38</v>
      </c>
      <c r="D1540" s="1" t="s">
        <v>49</v>
      </c>
      <c r="E1540" s="1" t="s">
        <v>48</v>
      </c>
      <c r="F1540" s="1" t="s">
        <v>41</v>
      </c>
      <c r="G1540" s="1">
        <v>148</v>
      </c>
      <c r="H1540" s="1">
        <f>'1_Departamento_n'!C29</f>
        <v>34307</v>
      </c>
      <c r="I1540" s="1">
        <f>'1_Departamento_n'!H29</f>
        <v>1278</v>
      </c>
      <c r="J1540" s="1">
        <f>'0_Parametros'!B7</f>
        <v>10</v>
      </c>
      <c r="K1540" s="3">
        <f>(I1540-SUM($J$1514:$J$1569))*G1540/H1540</f>
        <v>3.0974436703879675</v>
      </c>
      <c r="L1540" s="1">
        <f>INT(K1540)</f>
        <v>3</v>
      </c>
      <c r="M1540" s="3">
        <f>K1540-L1540</f>
        <v>0.09744367038796753</v>
      </c>
      <c r="N1540" s="1">
        <f>COUNTIF($M$1514:$M$1569,"&gt;"&amp;M1540)+COUNTIF($M$1514:M1540,M1540)</f>
        <v>52</v>
      </c>
      <c r="O1540" s="1">
        <f>J1540+L1540+IF(N1540&lt;=I1540-SUM($J$1514:$J$1569)-SUM($L$1514:$L$1569),1,0)</f>
        <v>13</v>
      </c>
    </row>
    <row r="1541" spans="1:15">
      <c r="A1541" s="1" t="s">
        <v>74</v>
      </c>
      <c r="B1541" s="1" t="s">
        <v>81</v>
      </c>
      <c r="C1541" s="1" t="s">
        <v>38</v>
      </c>
      <c r="D1541" s="1" t="s">
        <v>49</v>
      </c>
      <c r="E1541" s="1" t="s">
        <v>48</v>
      </c>
      <c r="F1541" s="1" t="s">
        <v>42</v>
      </c>
      <c r="G1541" s="1">
        <v>56</v>
      </c>
      <c r="H1541" s="1">
        <f>'1_Departamento_n'!C29</f>
        <v>34307</v>
      </c>
      <c r="I1541" s="1">
        <f>'1_Departamento_n'!H29</f>
        <v>1278</v>
      </c>
      <c r="J1541" s="1">
        <f>'0_Parametros'!B7</f>
        <v>10</v>
      </c>
      <c r="K1541" s="3">
        <f>(I1541-SUM($J$1514:$J$1569))*G1541/H1541</f>
        <v>1.1720057131197714</v>
      </c>
      <c r="L1541" s="1">
        <f>INT(K1541)</f>
        <v>1</v>
      </c>
      <c r="M1541" s="3">
        <f>K1541-L1541</f>
        <v>0.17200571311977142</v>
      </c>
      <c r="N1541" s="1">
        <f>COUNTIF($M$1514:$M$1569,"&gt;"&amp;M1541)+COUNTIF($M$1514:M1541,M1541)</f>
        <v>44</v>
      </c>
      <c r="O1541" s="1">
        <f>J1541+L1541+IF(N1541&lt;=I1541-SUM($J$1514:$J$1569)-SUM($L$1514:$L$1569),1,0)</f>
        <v>11</v>
      </c>
    </row>
    <row r="1542" spans="1:15">
      <c r="A1542" s="1" t="s">
        <v>74</v>
      </c>
      <c r="B1542" s="1" t="s">
        <v>81</v>
      </c>
      <c r="C1542" s="1" t="s">
        <v>50</v>
      </c>
      <c r="D1542" s="1" t="s">
        <v>39</v>
      </c>
      <c r="E1542" s="1" t="s">
        <v>40</v>
      </c>
      <c r="F1542" s="1" t="s">
        <v>41</v>
      </c>
      <c r="G1542" s="1">
        <v>200</v>
      </c>
      <c r="H1542" s="1">
        <f>'1_Departamento_n'!C29</f>
        <v>34307</v>
      </c>
      <c r="I1542" s="1">
        <f>'1_Departamento_n'!H29</f>
        <v>1278</v>
      </c>
      <c r="J1542" s="1">
        <f>'0_Parametros'!B7</f>
        <v>10</v>
      </c>
      <c r="K1542" s="3">
        <f>(I1542-SUM($J$1514:$J$1569))*G1542/H1542</f>
        <v>4.1857346897134695</v>
      </c>
      <c r="L1542" s="1">
        <f>INT(K1542)</f>
        <v>4</v>
      </c>
      <c r="M1542" s="3">
        <f>K1542-L1542</f>
        <v>0.18573468971346951</v>
      </c>
      <c r="N1542" s="1">
        <f>COUNTIF($M$1514:$M$1569,"&gt;"&amp;M1542)+COUNTIF($M$1514:M1542,M1542)</f>
        <v>42</v>
      </c>
      <c r="O1542" s="1">
        <f>J1542+L1542+IF(N1542&lt;=I1542-SUM($J$1514:$J$1569)-SUM($L$1514:$L$1569),1,0)</f>
        <v>14</v>
      </c>
    </row>
    <row r="1543" spans="1:15">
      <c r="A1543" s="1" t="s">
        <v>74</v>
      </c>
      <c r="B1543" s="1" t="s">
        <v>81</v>
      </c>
      <c r="C1543" s="1" t="s">
        <v>50</v>
      </c>
      <c r="D1543" s="1" t="s">
        <v>39</v>
      </c>
      <c r="E1543" s="1" t="s">
        <v>40</v>
      </c>
      <c r="F1543" s="1" t="s">
        <v>42</v>
      </c>
      <c r="G1543" s="1">
        <v>2674</v>
      </c>
      <c r="H1543" s="1">
        <f>'1_Departamento_n'!C29</f>
        <v>34307</v>
      </c>
      <c r="I1543" s="1">
        <f>'1_Departamento_n'!H29</f>
        <v>1278</v>
      </c>
      <c r="J1543" s="1">
        <f>'0_Parametros'!B7</f>
        <v>10</v>
      </c>
      <c r="K1543" s="3">
        <f>(I1543-SUM($J$1514:$J$1569))*G1543/H1543</f>
        <v>55.96327280146909</v>
      </c>
      <c r="L1543" s="1">
        <f>INT(K1543)</f>
        <v>55</v>
      </c>
      <c r="M1543" s="3">
        <f>K1543-L1543</f>
        <v>0.9632728014690883</v>
      </c>
      <c r="N1543" s="1">
        <f>COUNTIF($M$1514:$M$1569,"&gt;"&amp;M1543)+COUNTIF($M$1514:M1543,M1543)</f>
        <v>2</v>
      </c>
      <c r="O1543" s="1">
        <f>J1543+L1543+IF(N1543&lt;=I1543-SUM($J$1514:$J$1569)-SUM($L$1514:$L$1569),1,0)</f>
        <v>66</v>
      </c>
    </row>
    <row r="1544" spans="1:15">
      <c r="A1544" s="1" t="s">
        <v>74</v>
      </c>
      <c r="B1544" s="1" t="s">
        <v>81</v>
      </c>
      <c r="C1544" s="1" t="s">
        <v>50</v>
      </c>
      <c r="D1544" s="1" t="s">
        <v>39</v>
      </c>
      <c r="E1544" s="1" t="s">
        <v>43</v>
      </c>
      <c r="F1544" s="1" t="s">
        <v>41</v>
      </c>
      <c r="G1544" s="1">
        <v>458</v>
      </c>
      <c r="H1544" s="1">
        <f>'1_Departamento_n'!C29</f>
        <v>34307</v>
      </c>
      <c r="I1544" s="1">
        <f>'1_Departamento_n'!H29</f>
        <v>1278</v>
      </c>
      <c r="J1544" s="1">
        <f>'0_Parametros'!B7</f>
        <v>10</v>
      </c>
      <c r="K1544" s="3">
        <f>(I1544-SUM($J$1514:$J$1569))*G1544/H1544</f>
        <v>9.585332439443846</v>
      </c>
      <c r="L1544" s="1">
        <f>INT(K1544)</f>
        <v>9</v>
      </c>
      <c r="M1544" s="3">
        <f>K1544-L1544</f>
        <v>0.5853324394438459</v>
      </c>
      <c r="N1544" s="1">
        <f>COUNTIF($M$1514:$M$1569,"&gt;"&amp;M1544)+COUNTIF($M$1514:M1544,M1544)</f>
        <v>26</v>
      </c>
      <c r="O1544" s="1">
        <f>J1544+L1544+IF(N1544&lt;=I1544-SUM($J$1514:$J$1569)-SUM($L$1514:$L$1569),1,0)</f>
        <v>20</v>
      </c>
    </row>
    <row r="1545" spans="1:15">
      <c r="A1545" s="1" t="s">
        <v>74</v>
      </c>
      <c r="B1545" s="1" t="s">
        <v>81</v>
      </c>
      <c r="C1545" s="1" t="s">
        <v>50</v>
      </c>
      <c r="D1545" s="1" t="s">
        <v>39</v>
      </c>
      <c r="E1545" s="1" t="s">
        <v>43</v>
      </c>
      <c r="F1545" s="1" t="s">
        <v>42</v>
      </c>
      <c r="G1545" s="1">
        <v>2807</v>
      </c>
      <c r="H1545" s="1">
        <f>'1_Departamento_n'!C29</f>
        <v>34307</v>
      </c>
      <c r="I1545" s="1">
        <f>'1_Departamento_n'!H29</f>
        <v>1278</v>
      </c>
      <c r="J1545" s="1">
        <f>'0_Parametros'!B7</f>
        <v>10</v>
      </c>
      <c r="K1545" s="3">
        <f>(I1545-SUM($J$1514:$J$1569))*G1545/H1545</f>
        <v>58.74678637012855</v>
      </c>
      <c r="L1545" s="1">
        <f>INT(K1545)</f>
        <v>58</v>
      </c>
      <c r="M1545" s="3">
        <f>K1545-L1545</f>
        <v>0.7467863701285467</v>
      </c>
      <c r="N1545" s="1">
        <f>COUNTIF($M$1514:$M$1569,"&gt;"&amp;M1545)+COUNTIF($M$1514:M1545,M1545)</f>
        <v>16</v>
      </c>
      <c r="O1545" s="1">
        <f>J1545+L1545+IF(N1545&lt;=I1545-SUM($J$1514:$J$1569)-SUM($L$1514:$L$1569),1,0)</f>
        <v>69</v>
      </c>
    </row>
    <row r="1546" spans="1:15">
      <c r="A1546" s="1" t="s">
        <v>74</v>
      </c>
      <c r="B1546" s="1" t="s">
        <v>81</v>
      </c>
      <c r="C1546" s="1" t="s">
        <v>50</v>
      </c>
      <c r="D1546" s="1" t="s">
        <v>39</v>
      </c>
      <c r="E1546" s="1" t="s">
        <v>44</v>
      </c>
      <c r="F1546" s="1" t="s">
        <v>41</v>
      </c>
      <c r="G1546" s="1">
        <v>321</v>
      </c>
      <c r="H1546" s="1">
        <f>'1_Departamento_n'!C29</f>
        <v>34307</v>
      </c>
      <c r="I1546" s="1">
        <f>'1_Departamento_n'!H29</f>
        <v>1278</v>
      </c>
      <c r="J1546" s="1">
        <f>'0_Parametros'!B7</f>
        <v>10</v>
      </c>
      <c r="K1546" s="3">
        <f>(I1546-SUM($J$1514:$J$1569))*G1546/H1546</f>
        <v>6.718104176990119</v>
      </c>
      <c r="L1546" s="1">
        <f>INT(K1546)</f>
        <v>6</v>
      </c>
      <c r="M1546" s="3">
        <f>K1546-L1546</f>
        <v>0.7181041769901189</v>
      </c>
      <c r="N1546" s="1">
        <f>COUNTIF($M$1514:$M$1569,"&gt;"&amp;M1546)+COUNTIF($M$1514:M1546,M1546)</f>
        <v>20</v>
      </c>
      <c r="O1546" s="1">
        <f>J1546+L1546+IF(N1546&lt;=I1546-SUM($J$1514:$J$1569)-SUM($L$1514:$L$1569),1,0)</f>
        <v>17</v>
      </c>
    </row>
    <row r="1547" spans="1:15">
      <c r="A1547" s="1" t="s">
        <v>74</v>
      </c>
      <c r="B1547" s="1" t="s">
        <v>81</v>
      </c>
      <c r="C1547" s="1" t="s">
        <v>50</v>
      </c>
      <c r="D1547" s="1" t="s">
        <v>39</v>
      </c>
      <c r="E1547" s="1" t="s">
        <v>44</v>
      </c>
      <c r="F1547" s="1" t="s">
        <v>42</v>
      </c>
      <c r="G1547" s="1">
        <v>1905</v>
      </c>
      <c r="H1547" s="1">
        <f>'1_Departamento_n'!C29</f>
        <v>34307</v>
      </c>
      <c r="I1547" s="1">
        <f>'1_Departamento_n'!H29</f>
        <v>1278</v>
      </c>
      <c r="J1547" s="1">
        <f>'0_Parametros'!B7</f>
        <v>10</v>
      </c>
      <c r="K1547" s="3">
        <f>(I1547-SUM($J$1514:$J$1569))*G1547/H1547</f>
        <v>39.8691229195208</v>
      </c>
      <c r="L1547" s="1">
        <f>INT(K1547)</f>
        <v>39</v>
      </c>
      <c r="M1547" s="3">
        <f>K1547-L1547</f>
        <v>0.8691229195207981</v>
      </c>
      <c r="N1547" s="1">
        <f>COUNTIF($M$1514:$M$1569,"&gt;"&amp;M1547)+COUNTIF($M$1514:M1547,M1547)</f>
        <v>8</v>
      </c>
      <c r="O1547" s="1">
        <f>J1547+L1547+IF(N1547&lt;=I1547-SUM($J$1514:$J$1569)-SUM($L$1514:$L$1569),1,0)</f>
        <v>50</v>
      </c>
    </row>
    <row r="1548" spans="1:15">
      <c r="A1548" s="1" t="s">
        <v>74</v>
      </c>
      <c r="B1548" s="1" t="s">
        <v>81</v>
      </c>
      <c r="C1548" s="1" t="s">
        <v>50</v>
      </c>
      <c r="D1548" s="1" t="s">
        <v>39</v>
      </c>
      <c r="E1548" s="1" t="s">
        <v>45</v>
      </c>
      <c r="F1548" s="1" t="s">
        <v>41</v>
      </c>
      <c r="G1548" s="1">
        <v>247</v>
      </c>
      <c r="H1548" s="1">
        <f>'1_Departamento_n'!C29</f>
        <v>34307</v>
      </c>
      <c r="I1548" s="1">
        <f>'1_Departamento_n'!H29</f>
        <v>1278</v>
      </c>
      <c r="J1548" s="1">
        <f>'0_Parametros'!B7</f>
        <v>10</v>
      </c>
      <c r="K1548" s="3">
        <f>(I1548-SUM($J$1514:$J$1569))*G1548/H1548</f>
        <v>5.169382341796135</v>
      </c>
      <c r="L1548" s="1">
        <f>INT(K1548)</f>
        <v>5</v>
      </c>
      <c r="M1548" s="3">
        <f>K1548-L1548</f>
        <v>0.1693823417961351</v>
      </c>
      <c r="N1548" s="1">
        <f>COUNTIF($M$1514:$M$1569,"&gt;"&amp;M1548)+COUNTIF($M$1514:M1548,M1548)</f>
        <v>45</v>
      </c>
      <c r="O1548" s="1">
        <f>J1548+L1548+IF(N1548&lt;=I1548-SUM($J$1514:$J$1569)-SUM($L$1514:$L$1569),1,0)</f>
        <v>15</v>
      </c>
    </row>
    <row r="1549" spans="1:15">
      <c r="A1549" s="1" t="s">
        <v>74</v>
      </c>
      <c r="B1549" s="1" t="s">
        <v>81</v>
      </c>
      <c r="C1549" s="1" t="s">
        <v>50</v>
      </c>
      <c r="D1549" s="1" t="s">
        <v>39</v>
      </c>
      <c r="E1549" s="1" t="s">
        <v>45</v>
      </c>
      <c r="F1549" s="1" t="s">
        <v>42</v>
      </c>
      <c r="G1549" s="1">
        <v>1391</v>
      </c>
      <c r="H1549" s="1">
        <f>'1_Departamento_n'!C29</f>
        <v>34307</v>
      </c>
      <c r="I1549" s="1">
        <f>'1_Departamento_n'!H29</f>
        <v>1278</v>
      </c>
      <c r="J1549" s="1">
        <f>'0_Parametros'!B7</f>
        <v>10</v>
      </c>
      <c r="K1549" s="3">
        <f>(I1549-SUM($J$1514:$J$1569))*G1549/H1549</f>
        <v>29.111784766957182</v>
      </c>
      <c r="L1549" s="1">
        <f>INT(K1549)</f>
        <v>29</v>
      </c>
      <c r="M1549" s="3">
        <f>K1549-L1549</f>
        <v>0.11178476695718231</v>
      </c>
      <c r="N1549" s="1">
        <f>COUNTIF($M$1514:$M$1569,"&gt;"&amp;M1549)+COUNTIF($M$1514:M1549,M1549)</f>
        <v>51</v>
      </c>
      <c r="O1549" s="1">
        <f>J1549+L1549+IF(N1549&lt;=I1549-SUM($J$1514:$J$1569)-SUM($L$1514:$L$1569),1,0)</f>
        <v>39</v>
      </c>
    </row>
    <row r="1550" spans="1:15">
      <c r="A1550" s="1" t="s">
        <v>74</v>
      </c>
      <c r="B1550" s="1" t="s">
        <v>81</v>
      </c>
      <c r="C1550" s="1" t="s">
        <v>50</v>
      </c>
      <c r="D1550" s="1" t="s">
        <v>39</v>
      </c>
      <c r="E1550" s="1" t="s">
        <v>46</v>
      </c>
      <c r="F1550" s="1" t="s">
        <v>41</v>
      </c>
      <c r="G1550" s="1">
        <v>178</v>
      </c>
      <c r="H1550" s="1">
        <f>'1_Departamento_n'!C29</f>
        <v>34307</v>
      </c>
      <c r="I1550" s="1">
        <f>'1_Departamento_n'!H29</f>
        <v>1278</v>
      </c>
      <c r="J1550" s="1">
        <f>'0_Parametros'!B7</f>
        <v>10</v>
      </c>
      <c r="K1550" s="3">
        <f>(I1550-SUM($J$1514:$J$1569))*G1550/H1550</f>
        <v>3.7253038738449877</v>
      </c>
      <c r="L1550" s="1">
        <f>INT(K1550)</f>
        <v>3</v>
      </c>
      <c r="M1550" s="3">
        <f>K1550-L1550</f>
        <v>0.7253038738449877</v>
      </c>
      <c r="N1550" s="1">
        <f>COUNTIF($M$1514:$M$1569,"&gt;"&amp;M1550)+COUNTIF($M$1514:M1550,M1550)</f>
        <v>18</v>
      </c>
      <c r="O1550" s="1">
        <f>J1550+L1550+IF(N1550&lt;=I1550-SUM($J$1514:$J$1569)-SUM($L$1514:$L$1569),1,0)</f>
        <v>14</v>
      </c>
    </row>
    <row r="1551" spans="1:15">
      <c r="A1551" s="1" t="s">
        <v>74</v>
      </c>
      <c r="B1551" s="1" t="s">
        <v>81</v>
      </c>
      <c r="C1551" s="1" t="s">
        <v>50</v>
      </c>
      <c r="D1551" s="1" t="s">
        <v>39</v>
      </c>
      <c r="E1551" s="1" t="s">
        <v>46</v>
      </c>
      <c r="F1551" s="1" t="s">
        <v>42</v>
      </c>
      <c r="G1551" s="1">
        <v>1077</v>
      </c>
      <c r="H1551" s="1">
        <f>'1_Departamento_n'!C29</f>
        <v>34307</v>
      </c>
      <c r="I1551" s="1">
        <f>'1_Departamento_n'!H29</f>
        <v>1278</v>
      </c>
      <c r="J1551" s="1">
        <f>'0_Parametros'!B7</f>
        <v>10</v>
      </c>
      <c r="K1551" s="3">
        <f>(I1551-SUM($J$1514:$J$1569))*G1551/H1551</f>
        <v>22.540181304107033</v>
      </c>
      <c r="L1551" s="1">
        <f>INT(K1551)</f>
        <v>22</v>
      </c>
      <c r="M1551" s="3">
        <f>K1551-L1551</f>
        <v>0.5401813041070334</v>
      </c>
      <c r="N1551" s="1">
        <f>COUNTIF($M$1514:$M$1569,"&gt;"&amp;M1551)+COUNTIF($M$1514:M1551,M1551)</f>
        <v>27</v>
      </c>
      <c r="O1551" s="1">
        <f>J1551+L1551+IF(N1551&lt;=I1551-SUM($J$1514:$J$1569)-SUM($L$1514:$L$1569),1,0)</f>
        <v>33</v>
      </c>
    </row>
    <row r="1552" spans="1:15">
      <c r="A1552" s="1" t="s">
        <v>74</v>
      </c>
      <c r="B1552" s="1" t="s">
        <v>81</v>
      </c>
      <c r="C1552" s="1" t="s">
        <v>50</v>
      </c>
      <c r="D1552" s="1" t="s">
        <v>39</v>
      </c>
      <c r="E1552" s="1" t="s">
        <v>47</v>
      </c>
      <c r="F1552" s="1" t="s">
        <v>41</v>
      </c>
      <c r="G1552" s="1">
        <v>152</v>
      </c>
      <c r="H1552" s="1">
        <f>'1_Departamento_n'!C29</f>
        <v>34307</v>
      </c>
      <c r="I1552" s="1">
        <f>'1_Departamento_n'!H29</f>
        <v>1278</v>
      </c>
      <c r="J1552" s="1">
        <f>'0_Parametros'!B7</f>
        <v>10</v>
      </c>
      <c r="K1552" s="3">
        <f>(I1552-SUM($J$1514:$J$1569))*G1552/H1552</f>
        <v>3.1811583641822367</v>
      </c>
      <c r="L1552" s="1">
        <f>INT(K1552)</f>
        <v>3</v>
      </c>
      <c r="M1552" s="3">
        <f>K1552-L1552</f>
        <v>0.18115836418223674</v>
      </c>
      <c r="N1552" s="1">
        <f>COUNTIF($M$1514:$M$1569,"&gt;"&amp;M1552)+COUNTIF($M$1514:M1552,M1552)</f>
        <v>43</v>
      </c>
      <c r="O1552" s="1">
        <f>J1552+L1552+IF(N1552&lt;=I1552-SUM($J$1514:$J$1569)-SUM($L$1514:$L$1569),1,0)</f>
        <v>13</v>
      </c>
    </row>
    <row r="1553" spans="1:15">
      <c r="A1553" s="1" t="s">
        <v>74</v>
      </c>
      <c r="B1553" s="1" t="s">
        <v>81</v>
      </c>
      <c r="C1553" s="1" t="s">
        <v>50</v>
      </c>
      <c r="D1553" s="1" t="s">
        <v>39</v>
      </c>
      <c r="E1553" s="1" t="s">
        <v>47</v>
      </c>
      <c r="F1553" s="1" t="s">
        <v>42</v>
      </c>
      <c r="G1553" s="1">
        <v>871</v>
      </c>
      <c r="H1553" s="1">
        <f>'1_Departamento_n'!C29</f>
        <v>34307</v>
      </c>
      <c r="I1553" s="1">
        <f>'1_Departamento_n'!H29</f>
        <v>1278</v>
      </c>
      <c r="J1553" s="1">
        <f>'0_Parametros'!B7</f>
        <v>10</v>
      </c>
      <c r="K1553" s="3">
        <f>(I1553-SUM($J$1514:$J$1569))*G1553/H1553</f>
        <v>18.22887457370216</v>
      </c>
      <c r="L1553" s="1">
        <f>INT(K1553)</f>
        <v>18</v>
      </c>
      <c r="M1553" s="3">
        <f>K1553-L1553</f>
        <v>0.2288745737021607</v>
      </c>
      <c r="N1553" s="1">
        <f>COUNTIF($M$1514:$M$1569,"&gt;"&amp;M1553)+COUNTIF($M$1514:M1553,M1553)</f>
        <v>41</v>
      </c>
      <c r="O1553" s="1">
        <f>J1553+L1553+IF(N1553&lt;=I1553-SUM($J$1514:$J$1569)-SUM($L$1514:$L$1569),1,0)</f>
        <v>28</v>
      </c>
    </row>
    <row r="1554" spans="1:15">
      <c r="A1554" s="1" t="s">
        <v>74</v>
      </c>
      <c r="B1554" s="1" t="s">
        <v>81</v>
      </c>
      <c r="C1554" s="1" t="s">
        <v>50</v>
      </c>
      <c r="D1554" s="1" t="s">
        <v>39</v>
      </c>
      <c r="E1554" s="1" t="s">
        <v>48</v>
      </c>
      <c r="F1554" s="1" t="s">
        <v>41</v>
      </c>
      <c r="G1554" s="1">
        <v>252</v>
      </c>
      <c r="H1554" s="1">
        <f>'1_Departamento_n'!C29</f>
        <v>34307</v>
      </c>
      <c r="I1554" s="1">
        <f>'1_Departamento_n'!H29</f>
        <v>1278</v>
      </c>
      <c r="J1554" s="1">
        <f>'0_Parametros'!B7</f>
        <v>10</v>
      </c>
      <c r="K1554" s="3">
        <f>(I1554-SUM($J$1514:$J$1569))*G1554/H1554</f>
        <v>5.2740257090389715</v>
      </c>
      <c r="L1554" s="1">
        <f>INT(K1554)</f>
        <v>5</v>
      </c>
      <c r="M1554" s="3">
        <f>K1554-L1554</f>
        <v>0.2740257090389715</v>
      </c>
      <c r="N1554" s="1">
        <f>COUNTIF($M$1514:$M$1569,"&gt;"&amp;M1554)+COUNTIF($M$1514:M1554,M1554)</f>
        <v>37</v>
      </c>
      <c r="O1554" s="1">
        <f>J1554+L1554+IF(N1554&lt;=I1554-SUM($J$1514:$J$1569)-SUM($L$1514:$L$1569),1,0)</f>
        <v>15</v>
      </c>
    </row>
    <row r="1555" spans="1:15">
      <c r="A1555" s="1" t="s">
        <v>74</v>
      </c>
      <c r="B1555" s="1" t="s">
        <v>81</v>
      </c>
      <c r="C1555" s="1" t="s">
        <v>50</v>
      </c>
      <c r="D1555" s="1" t="s">
        <v>39</v>
      </c>
      <c r="E1555" s="1" t="s">
        <v>48</v>
      </c>
      <c r="F1555" s="1" t="s">
        <v>42</v>
      </c>
      <c r="G1555" s="1">
        <v>1344</v>
      </c>
      <c r="H1555" s="1">
        <f>'1_Departamento_n'!C29</f>
        <v>34307</v>
      </c>
      <c r="I1555" s="1">
        <f>'1_Departamento_n'!H29</f>
        <v>1278</v>
      </c>
      <c r="J1555" s="1">
        <f>'0_Parametros'!B7</f>
        <v>10</v>
      </c>
      <c r="K1555" s="3">
        <f>(I1555-SUM($J$1514:$J$1569))*G1555/H1555</f>
        <v>28.128137114874516</v>
      </c>
      <c r="L1555" s="1">
        <f>INT(K1555)</f>
        <v>28</v>
      </c>
      <c r="M1555" s="3">
        <f>K1555-L1555</f>
        <v>0.12813711487451585</v>
      </c>
      <c r="N1555" s="1">
        <f>COUNTIF($M$1514:$M$1569,"&gt;"&amp;M1555)+COUNTIF($M$1514:M1555,M1555)</f>
        <v>48</v>
      </c>
      <c r="O1555" s="1">
        <f>J1555+L1555+IF(N1555&lt;=I1555-SUM($J$1514:$J$1569)-SUM($L$1514:$L$1569),1,0)</f>
        <v>38</v>
      </c>
    </row>
    <row r="1556" spans="1:15">
      <c r="A1556" s="1" t="s">
        <v>74</v>
      </c>
      <c r="B1556" s="1" t="s">
        <v>81</v>
      </c>
      <c r="C1556" s="1" t="s">
        <v>50</v>
      </c>
      <c r="D1556" s="1" t="s">
        <v>49</v>
      </c>
      <c r="E1556" s="1" t="s">
        <v>40</v>
      </c>
      <c r="F1556" s="1" t="s">
        <v>41</v>
      </c>
      <c r="G1556" s="1">
        <v>243</v>
      </c>
      <c r="H1556" s="1">
        <f>'1_Departamento_n'!C29</f>
        <v>34307</v>
      </c>
      <c r="I1556" s="1">
        <f>'1_Departamento_n'!H29</f>
        <v>1278</v>
      </c>
      <c r="J1556" s="1">
        <f>'0_Parametros'!B7</f>
        <v>10</v>
      </c>
      <c r="K1556" s="3">
        <f>(I1556-SUM($J$1514:$J$1569))*G1556/H1556</f>
        <v>5.085667648001865</v>
      </c>
      <c r="L1556" s="1">
        <f>INT(K1556)</f>
        <v>5</v>
      </c>
      <c r="M1556" s="3">
        <f>K1556-L1556</f>
        <v>0.08566764800186544</v>
      </c>
      <c r="N1556" s="1">
        <f>COUNTIF($M$1514:$M$1569,"&gt;"&amp;M1556)+COUNTIF($M$1514:M1556,M1556)</f>
        <v>53</v>
      </c>
      <c r="O1556" s="1">
        <f>J1556+L1556+IF(N1556&lt;=I1556-SUM($J$1514:$J$1569)-SUM($L$1514:$L$1569),1,0)</f>
        <v>15</v>
      </c>
    </row>
    <row r="1557" spans="1:15">
      <c r="A1557" s="1" t="s">
        <v>74</v>
      </c>
      <c r="B1557" s="1" t="s">
        <v>81</v>
      </c>
      <c r="C1557" s="1" t="s">
        <v>50</v>
      </c>
      <c r="D1557" s="1" t="s">
        <v>49</v>
      </c>
      <c r="E1557" s="1" t="s">
        <v>40</v>
      </c>
      <c r="F1557" s="1" t="s">
        <v>42</v>
      </c>
      <c r="G1557" s="1">
        <v>2797</v>
      </c>
      <c r="H1557" s="1">
        <f>'1_Departamento_n'!C29</f>
        <v>34307</v>
      </c>
      <c r="I1557" s="1">
        <f>'1_Departamento_n'!H29</f>
        <v>1278</v>
      </c>
      <c r="J1557" s="1">
        <f>'0_Parametros'!B7</f>
        <v>10</v>
      </c>
      <c r="K1557" s="3">
        <f>(I1557-SUM($J$1514:$J$1569))*G1557/H1557</f>
        <v>58.537499635642874</v>
      </c>
      <c r="L1557" s="1">
        <f>INT(K1557)</f>
        <v>58</v>
      </c>
      <c r="M1557" s="3">
        <f>K1557-L1557</f>
        <v>0.5374996356428738</v>
      </c>
      <c r="N1557" s="1">
        <f>COUNTIF($M$1514:$M$1569,"&gt;"&amp;M1557)+COUNTIF($M$1514:M1557,M1557)</f>
        <v>28</v>
      </c>
      <c r="O1557" s="1">
        <f>J1557+L1557+IF(N1557&lt;=I1557-SUM($J$1514:$J$1569)-SUM($L$1514:$L$1569),1,0)</f>
        <v>69</v>
      </c>
    </row>
    <row r="1558" spans="1:15">
      <c r="A1558" s="1" t="s">
        <v>74</v>
      </c>
      <c r="B1558" s="1" t="s">
        <v>81</v>
      </c>
      <c r="C1558" s="1" t="s">
        <v>50</v>
      </c>
      <c r="D1558" s="1" t="s">
        <v>49</v>
      </c>
      <c r="E1558" s="1" t="s">
        <v>43</v>
      </c>
      <c r="F1558" s="1" t="s">
        <v>41</v>
      </c>
      <c r="G1558" s="1">
        <v>468</v>
      </c>
      <c r="H1558" s="1">
        <f>'1_Departamento_n'!C29</f>
        <v>34307</v>
      </c>
      <c r="I1558" s="1">
        <f>'1_Departamento_n'!H29</f>
        <v>1278</v>
      </c>
      <c r="J1558" s="1">
        <f>'0_Parametros'!B7</f>
        <v>10</v>
      </c>
      <c r="K1558" s="3">
        <f>(I1558-SUM($J$1514:$J$1569))*G1558/H1558</f>
        <v>9.794619173929519</v>
      </c>
      <c r="L1558" s="1">
        <f>INT(K1558)</f>
        <v>9</v>
      </c>
      <c r="M1558" s="3">
        <f>K1558-L1558</f>
        <v>0.7946191739295188</v>
      </c>
      <c r="N1558" s="1">
        <f>COUNTIF($M$1514:$M$1569,"&gt;"&amp;M1558)+COUNTIF($M$1514:M1558,M1558)</f>
        <v>13</v>
      </c>
      <c r="O1558" s="1">
        <f>J1558+L1558+IF(N1558&lt;=I1558-SUM($J$1514:$J$1569)-SUM($L$1514:$L$1569),1,0)</f>
        <v>20</v>
      </c>
    </row>
    <row r="1559" spans="1:15">
      <c r="A1559" s="1" t="s">
        <v>74</v>
      </c>
      <c r="B1559" s="1" t="s">
        <v>81</v>
      </c>
      <c r="C1559" s="1" t="s">
        <v>50</v>
      </c>
      <c r="D1559" s="1" t="s">
        <v>49</v>
      </c>
      <c r="E1559" s="1" t="s">
        <v>43</v>
      </c>
      <c r="F1559" s="1" t="s">
        <v>42</v>
      </c>
      <c r="G1559" s="1">
        <v>2719</v>
      </c>
      <c r="H1559" s="1">
        <f>'1_Departamento_n'!C29</f>
        <v>34307</v>
      </c>
      <c r="I1559" s="1">
        <f>'1_Departamento_n'!H29</f>
        <v>1278</v>
      </c>
      <c r="J1559" s="1">
        <f>'0_Parametros'!B7</f>
        <v>10</v>
      </c>
      <c r="K1559" s="3">
        <f>(I1559-SUM($J$1514:$J$1569))*G1559/H1559</f>
        <v>56.905063106654616</v>
      </c>
      <c r="L1559" s="1">
        <f>INT(K1559)</f>
        <v>56</v>
      </c>
      <c r="M1559" s="3">
        <f>K1559-L1559</f>
        <v>0.905063106654616</v>
      </c>
      <c r="N1559" s="1">
        <f>COUNTIF($M$1514:$M$1569,"&gt;"&amp;M1559)+COUNTIF($M$1514:M1559,M1559)</f>
        <v>4</v>
      </c>
      <c r="O1559" s="1">
        <f>J1559+L1559+IF(N1559&lt;=I1559-SUM($J$1514:$J$1569)-SUM($L$1514:$L$1569),1,0)</f>
        <v>67</v>
      </c>
    </row>
    <row r="1560" spans="1:15">
      <c r="A1560" s="1" t="s">
        <v>74</v>
      </c>
      <c r="B1560" s="1" t="s">
        <v>81</v>
      </c>
      <c r="C1560" s="1" t="s">
        <v>50</v>
      </c>
      <c r="D1560" s="1" t="s">
        <v>49</v>
      </c>
      <c r="E1560" s="1" t="s">
        <v>44</v>
      </c>
      <c r="F1560" s="1" t="s">
        <v>41</v>
      </c>
      <c r="G1560" s="1">
        <v>338</v>
      </c>
      <c r="H1560" s="1">
        <f>'1_Departamento_n'!C29</f>
        <v>34307</v>
      </c>
      <c r="I1560" s="1">
        <f>'1_Departamento_n'!H29</f>
        <v>1278</v>
      </c>
      <c r="J1560" s="1">
        <f>'0_Parametros'!B7</f>
        <v>10</v>
      </c>
      <c r="K1560" s="3">
        <f>(I1560-SUM($J$1514:$J$1569))*G1560/H1560</f>
        <v>7.073891625615763</v>
      </c>
      <c r="L1560" s="1">
        <f>INT(K1560)</f>
        <v>7</v>
      </c>
      <c r="M1560" s="3">
        <f>K1560-L1560</f>
        <v>0.07389162561576335</v>
      </c>
      <c r="N1560" s="1">
        <f>COUNTIF($M$1514:$M$1569,"&gt;"&amp;M1560)+COUNTIF($M$1514:M1560,M1560)</f>
        <v>56</v>
      </c>
      <c r="O1560" s="1">
        <f>J1560+L1560+IF(N1560&lt;=I1560-SUM($J$1514:$J$1569)-SUM($L$1514:$L$1569),1,0)</f>
        <v>17</v>
      </c>
    </row>
    <row r="1561" spans="1:15">
      <c r="A1561" s="1" t="s">
        <v>74</v>
      </c>
      <c r="B1561" s="1" t="s">
        <v>81</v>
      </c>
      <c r="C1561" s="1" t="s">
        <v>50</v>
      </c>
      <c r="D1561" s="1" t="s">
        <v>49</v>
      </c>
      <c r="E1561" s="1" t="s">
        <v>44</v>
      </c>
      <c r="F1561" s="1" t="s">
        <v>42</v>
      </c>
      <c r="G1561" s="1">
        <v>1753</v>
      </c>
      <c r="H1561" s="1">
        <f>'1_Departamento_n'!C29</f>
        <v>34307</v>
      </c>
      <c r="I1561" s="1">
        <f>'1_Departamento_n'!H29</f>
        <v>1278</v>
      </c>
      <c r="J1561" s="1">
        <f>'0_Parametros'!B7</f>
        <v>10</v>
      </c>
      <c r="K1561" s="3">
        <f>(I1561-SUM($J$1514:$J$1569))*G1561/H1561</f>
        <v>36.68796455533856</v>
      </c>
      <c r="L1561" s="1">
        <f>INT(K1561)</f>
        <v>36</v>
      </c>
      <c r="M1561" s="3">
        <f>K1561-L1561</f>
        <v>0.68796455533856</v>
      </c>
      <c r="N1561" s="1">
        <f>COUNTIF($M$1514:$M$1569,"&gt;"&amp;M1561)+COUNTIF($M$1514:M1561,M1561)</f>
        <v>23</v>
      </c>
      <c r="O1561" s="1">
        <f>J1561+L1561+IF(N1561&lt;=I1561-SUM($J$1514:$J$1569)-SUM($L$1514:$L$1569),1,0)</f>
        <v>47</v>
      </c>
    </row>
    <row r="1562" spans="1:15">
      <c r="A1562" s="1" t="s">
        <v>74</v>
      </c>
      <c r="B1562" s="1" t="s">
        <v>81</v>
      </c>
      <c r="C1562" s="1" t="s">
        <v>50</v>
      </c>
      <c r="D1562" s="1" t="s">
        <v>49</v>
      </c>
      <c r="E1562" s="1" t="s">
        <v>45</v>
      </c>
      <c r="F1562" s="1" t="s">
        <v>41</v>
      </c>
      <c r="G1562" s="1">
        <v>340</v>
      </c>
      <c r="H1562" s="1">
        <f>'1_Departamento_n'!C29</f>
        <v>34307</v>
      </c>
      <c r="I1562" s="1">
        <f>'1_Departamento_n'!H29</f>
        <v>1278</v>
      </c>
      <c r="J1562" s="1">
        <f>'0_Parametros'!B7</f>
        <v>10</v>
      </c>
      <c r="K1562" s="3">
        <f>(I1562-SUM($J$1514:$J$1569))*G1562/H1562</f>
        <v>7.115748972512899</v>
      </c>
      <c r="L1562" s="1">
        <f>INT(K1562)</f>
        <v>7</v>
      </c>
      <c r="M1562" s="3">
        <f>K1562-L1562</f>
        <v>0.11574897251289862</v>
      </c>
      <c r="N1562" s="1">
        <f>COUNTIF($M$1514:$M$1569,"&gt;"&amp;M1562)+COUNTIF($M$1514:M1562,M1562)</f>
        <v>50</v>
      </c>
      <c r="O1562" s="1">
        <f>J1562+L1562+IF(N1562&lt;=I1562-SUM($J$1514:$J$1569)-SUM($L$1514:$L$1569),1,0)</f>
        <v>17</v>
      </c>
    </row>
    <row r="1563" spans="1:15">
      <c r="A1563" s="1" t="s">
        <v>74</v>
      </c>
      <c r="B1563" s="1" t="s">
        <v>81</v>
      </c>
      <c r="C1563" s="1" t="s">
        <v>50</v>
      </c>
      <c r="D1563" s="1" t="s">
        <v>49</v>
      </c>
      <c r="E1563" s="1" t="s">
        <v>45</v>
      </c>
      <c r="F1563" s="1" t="s">
        <v>42</v>
      </c>
      <c r="G1563" s="1">
        <v>1522</v>
      </c>
      <c r="H1563" s="1">
        <f>'1_Departamento_n'!C29</f>
        <v>34307</v>
      </c>
      <c r="I1563" s="1">
        <f>'1_Departamento_n'!H29</f>
        <v>1278</v>
      </c>
      <c r="J1563" s="1">
        <f>'0_Parametros'!B7</f>
        <v>10</v>
      </c>
      <c r="K1563" s="3">
        <f>(I1563-SUM($J$1514:$J$1569))*G1563/H1563</f>
        <v>31.853440988719502</v>
      </c>
      <c r="L1563" s="1">
        <f>INT(K1563)</f>
        <v>31</v>
      </c>
      <c r="M1563" s="3">
        <f>K1563-L1563</f>
        <v>0.8534409887195018</v>
      </c>
      <c r="N1563" s="1">
        <f>COUNTIF($M$1514:$M$1569,"&gt;"&amp;M1563)+COUNTIF($M$1514:M1563,M1563)</f>
        <v>9</v>
      </c>
      <c r="O1563" s="1">
        <f>J1563+L1563+IF(N1563&lt;=I1563-SUM($J$1514:$J$1569)-SUM($L$1514:$L$1569),1,0)</f>
        <v>42</v>
      </c>
    </row>
    <row r="1564" spans="1:15">
      <c r="A1564" s="1" t="s">
        <v>74</v>
      </c>
      <c r="B1564" s="1" t="s">
        <v>81</v>
      </c>
      <c r="C1564" s="1" t="s">
        <v>50</v>
      </c>
      <c r="D1564" s="1" t="s">
        <v>49</v>
      </c>
      <c r="E1564" s="1" t="s">
        <v>46</v>
      </c>
      <c r="F1564" s="1" t="s">
        <v>41</v>
      </c>
      <c r="G1564" s="1">
        <v>228</v>
      </c>
      <c r="H1564" s="1">
        <f>'1_Departamento_n'!C29</f>
        <v>34307</v>
      </c>
      <c r="I1564" s="1">
        <f>'1_Departamento_n'!H29</f>
        <v>1278</v>
      </c>
      <c r="J1564" s="1">
        <f>'0_Parametros'!B7</f>
        <v>10</v>
      </c>
      <c r="K1564" s="3">
        <f>(I1564-SUM($J$1514:$J$1569))*G1564/H1564</f>
        <v>4.771737546273355</v>
      </c>
      <c r="L1564" s="1">
        <f>INT(K1564)</f>
        <v>4</v>
      </c>
      <c r="M1564" s="3">
        <f>K1564-L1564</f>
        <v>0.7717375462733553</v>
      </c>
      <c r="N1564" s="1">
        <f>COUNTIF($M$1514:$M$1569,"&gt;"&amp;M1564)+COUNTIF($M$1514:M1564,M1564)</f>
        <v>14</v>
      </c>
      <c r="O1564" s="1">
        <f>J1564+L1564+IF(N1564&lt;=I1564-SUM($J$1514:$J$1569)-SUM($L$1514:$L$1569),1,0)</f>
        <v>15</v>
      </c>
    </row>
    <row r="1565" spans="1:15">
      <c r="A1565" s="1" t="s">
        <v>74</v>
      </c>
      <c r="B1565" s="1" t="s">
        <v>81</v>
      </c>
      <c r="C1565" s="1" t="s">
        <v>50</v>
      </c>
      <c r="D1565" s="1" t="s">
        <v>49</v>
      </c>
      <c r="E1565" s="1" t="s">
        <v>46</v>
      </c>
      <c r="F1565" s="1" t="s">
        <v>42</v>
      </c>
      <c r="G1565" s="1">
        <v>1314</v>
      </c>
      <c r="H1565" s="1">
        <f>'1_Departamento_n'!C29</f>
        <v>34307</v>
      </c>
      <c r="I1565" s="1">
        <f>'1_Departamento_n'!H29</f>
        <v>1278</v>
      </c>
      <c r="J1565" s="1">
        <f>'0_Parametros'!B7</f>
        <v>10</v>
      </c>
      <c r="K1565" s="3">
        <f>(I1565-SUM($J$1514:$J$1569))*G1565/H1565</f>
        <v>27.500276911417494</v>
      </c>
      <c r="L1565" s="1">
        <f>INT(K1565)</f>
        <v>27</v>
      </c>
      <c r="M1565" s="3">
        <f>K1565-L1565</f>
        <v>0.5002769114174939</v>
      </c>
      <c r="N1565" s="1">
        <f>COUNTIF($M$1514:$M$1569,"&gt;"&amp;M1565)+COUNTIF($M$1514:M1565,M1565)</f>
        <v>29</v>
      </c>
      <c r="O1565" s="1">
        <f>J1565+L1565+IF(N1565&lt;=I1565-SUM($J$1514:$J$1569)-SUM($L$1514:$L$1569),1,0)</f>
        <v>37</v>
      </c>
    </row>
    <row r="1566" spans="1:15">
      <c r="A1566" s="1" t="s">
        <v>74</v>
      </c>
      <c r="B1566" s="1" t="s">
        <v>81</v>
      </c>
      <c r="C1566" s="1" t="s">
        <v>50</v>
      </c>
      <c r="D1566" s="1" t="s">
        <v>49</v>
      </c>
      <c r="E1566" s="1" t="s">
        <v>47</v>
      </c>
      <c r="F1566" s="1" t="s">
        <v>41</v>
      </c>
      <c r="G1566" s="1">
        <v>198</v>
      </c>
      <c r="H1566" s="1">
        <f>'1_Departamento_n'!C29</f>
        <v>34307</v>
      </c>
      <c r="I1566" s="1">
        <f>'1_Departamento_n'!H29</f>
        <v>1278</v>
      </c>
      <c r="J1566" s="1">
        <f>'0_Parametros'!B7</f>
        <v>10</v>
      </c>
      <c r="K1566" s="3">
        <f>(I1566-SUM($J$1514:$J$1569))*G1566/H1566</f>
        <v>4.143877342816335</v>
      </c>
      <c r="L1566" s="1">
        <f>INT(K1566)</f>
        <v>4</v>
      </c>
      <c r="M1566" s="3">
        <f>K1566-L1566</f>
        <v>0.14387734281633513</v>
      </c>
      <c r="N1566" s="1">
        <f>COUNTIF($M$1514:$M$1569,"&gt;"&amp;M1566)+COUNTIF($M$1514:M1566,M1566)</f>
        <v>46</v>
      </c>
      <c r="O1566" s="1">
        <f>J1566+L1566+IF(N1566&lt;=I1566-SUM($J$1514:$J$1569)-SUM($L$1514:$L$1569),1,0)</f>
        <v>14</v>
      </c>
    </row>
    <row r="1567" spans="1:15">
      <c r="A1567" s="1" t="s">
        <v>74</v>
      </c>
      <c r="B1567" s="1" t="s">
        <v>81</v>
      </c>
      <c r="C1567" s="1" t="s">
        <v>50</v>
      </c>
      <c r="D1567" s="1" t="s">
        <v>49</v>
      </c>
      <c r="E1567" s="1" t="s">
        <v>47</v>
      </c>
      <c r="F1567" s="1" t="s">
        <v>42</v>
      </c>
      <c r="G1567" s="1">
        <v>1085</v>
      </c>
      <c r="H1567" s="1">
        <f>'1_Departamento_n'!C29</f>
        <v>34307</v>
      </c>
      <c r="I1567" s="1">
        <f>'1_Departamento_n'!H29</f>
        <v>1278</v>
      </c>
      <c r="J1567" s="1">
        <f>'0_Parametros'!B7</f>
        <v>10</v>
      </c>
      <c r="K1567" s="3">
        <f>(I1567-SUM($J$1514:$J$1569))*G1567/H1567</f>
        <v>22.70761069169557</v>
      </c>
      <c r="L1567" s="1">
        <f>INT(K1567)</f>
        <v>22</v>
      </c>
      <c r="M1567" s="3">
        <f>K1567-L1567</f>
        <v>0.7076106916955709</v>
      </c>
      <c r="N1567" s="1">
        <f>COUNTIF($M$1514:$M$1569,"&gt;"&amp;M1567)+COUNTIF($M$1514:M1567,M1567)</f>
        <v>22</v>
      </c>
      <c r="O1567" s="1">
        <f>J1567+L1567+IF(N1567&lt;=I1567-SUM($J$1514:$J$1569)-SUM($L$1514:$L$1569),1,0)</f>
        <v>33</v>
      </c>
    </row>
    <row r="1568" spans="1:15">
      <c r="A1568" s="1" t="s">
        <v>74</v>
      </c>
      <c r="B1568" s="1" t="s">
        <v>81</v>
      </c>
      <c r="C1568" s="1" t="s">
        <v>50</v>
      </c>
      <c r="D1568" s="1" t="s">
        <v>49</v>
      </c>
      <c r="E1568" s="1" t="s">
        <v>48</v>
      </c>
      <c r="F1568" s="1" t="s">
        <v>41</v>
      </c>
      <c r="G1568" s="1">
        <v>308</v>
      </c>
      <c r="H1568" s="1">
        <f>'1_Departamento_n'!C29</f>
        <v>34307</v>
      </c>
      <c r="I1568" s="1">
        <f>'1_Departamento_n'!H29</f>
        <v>1278</v>
      </c>
      <c r="J1568" s="1">
        <f>'0_Parametros'!B7</f>
        <v>10</v>
      </c>
      <c r="K1568" s="3">
        <f>(I1568-SUM($J$1514:$J$1569))*G1568/H1568</f>
        <v>6.446031422158743</v>
      </c>
      <c r="L1568" s="1">
        <f>INT(K1568)</f>
        <v>6</v>
      </c>
      <c r="M1568" s="3">
        <f>K1568-L1568</f>
        <v>0.44603142215874314</v>
      </c>
      <c r="N1568" s="1">
        <f>COUNTIF($M$1514:$M$1569,"&gt;"&amp;M1568)+COUNTIF($M$1514:M1568,M1568)</f>
        <v>32</v>
      </c>
      <c r="O1568" s="1">
        <f>J1568+L1568+IF(N1568&lt;=I1568-SUM($J$1514:$J$1569)-SUM($L$1514:$L$1569),1,0)</f>
        <v>16</v>
      </c>
    </row>
    <row r="1569" spans="1:15">
      <c r="A1569" s="1" t="s">
        <v>74</v>
      </c>
      <c r="B1569" s="1" t="s">
        <v>81</v>
      </c>
      <c r="C1569" s="1" t="s">
        <v>50</v>
      </c>
      <c r="D1569" s="1" t="s">
        <v>49</v>
      </c>
      <c r="E1569" s="1" t="s">
        <v>48</v>
      </c>
      <c r="F1569" s="1" t="s">
        <v>42</v>
      </c>
      <c r="G1569" s="1">
        <v>1542</v>
      </c>
      <c r="H1569" s="1">
        <f>'1_Departamento_n'!C29</f>
        <v>34307</v>
      </c>
      <c r="I1569" s="1">
        <f>'1_Departamento_n'!H29</f>
        <v>1278</v>
      </c>
      <c r="J1569" s="1">
        <f>'0_Parametros'!B7</f>
        <v>10</v>
      </c>
      <c r="K1569" s="3">
        <f>(I1569-SUM($J$1514:$J$1569))*G1569/H1569</f>
        <v>32.27201445769085</v>
      </c>
      <c r="L1569" s="1">
        <f>INT(K1569)</f>
        <v>32</v>
      </c>
      <c r="M1569" s="3">
        <f>K1569-L1569</f>
        <v>0.272014457690851</v>
      </c>
      <c r="N1569" s="1">
        <f>COUNTIF($M$1514:$M$1569,"&gt;"&amp;M1569)+COUNTIF($M$1514:M1569,M1569)</f>
        <v>38</v>
      </c>
      <c r="O1569" s="1">
        <f>J1569+L1569+IF(N1569&lt;=I1569-SUM($J$1514:$J$1569)-SUM($L$1514:$L$1569),1,0)</f>
        <v>42</v>
      </c>
    </row>
    <row r="1570" spans="1:15">
      <c r="A1570" s="1" t="s">
        <v>74</v>
      </c>
      <c r="B1570" s="1" t="s">
        <v>82</v>
      </c>
      <c r="C1570" s="1" t="s">
        <v>38</v>
      </c>
      <c r="D1570" s="1" t="s">
        <v>39</v>
      </c>
      <c r="E1570" s="1" t="s">
        <v>40</v>
      </c>
      <c r="F1570" s="1" t="s">
        <v>41</v>
      </c>
      <c r="G1570" s="1">
        <v>289</v>
      </c>
      <c r="H1570" s="1">
        <f>'1_Departamento_n'!C30</f>
        <v>90089</v>
      </c>
      <c r="I1570" s="1">
        <f>'1_Departamento_n'!H30</f>
        <v>1299</v>
      </c>
      <c r="J1570" s="1">
        <f>'0_Parametros'!B7</f>
        <v>10</v>
      </c>
      <c r="K1570" s="3">
        <f>(I1570-SUM($J$1570:$J$1625))*G1570/H1570</f>
        <v>2.3706667850680994</v>
      </c>
      <c r="L1570" s="1">
        <f>INT(K1570)</f>
        <v>2</v>
      </c>
      <c r="M1570" s="3">
        <f>K1570-L1570</f>
        <v>0.37066678506809936</v>
      </c>
      <c r="N1570" s="1">
        <f>COUNTIF($M$1570:$M$1625,"&gt;"&amp;M1570)+COUNTIF($M$1570:M1570,M1570)</f>
        <v>32</v>
      </c>
      <c r="O1570" s="1">
        <f>J1570+L1570+IF(N1570&lt;=I1570-SUM($J$1570:$J$1625)-SUM($L$1570:$L$1625),1,0)</f>
        <v>12</v>
      </c>
    </row>
    <row r="1571" spans="1:15">
      <c r="A1571" s="1" t="s">
        <v>74</v>
      </c>
      <c r="B1571" s="1" t="s">
        <v>82</v>
      </c>
      <c r="C1571" s="1" t="s">
        <v>38</v>
      </c>
      <c r="D1571" s="1" t="s">
        <v>39</v>
      </c>
      <c r="E1571" s="1" t="s">
        <v>40</v>
      </c>
      <c r="F1571" s="1" t="s">
        <v>42</v>
      </c>
      <c r="G1571" s="1">
        <v>632</v>
      </c>
      <c r="H1571" s="1">
        <f>'1_Departamento_n'!C30</f>
        <v>90089</v>
      </c>
      <c r="I1571" s="1">
        <f>'1_Departamento_n'!H30</f>
        <v>1299</v>
      </c>
      <c r="J1571" s="1">
        <f>'0_Parametros'!B7</f>
        <v>10</v>
      </c>
      <c r="K1571" s="3">
        <f>(I1571-SUM($J$1570:$J$1625))*G1571/H1571</f>
        <v>5.184295529975913</v>
      </c>
      <c r="L1571" s="1">
        <f>INT(K1571)</f>
        <v>5</v>
      </c>
      <c r="M1571" s="3">
        <f>K1571-L1571</f>
        <v>0.1842955299759126</v>
      </c>
      <c r="N1571" s="1">
        <f>COUNTIF($M$1570:$M$1625,"&gt;"&amp;M1571)+COUNTIF($M$1570:M1571,M1571)</f>
        <v>46</v>
      </c>
      <c r="O1571" s="1">
        <f>J1571+L1571+IF(N1571&lt;=I1571-SUM($J$1570:$J$1625)-SUM($L$1570:$L$1625),1,0)</f>
        <v>15</v>
      </c>
    </row>
    <row r="1572" spans="1:15">
      <c r="A1572" s="1" t="s">
        <v>74</v>
      </c>
      <c r="B1572" s="1" t="s">
        <v>82</v>
      </c>
      <c r="C1572" s="1" t="s">
        <v>38</v>
      </c>
      <c r="D1572" s="1" t="s">
        <v>39</v>
      </c>
      <c r="E1572" s="1" t="s">
        <v>43</v>
      </c>
      <c r="F1572" s="1" t="s">
        <v>41</v>
      </c>
      <c r="G1572" s="1">
        <v>307</v>
      </c>
      <c r="H1572" s="1">
        <f>'1_Departamento_n'!C30</f>
        <v>90089</v>
      </c>
      <c r="I1572" s="1">
        <f>'1_Departamento_n'!H30</f>
        <v>1299</v>
      </c>
      <c r="J1572" s="1">
        <f>'0_Parametros'!B7</f>
        <v>10</v>
      </c>
      <c r="K1572" s="3">
        <f>(I1572-SUM($J$1570:$J$1625))*G1572/H1572</f>
        <v>2.518320771681337</v>
      </c>
      <c r="L1572" s="1">
        <f>INT(K1572)</f>
        <v>2</v>
      </c>
      <c r="M1572" s="3">
        <f>K1572-L1572</f>
        <v>0.5183207716813372</v>
      </c>
      <c r="N1572" s="1">
        <f>COUNTIF($M$1570:$M$1625,"&gt;"&amp;M1572)+COUNTIF($M$1570:M1572,M1572)</f>
        <v>19</v>
      </c>
      <c r="O1572" s="1">
        <f>J1572+L1572+IF(N1572&lt;=I1572-SUM($J$1570:$J$1625)-SUM($L$1570:$L$1625),1,0)</f>
        <v>13</v>
      </c>
    </row>
    <row r="1573" spans="1:15">
      <c r="A1573" s="1" t="s">
        <v>74</v>
      </c>
      <c r="B1573" s="1" t="s">
        <v>82</v>
      </c>
      <c r="C1573" s="1" t="s">
        <v>38</v>
      </c>
      <c r="D1573" s="1" t="s">
        <v>39</v>
      </c>
      <c r="E1573" s="1" t="s">
        <v>43</v>
      </c>
      <c r="F1573" s="1" t="s">
        <v>42</v>
      </c>
      <c r="G1573" s="1">
        <v>476</v>
      </c>
      <c r="H1573" s="1">
        <f>'1_Departamento_n'!C30</f>
        <v>90089</v>
      </c>
      <c r="I1573" s="1">
        <f>'1_Departamento_n'!H30</f>
        <v>1299</v>
      </c>
      <c r="J1573" s="1">
        <f>'0_Parametros'!B7</f>
        <v>10</v>
      </c>
      <c r="K1573" s="3">
        <f>(I1573-SUM($J$1570:$J$1625))*G1573/H1573</f>
        <v>3.9046276459945166</v>
      </c>
      <c r="L1573" s="1">
        <f>INT(K1573)</f>
        <v>3</v>
      </c>
      <c r="M1573" s="3">
        <f>K1573-L1573</f>
        <v>0.9046276459945166</v>
      </c>
      <c r="N1573" s="1">
        <f>COUNTIF($M$1570:$M$1625,"&gt;"&amp;M1573)+COUNTIF($M$1570:M1573,M1573)</f>
        <v>6</v>
      </c>
      <c r="O1573" s="1">
        <f>J1573+L1573+IF(N1573&lt;=I1573-SUM($J$1570:$J$1625)-SUM($L$1570:$L$1625),1,0)</f>
        <v>14</v>
      </c>
    </row>
    <row r="1574" spans="1:15">
      <c r="A1574" s="1" t="s">
        <v>74</v>
      </c>
      <c r="B1574" s="1" t="s">
        <v>82</v>
      </c>
      <c r="C1574" s="1" t="s">
        <v>38</v>
      </c>
      <c r="D1574" s="1" t="s">
        <v>39</v>
      </c>
      <c r="E1574" s="1" t="s">
        <v>44</v>
      </c>
      <c r="F1574" s="1" t="s">
        <v>41</v>
      </c>
      <c r="G1574" s="1">
        <v>553</v>
      </c>
      <c r="H1574" s="1">
        <f>'1_Departamento_n'!C30</f>
        <v>90089</v>
      </c>
      <c r="I1574" s="1">
        <f>'1_Departamento_n'!H30</f>
        <v>1299</v>
      </c>
      <c r="J1574" s="1">
        <f>'0_Parametros'!B7</f>
        <v>10</v>
      </c>
      <c r="K1574" s="3">
        <f>(I1574-SUM($J$1570:$J$1625))*G1574/H1574</f>
        <v>4.5362585887289235</v>
      </c>
      <c r="L1574" s="1">
        <f>INT(K1574)</f>
        <v>4</v>
      </c>
      <c r="M1574" s="3">
        <f>K1574-L1574</f>
        <v>0.5362585887289235</v>
      </c>
      <c r="N1574" s="1">
        <f>COUNTIF($M$1570:$M$1625,"&gt;"&amp;M1574)+COUNTIF($M$1570:M1574,M1574)</f>
        <v>18</v>
      </c>
      <c r="O1574" s="1">
        <f>J1574+L1574+IF(N1574&lt;=I1574-SUM($J$1570:$J$1625)-SUM($L$1570:$L$1625),1,0)</f>
        <v>15</v>
      </c>
    </row>
    <row r="1575" spans="1:15">
      <c r="A1575" s="1" t="s">
        <v>74</v>
      </c>
      <c r="B1575" s="1" t="s">
        <v>82</v>
      </c>
      <c r="C1575" s="1" t="s">
        <v>38</v>
      </c>
      <c r="D1575" s="1" t="s">
        <v>39</v>
      </c>
      <c r="E1575" s="1" t="s">
        <v>44</v>
      </c>
      <c r="F1575" s="1" t="s">
        <v>42</v>
      </c>
      <c r="G1575" s="1">
        <v>536</v>
      </c>
      <c r="H1575" s="1">
        <f>'1_Departamento_n'!C30</f>
        <v>90089</v>
      </c>
      <c r="I1575" s="1">
        <f>'1_Departamento_n'!H30</f>
        <v>1299</v>
      </c>
      <c r="J1575" s="1">
        <f>'0_Parametros'!B7</f>
        <v>10</v>
      </c>
      <c r="K1575" s="3">
        <f>(I1575-SUM($J$1570:$J$1625))*G1575/H1575</f>
        <v>4.396807601371977</v>
      </c>
      <c r="L1575" s="1">
        <f>INT(K1575)</f>
        <v>4</v>
      </c>
      <c r="M1575" s="3">
        <f>K1575-L1575</f>
        <v>0.396807601371977</v>
      </c>
      <c r="N1575" s="1">
        <f>COUNTIF($M$1570:$M$1625,"&gt;"&amp;M1575)+COUNTIF($M$1570:M1575,M1575)</f>
        <v>28</v>
      </c>
      <c r="O1575" s="1">
        <f>J1575+L1575+IF(N1575&lt;=I1575-SUM($J$1570:$J$1625)-SUM($L$1570:$L$1625),1,0)</f>
        <v>14</v>
      </c>
    </row>
    <row r="1576" spans="1:15">
      <c r="A1576" s="1" t="s">
        <v>74</v>
      </c>
      <c r="B1576" s="1" t="s">
        <v>82</v>
      </c>
      <c r="C1576" s="1" t="s">
        <v>38</v>
      </c>
      <c r="D1576" s="1" t="s">
        <v>39</v>
      </c>
      <c r="E1576" s="1" t="s">
        <v>45</v>
      </c>
      <c r="F1576" s="1" t="s">
        <v>41</v>
      </c>
      <c r="G1576" s="1">
        <v>646</v>
      </c>
      <c r="H1576" s="1">
        <f>'1_Departamento_n'!C30</f>
        <v>90089</v>
      </c>
      <c r="I1576" s="1">
        <f>'1_Departamento_n'!H30</f>
        <v>1299</v>
      </c>
      <c r="J1576" s="1">
        <f>'0_Parametros'!B7</f>
        <v>10</v>
      </c>
      <c r="K1576" s="3">
        <f>(I1576-SUM($J$1570:$J$1625))*G1576/H1576</f>
        <v>5.2991375195639865</v>
      </c>
      <c r="L1576" s="1">
        <f>INT(K1576)</f>
        <v>5</v>
      </c>
      <c r="M1576" s="3">
        <f>K1576-L1576</f>
        <v>0.2991375195639865</v>
      </c>
      <c r="N1576" s="1">
        <f>COUNTIF($M$1570:$M$1625,"&gt;"&amp;M1576)+COUNTIF($M$1570:M1576,M1576)</f>
        <v>38</v>
      </c>
      <c r="O1576" s="1">
        <f>J1576+L1576+IF(N1576&lt;=I1576-SUM($J$1570:$J$1625)-SUM($L$1570:$L$1625),1,0)</f>
        <v>15</v>
      </c>
    </row>
    <row r="1577" spans="1:15">
      <c r="A1577" s="1" t="s">
        <v>74</v>
      </c>
      <c r="B1577" s="1" t="s">
        <v>82</v>
      </c>
      <c r="C1577" s="1" t="s">
        <v>38</v>
      </c>
      <c r="D1577" s="1" t="s">
        <v>39</v>
      </c>
      <c r="E1577" s="1" t="s">
        <v>45</v>
      </c>
      <c r="F1577" s="1" t="s">
        <v>42</v>
      </c>
      <c r="G1577" s="1">
        <v>668</v>
      </c>
      <c r="H1577" s="1">
        <f>'1_Departamento_n'!C30</f>
        <v>90089</v>
      </c>
      <c r="I1577" s="1">
        <f>'1_Departamento_n'!H30</f>
        <v>1299</v>
      </c>
      <c r="J1577" s="1">
        <f>'0_Parametros'!B7</f>
        <v>10</v>
      </c>
      <c r="K1577" s="3">
        <f>(I1577-SUM($J$1570:$J$1625))*G1577/H1577</f>
        <v>5.479603503202389</v>
      </c>
      <c r="L1577" s="1">
        <f>INT(K1577)</f>
        <v>5</v>
      </c>
      <c r="M1577" s="3">
        <f>K1577-L1577</f>
        <v>0.4796035032023891</v>
      </c>
      <c r="N1577" s="1">
        <f>COUNTIF($M$1570:$M$1625,"&gt;"&amp;M1577)+COUNTIF($M$1570:M1577,M1577)</f>
        <v>22</v>
      </c>
      <c r="O1577" s="1">
        <f>J1577+L1577+IF(N1577&lt;=I1577-SUM($J$1570:$J$1625)-SUM($L$1570:$L$1625),1,0)</f>
        <v>16</v>
      </c>
    </row>
    <row r="1578" spans="1:15">
      <c r="A1578" s="1" t="s">
        <v>74</v>
      </c>
      <c r="B1578" s="1" t="s">
        <v>82</v>
      </c>
      <c r="C1578" s="1" t="s">
        <v>38</v>
      </c>
      <c r="D1578" s="1" t="s">
        <v>39</v>
      </c>
      <c r="E1578" s="1" t="s">
        <v>46</v>
      </c>
      <c r="F1578" s="1" t="s">
        <v>41</v>
      </c>
      <c r="G1578" s="1">
        <v>480</v>
      </c>
      <c r="H1578" s="1">
        <f>'1_Departamento_n'!C30</f>
        <v>90089</v>
      </c>
      <c r="I1578" s="1">
        <f>'1_Departamento_n'!H30</f>
        <v>1299</v>
      </c>
      <c r="J1578" s="1">
        <f>'0_Parametros'!B7</f>
        <v>10</v>
      </c>
      <c r="K1578" s="3">
        <f>(I1578-SUM($J$1570:$J$1625))*G1578/H1578</f>
        <v>3.9374396430196805</v>
      </c>
      <c r="L1578" s="1">
        <f>INT(K1578)</f>
        <v>3</v>
      </c>
      <c r="M1578" s="3">
        <f>K1578-L1578</f>
        <v>0.9374396430196805</v>
      </c>
      <c r="N1578" s="1">
        <f>COUNTIF($M$1570:$M$1625,"&gt;"&amp;M1578)+COUNTIF($M$1570:M1578,M1578)</f>
        <v>4</v>
      </c>
      <c r="O1578" s="1">
        <f>J1578+L1578+IF(N1578&lt;=I1578-SUM($J$1570:$J$1625)-SUM($L$1570:$L$1625),1,0)</f>
        <v>14</v>
      </c>
    </row>
    <row r="1579" spans="1:15">
      <c r="A1579" s="1" t="s">
        <v>74</v>
      </c>
      <c r="B1579" s="1" t="s">
        <v>82</v>
      </c>
      <c r="C1579" s="1" t="s">
        <v>38</v>
      </c>
      <c r="D1579" s="1" t="s">
        <v>39</v>
      </c>
      <c r="E1579" s="1" t="s">
        <v>46</v>
      </c>
      <c r="F1579" s="1" t="s">
        <v>42</v>
      </c>
      <c r="G1579" s="1">
        <v>372</v>
      </c>
      <c r="H1579" s="1">
        <f>'1_Departamento_n'!C30</f>
        <v>90089</v>
      </c>
      <c r="I1579" s="1">
        <f>'1_Departamento_n'!H30</f>
        <v>1299</v>
      </c>
      <c r="J1579" s="1">
        <f>'0_Parametros'!B7</f>
        <v>10</v>
      </c>
      <c r="K1579" s="3">
        <f>(I1579-SUM($J$1570:$J$1625))*G1579/H1579</f>
        <v>3.0515157233402523</v>
      </c>
      <c r="L1579" s="1">
        <f>INT(K1579)</f>
        <v>3</v>
      </c>
      <c r="M1579" s="3">
        <f>K1579-L1579</f>
        <v>0.05151572334025234</v>
      </c>
      <c r="N1579" s="1">
        <f>COUNTIF($M$1570:$M$1625,"&gt;"&amp;M1579)+COUNTIF($M$1570:M1579,M1579)</f>
        <v>55</v>
      </c>
      <c r="O1579" s="1">
        <f>J1579+L1579+IF(N1579&lt;=I1579-SUM($J$1570:$J$1625)-SUM($L$1570:$L$1625),1,0)</f>
        <v>13</v>
      </c>
    </row>
    <row r="1580" spans="1:15">
      <c r="A1580" s="1" t="s">
        <v>74</v>
      </c>
      <c r="B1580" s="1" t="s">
        <v>82</v>
      </c>
      <c r="C1580" s="1" t="s">
        <v>38</v>
      </c>
      <c r="D1580" s="1" t="s">
        <v>39</v>
      </c>
      <c r="E1580" s="1" t="s">
        <v>47</v>
      </c>
      <c r="F1580" s="1" t="s">
        <v>41</v>
      </c>
      <c r="G1580" s="1">
        <v>281</v>
      </c>
      <c r="H1580" s="1">
        <f>'1_Departamento_n'!C30</f>
        <v>90089</v>
      </c>
      <c r="I1580" s="1">
        <f>'1_Departamento_n'!H30</f>
        <v>1299</v>
      </c>
      <c r="J1580" s="1">
        <f>'0_Parametros'!B7</f>
        <v>10</v>
      </c>
      <c r="K1580" s="3">
        <f>(I1580-SUM($J$1570:$J$1625))*G1580/H1580</f>
        <v>2.305042791017771</v>
      </c>
      <c r="L1580" s="1">
        <f>INT(K1580)</f>
        <v>2</v>
      </c>
      <c r="M1580" s="3">
        <f>K1580-L1580</f>
        <v>0.3050427910177711</v>
      </c>
      <c r="N1580" s="1">
        <f>COUNTIF($M$1570:$M$1625,"&gt;"&amp;M1580)+COUNTIF($M$1570:M1580,M1580)</f>
        <v>37</v>
      </c>
      <c r="O1580" s="1">
        <f>J1580+L1580+IF(N1580&lt;=I1580-SUM($J$1570:$J$1625)-SUM($L$1570:$L$1625),1,0)</f>
        <v>12</v>
      </c>
    </row>
    <row r="1581" spans="1:15">
      <c r="A1581" s="1" t="s">
        <v>74</v>
      </c>
      <c r="B1581" s="1" t="s">
        <v>82</v>
      </c>
      <c r="C1581" s="1" t="s">
        <v>38</v>
      </c>
      <c r="D1581" s="1" t="s">
        <v>39</v>
      </c>
      <c r="E1581" s="1" t="s">
        <v>47</v>
      </c>
      <c r="F1581" s="1" t="s">
        <v>42</v>
      </c>
      <c r="G1581" s="1">
        <v>130</v>
      </c>
      <c r="H1581" s="1">
        <f>'1_Departamento_n'!C30</f>
        <v>90089</v>
      </c>
      <c r="I1581" s="1">
        <f>'1_Departamento_n'!H30</f>
        <v>1299</v>
      </c>
      <c r="J1581" s="1">
        <f>'0_Parametros'!B7</f>
        <v>10</v>
      </c>
      <c r="K1581" s="3">
        <f>(I1581-SUM($J$1570:$J$1625))*G1581/H1581</f>
        <v>1.0663899033178301</v>
      </c>
      <c r="L1581" s="1">
        <f>INT(K1581)</f>
        <v>1</v>
      </c>
      <c r="M1581" s="3">
        <f>K1581-L1581</f>
        <v>0.06638990331783012</v>
      </c>
      <c r="N1581" s="1">
        <f>COUNTIF($M$1570:$M$1625,"&gt;"&amp;M1581)+COUNTIF($M$1570:M1581,M1581)</f>
        <v>52</v>
      </c>
      <c r="O1581" s="1">
        <f>J1581+L1581+IF(N1581&lt;=I1581-SUM($J$1570:$J$1625)-SUM($L$1570:$L$1625),1,0)</f>
        <v>11</v>
      </c>
    </row>
    <row r="1582" spans="1:15">
      <c r="A1582" s="1" t="s">
        <v>74</v>
      </c>
      <c r="B1582" s="1" t="s">
        <v>82</v>
      </c>
      <c r="C1582" s="1" t="s">
        <v>38</v>
      </c>
      <c r="D1582" s="1" t="s">
        <v>39</v>
      </c>
      <c r="E1582" s="1" t="s">
        <v>48</v>
      </c>
      <c r="F1582" s="1" t="s">
        <v>41</v>
      </c>
      <c r="G1582" s="1">
        <v>249</v>
      </c>
      <c r="H1582" s="1">
        <f>'1_Departamento_n'!C30</f>
        <v>90089</v>
      </c>
      <c r="I1582" s="1">
        <f>'1_Departamento_n'!H30</f>
        <v>1299</v>
      </c>
      <c r="J1582" s="1">
        <f>'0_Parametros'!B7</f>
        <v>10</v>
      </c>
      <c r="K1582" s="3">
        <f>(I1582-SUM($J$1570:$J$1625))*G1582/H1582</f>
        <v>2.0425468148164594</v>
      </c>
      <c r="L1582" s="1">
        <f>INT(K1582)</f>
        <v>2</v>
      </c>
      <c r="M1582" s="3">
        <f>K1582-L1582</f>
        <v>0.04254681481645939</v>
      </c>
      <c r="N1582" s="1">
        <f>COUNTIF($M$1570:$M$1625,"&gt;"&amp;M1582)+COUNTIF($M$1570:M1582,M1582)</f>
        <v>56</v>
      </c>
      <c r="O1582" s="1">
        <f>J1582+L1582+IF(N1582&lt;=I1582-SUM($J$1570:$J$1625)-SUM($L$1570:$L$1625),1,0)</f>
        <v>12</v>
      </c>
    </row>
    <row r="1583" spans="1:15">
      <c r="A1583" s="1" t="s">
        <v>74</v>
      </c>
      <c r="B1583" s="1" t="s">
        <v>82</v>
      </c>
      <c r="C1583" s="1" t="s">
        <v>38</v>
      </c>
      <c r="D1583" s="1" t="s">
        <v>39</v>
      </c>
      <c r="E1583" s="1" t="s">
        <v>48</v>
      </c>
      <c r="F1583" s="1" t="s">
        <v>42</v>
      </c>
      <c r="G1583" s="1">
        <v>52</v>
      </c>
      <c r="H1583" s="1">
        <f>'1_Departamento_n'!C30</f>
        <v>90089</v>
      </c>
      <c r="I1583" s="1">
        <f>'1_Departamento_n'!H30</f>
        <v>1299</v>
      </c>
      <c r="J1583" s="1">
        <f>'0_Parametros'!B7</f>
        <v>10</v>
      </c>
      <c r="K1583" s="3">
        <f>(I1583-SUM($J$1570:$J$1625))*G1583/H1583</f>
        <v>0.4265559613271321</v>
      </c>
      <c r="L1583" s="1">
        <f>INT(K1583)</f>
        <v>0</v>
      </c>
      <c r="M1583" s="3">
        <f>K1583-L1583</f>
        <v>0.4265559613271321</v>
      </c>
      <c r="N1583" s="1">
        <f>COUNTIF($M$1570:$M$1625,"&gt;"&amp;M1583)+COUNTIF($M$1570:M1583,M1583)</f>
        <v>26</v>
      </c>
      <c r="O1583" s="1">
        <f>J1583+L1583+IF(N1583&lt;=I1583-SUM($J$1570:$J$1625)-SUM($L$1570:$L$1625),1,0)</f>
        <v>10</v>
      </c>
    </row>
    <row r="1584" spans="1:15">
      <c r="A1584" s="1" t="s">
        <v>74</v>
      </c>
      <c r="B1584" s="1" t="s">
        <v>82</v>
      </c>
      <c r="C1584" s="1" t="s">
        <v>38</v>
      </c>
      <c r="D1584" s="1" t="s">
        <v>49</v>
      </c>
      <c r="E1584" s="1" t="s">
        <v>40</v>
      </c>
      <c r="F1584" s="1" t="s">
        <v>41</v>
      </c>
      <c r="G1584" s="1">
        <v>269</v>
      </c>
      <c r="H1584" s="1">
        <f>'1_Departamento_n'!C30</f>
        <v>90089</v>
      </c>
      <c r="I1584" s="1">
        <f>'1_Departamento_n'!H30</f>
        <v>1299</v>
      </c>
      <c r="J1584" s="1">
        <f>'0_Parametros'!B7</f>
        <v>10</v>
      </c>
      <c r="K1584" s="3">
        <f>(I1584-SUM($J$1570:$J$1625))*G1584/H1584</f>
        <v>2.2066067999422794</v>
      </c>
      <c r="L1584" s="1">
        <f>INT(K1584)</f>
        <v>2</v>
      </c>
      <c r="M1584" s="3">
        <f>K1584-L1584</f>
        <v>0.20660679994227937</v>
      </c>
      <c r="N1584" s="1">
        <f>COUNTIF($M$1570:$M$1625,"&gt;"&amp;M1584)+COUNTIF($M$1570:M1584,M1584)</f>
        <v>43</v>
      </c>
      <c r="O1584" s="1">
        <f>J1584+L1584+IF(N1584&lt;=I1584-SUM($J$1570:$J$1625)-SUM($L$1570:$L$1625),1,0)</f>
        <v>12</v>
      </c>
    </row>
    <row r="1585" spans="1:15">
      <c r="A1585" s="1" t="s">
        <v>74</v>
      </c>
      <c r="B1585" s="1" t="s">
        <v>82</v>
      </c>
      <c r="C1585" s="1" t="s">
        <v>38</v>
      </c>
      <c r="D1585" s="1" t="s">
        <v>49</v>
      </c>
      <c r="E1585" s="1" t="s">
        <v>40</v>
      </c>
      <c r="F1585" s="1" t="s">
        <v>42</v>
      </c>
      <c r="G1585" s="1">
        <v>748</v>
      </c>
      <c r="H1585" s="1">
        <f>'1_Departamento_n'!C30</f>
        <v>90089</v>
      </c>
      <c r="I1585" s="1">
        <f>'1_Departamento_n'!H30</f>
        <v>1299</v>
      </c>
      <c r="J1585" s="1">
        <f>'0_Parametros'!B7</f>
        <v>10</v>
      </c>
      <c r="K1585" s="3">
        <f>(I1585-SUM($J$1570:$J$1625))*G1585/H1585</f>
        <v>6.135843443705669</v>
      </c>
      <c r="L1585" s="1">
        <f>INT(K1585)</f>
        <v>6</v>
      </c>
      <c r="M1585" s="3">
        <f>K1585-L1585</f>
        <v>0.13584344370566903</v>
      </c>
      <c r="N1585" s="1">
        <f>COUNTIF($M$1570:$M$1625,"&gt;"&amp;M1585)+COUNTIF($M$1570:M1585,M1585)</f>
        <v>49</v>
      </c>
      <c r="O1585" s="1">
        <f>J1585+L1585+IF(N1585&lt;=I1585-SUM($J$1570:$J$1625)-SUM($L$1570:$L$1625),1,0)</f>
        <v>16</v>
      </c>
    </row>
    <row r="1586" spans="1:15">
      <c r="A1586" s="1" t="s">
        <v>74</v>
      </c>
      <c r="B1586" s="1" t="s">
        <v>82</v>
      </c>
      <c r="C1586" s="1" t="s">
        <v>38</v>
      </c>
      <c r="D1586" s="1" t="s">
        <v>49</v>
      </c>
      <c r="E1586" s="1" t="s">
        <v>43</v>
      </c>
      <c r="F1586" s="1" t="s">
        <v>41</v>
      </c>
      <c r="G1586" s="1">
        <v>375</v>
      </c>
      <c r="H1586" s="1">
        <f>'1_Departamento_n'!C30</f>
        <v>90089</v>
      </c>
      <c r="I1586" s="1">
        <f>'1_Departamento_n'!H30</f>
        <v>1299</v>
      </c>
      <c r="J1586" s="1">
        <f>'0_Parametros'!B7</f>
        <v>10</v>
      </c>
      <c r="K1586" s="3">
        <f>(I1586-SUM($J$1570:$J$1625))*G1586/H1586</f>
        <v>3.0761247211091254</v>
      </c>
      <c r="L1586" s="1">
        <f>INT(K1586)</f>
        <v>3</v>
      </c>
      <c r="M1586" s="3">
        <f>K1586-L1586</f>
        <v>0.07612472110912538</v>
      </c>
      <c r="N1586" s="1">
        <f>COUNTIF($M$1570:$M$1625,"&gt;"&amp;M1586)+COUNTIF($M$1570:M1586,M1586)</f>
        <v>51</v>
      </c>
      <c r="O1586" s="1">
        <f>J1586+L1586+IF(N1586&lt;=I1586-SUM($J$1570:$J$1625)-SUM($L$1570:$L$1625),1,0)</f>
        <v>13</v>
      </c>
    </row>
    <row r="1587" spans="1:15">
      <c r="A1587" s="1" t="s">
        <v>74</v>
      </c>
      <c r="B1587" s="1" t="s">
        <v>82</v>
      </c>
      <c r="C1587" s="1" t="s">
        <v>38</v>
      </c>
      <c r="D1587" s="1" t="s">
        <v>49</v>
      </c>
      <c r="E1587" s="1" t="s">
        <v>43</v>
      </c>
      <c r="F1587" s="1" t="s">
        <v>42</v>
      </c>
      <c r="G1587" s="1">
        <v>525</v>
      </c>
      <c r="H1587" s="1">
        <f>'1_Departamento_n'!C30</f>
        <v>90089</v>
      </c>
      <c r="I1587" s="1">
        <f>'1_Departamento_n'!H30</f>
        <v>1299</v>
      </c>
      <c r="J1587" s="1">
        <f>'0_Parametros'!B7</f>
        <v>10</v>
      </c>
      <c r="K1587" s="3">
        <f>(I1587-SUM($J$1570:$J$1625))*G1587/H1587</f>
        <v>4.306574609552776</v>
      </c>
      <c r="L1587" s="1">
        <f>INT(K1587)</f>
        <v>4</v>
      </c>
      <c r="M1587" s="3">
        <f>K1587-L1587</f>
        <v>0.3065746095527757</v>
      </c>
      <c r="N1587" s="1">
        <f>COUNTIF($M$1570:$M$1625,"&gt;"&amp;M1587)+COUNTIF($M$1570:M1587,M1587)</f>
        <v>36</v>
      </c>
      <c r="O1587" s="1">
        <f>J1587+L1587+IF(N1587&lt;=I1587-SUM($J$1570:$J$1625)-SUM($L$1570:$L$1625),1,0)</f>
        <v>14</v>
      </c>
    </row>
    <row r="1588" spans="1:15">
      <c r="A1588" s="1" t="s">
        <v>74</v>
      </c>
      <c r="B1588" s="1" t="s">
        <v>82</v>
      </c>
      <c r="C1588" s="1" t="s">
        <v>38</v>
      </c>
      <c r="D1588" s="1" t="s">
        <v>49</v>
      </c>
      <c r="E1588" s="1" t="s">
        <v>44</v>
      </c>
      <c r="F1588" s="1" t="s">
        <v>41</v>
      </c>
      <c r="G1588" s="1">
        <v>702</v>
      </c>
      <c r="H1588" s="1">
        <f>'1_Departamento_n'!C30</f>
        <v>90089</v>
      </c>
      <c r="I1588" s="1">
        <f>'1_Departamento_n'!H30</f>
        <v>1299</v>
      </c>
      <c r="J1588" s="1">
        <f>'0_Parametros'!B7</f>
        <v>10</v>
      </c>
      <c r="K1588" s="3">
        <f>(I1588-SUM($J$1570:$J$1625))*G1588/H1588</f>
        <v>5.758505477916283</v>
      </c>
      <c r="L1588" s="1">
        <f>INT(K1588)</f>
        <v>5</v>
      </c>
      <c r="M1588" s="3">
        <f>K1588-L1588</f>
        <v>0.758505477916283</v>
      </c>
      <c r="N1588" s="1">
        <f>COUNTIF($M$1570:$M$1625,"&gt;"&amp;M1588)+COUNTIF($M$1570:M1588,M1588)</f>
        <v>13</v>
      </c>
      <c r="O1588" s="1">
        <f>J1588+L1588+IF(N1588&lt;=I1588-SUM($J$1570:$J$1625)-SUM($L$1570:$L$1625),1,0)</f>
        <v>16</v>
      </c>
    </row>
    <row r="1589" spans="1:15">
      <c r="A1589" s="1" t="s">
        <v>74</v>
      </c>
      <c r="B1589" s="1" t="s">
        <v>82</v>
      </c>
      <c r="C1589" s="1" t="s">
        <v>38</v>
      </c>
      <c r="D1589" s="1" t="s">
        <v>49</v>
      </c>
      <c r="E1589" s="1" t="s">
        <v>44</v>
      </c>
      <c r="F1589" s="1" t="s">
        <v>42</v>
      </c>
      <c r="G1589" s="1">
        <v>906</v>
      </c>
      <c r="H1589" s="1">
        <f>'1_Departamento_n'!C30</f>
        <v>90089</v>
      </c>
      <c r="I1589" s="1">
        <f>'1_Departamento_n'!H30</f>
        <v>1299</v>
      </c>
      <c r="J1589" s="1">
        <f>'0_Parametros'!B7</f>
        <v>10</v>
      </c>
      <c r="K1589" s="3">
        <f>(I1589-SUM($J$1570:$J$1625))*G1589/H1589</f>
        <v>7.431917326199647</v>
      </c>
      <c r="L1589" s="1">
        <f>INT(K1589)</f>
        <v>7</v>
      </c>
      <c r="M1589" s="3">
        <f>K1589-L1589</f>
        <v>0.4319173261996472</v>
      </c>
      <c r="N1589" s="1">
        <f>COUNTIF($M$1570:$M$1625,"&gt;"&amp;M1589)+COUNTIF($M$1570:M1589,M1589)</f>
        <v>25</v>
      </c>
      <c r="O1589" s="1">
        <f>J1589+L1589+IF(N1589&lt;=I1589-SUM($J$1570:$J$1625)-SUM($L$1570:$L$1625),1,0)</f>
        <v>18</v>
      </c>
    </row>
    <row r="1590" spans="1:15">
      <c r="A1590" s="1" t="s">
        <v>74</v>
      </c>
      <c r="B1590" s="1" t="s">
        <v>82</v>
      </c>
      <c r="C1590" s="1" t="s">
        <v>38</v>
      </c>
      <c r="D1590" s="1" t="s">
        <v>49</v>
      </c>
      <c r="E1590" s="1" t="s">
        <v>45</v>
      </c>
      <c r="F1590" s="1" t="s">
        <v>41</v>
      </c>
      <c r="G1590" s="1">
        <v>718</v>
      </c>
      <c r="H1590" s="1">
        <f>'1_Departamento_n'!C30</f>
        <v>90089</v>
      </c>
      <c r="I1590" s="1">
        <f>'1_Departamento_n'!H30</f>
        <v>1299</v>
      </c>
      <c r="J1590" s="1">
        <f>'0_Parametros'!B7</f>
        <v>10</v>
      </c>
      <c r="K1590" s="3">
        <f>(I1590-SUM($J$1570:$J$1625))*G1590/H1590</f>
        <v>5.889753466016939</v>
      </c>
      <c r="L1590" s="1">
        <f>INT(K1590)</f>
        <v>5</v>
      </c>
      <c r="M1590" s="3">
        <f>K1590-L1590</f>
        <v>0.8897534660169386</v>
      </c>
      <c r="N1590" s="1">
        <f>COUNTIF($M$1570:$M$1625,"&gt;"&amp;M1590)+COUNTIF($M$1570:M1590,M1590)</f>
        <v>7</v>
      </c>
      <c r="O1590" s="1">
        <f>J1590+L1590+IF(N1590&lt;=I1590-SUM($J$1570:$J$1625)-SUM($L$1570:$L$1625),1,0)</f>
        <v>16</v>
      </c>
    </row>
    <row r="1591" spans="1:15">
      <c r="A1591" s="1" t="s">
        <v>74</v>
      </c>
      <c r="B1591" s="1" t="s">
        <v>82</v>
      </c>
      <c r="C1591" s="1" t="s">
        <v>38</v>
      </c>
      <c r="D1591" s="1" t="s">
        <v>49</v>
      </c>
      <c r="E1591" s="1" t="s">
        <v>45</v>
      </c>
      <c r="F1591" s="1" t="s">
        <v>42</v>
      </c>
      <c r="G1591" s="1">
        <v>876</v>
      </c>
      <c r="H1591" s="1">
        <f>'1_Departamento_n'!C30</f>
        <v>90089</v>
      </c>
      <c r="I1591" s="1">
        <f>'1_Departamento_n'!H30</f>
        <v>1299</v>
      </c>
      <c r="J1591" s="1">
        <f>'0_Parametros'!B7</f>
        <v>10</v>
      </c>
      <c r="K1591" s="3">
        <f>(I1591-SUM($J$1570:$J$1625))*G1591/H1591</f>
        <v>7.185827348510917</v>
      </c>
      <c r="L1591" s="1">
        <f>INT(K1591)</f>
        <v>7</v>
      </c>
      <c r="M1591" s="3">
        <f>K1591-L1591</f>
        <v>0.18582734851091676</v>
      </c>
      <c r="N1591" s="1">
        <f>COUNTIF($M$1570:$M$1625,"&gt;"&amp;M1591)+COUNTIF($M$1570:M1591,M1591)</f>
        <v>45</v>
      </c>
      <c r="O1591" s="1">
        <f>J1591+L1591+IF(N1591&lt;=I1591-SUM($J$1570:$J$1625)-SUM($L$1570:$L$1625),1,0)</f>
        <v>17</v>
      </c>
    </row>
    <row r="1592" spans="1:15">
      <c r="A1592" s="1" t="s">
        <v>74</v>
      </c>
      <c r="B1592" s="1" t="s">
        <v>82</v>
      </c>
      <c r="C1592" s="1" t="s">
        <v>38</v>
      </c>
      <c r="D1592" s="1" t="s">
        <v>49</v>
      </c>
      <c r="E1592" s="1" t="s">
        <v>46</v>
      </c>
      <c r="F1592" s="1" t="s">
        <v>41</v>
      </c>
      <c r="G1592" s="1">
        <v>564</v>
      </c>
      <c r="H1592" s="1">
        <f>'1_Departamento_n'!C30</f>
        <v>90089</v>
      </c>
      <c r="I1592" s="1">
        <f>'1_Departamento_n'!H30</f>
        <v>1299</v>
      </c>
      <c r="J1592" s="1">
        <f>'0_Parametros'!B7</f>
        <v>10</v>
      </c>
      <c r="K1592" s="3">
        <f>(I1592-SUM($J$1570:$J$1625))*G1592/H1592</f>
        <v>4.626491580548125</v>
      </c>
      <c r="L1592" s="1">
        <f>INT(K1592)</f>
        <v>4</v>
      </c>
      <c r="M1592" s="3">
        <f>K1592-L1592</f>
        <v>0.6264915805481248</v>
      </c>
      <c r="N1592" s="1">
        <f>COUNTIF($M$1570:$M$1625,"&gt;"&amp;M1592)+COUNTIF($M$1570:M1592,M1592)</f>
        <v>16</v>
      </c>
      <c r="O1592" s="1">
        <f>J1592+L1592+IF(N1592&lt;=I1592-SUM($J$1570:$J$1625)-SUM($L$1570:$L$1625),1,0)</f>
        <v>15</v>
      </c>
    </row>
    <row r="1593" spans="1:15">
      <c r="A1593" s="1" t="s">
        <v>74</v>
      </c>
      <c r="B1593" s="1" t="s">
        <v>82</v>
      </c>
      <c r="C1593" s="1" t="s">
        <v>38</v>
      </c>
      <c r="D1593" s="1" t="s">
        <v>49</v>
      </c>
      <c r="E1593" s="1" t="s">
        <v>46</v>
      </c>
      <c r="F1593" s="1" t="s">
        <v>42</v>
      </c>
      <c r="G1593" s="1">
        <v>508</v>
      </c>
      <c r="H1593" s="1">
        <f>'1_Departamento_n'!C30</f>
        <v>90089</v>
      </c>
      <c r="I1593" s="1">
        <f>'1_Departamento_n'!H30</f>
        <v>1299</v>
      </c>
      <c r="J1593" s="1">
        <f>'0_Parametros'!B7</f>
        <v>10</v>
      </c>
      <c r="K1593" s="3">
        <f>(I1593-SUM($J$1570:$J$1625))*G1593/H1593</f>
        <v>4.167123622195828</v>
      </c>
      <c r="L1593" s="1">
        <f>INT(K1593)</f>
        <v>4</v>
      </c>
      <c r="M1593" s="3">
        <f>K1593-L1593</f>
        <v>0.16712362219582833</v>
      </c>
      <c r="N1593" s="1">
        <f>COUNTIF($M$1570:$M$1625,"&gt;"&amp;M1593)+COUNTIF($M$1570:M1593,M1593)</f>
        <v>47</v>
      </c>
      <c r="O1593" s="1">
        <f>J1593+L1593+IF(N1593&lt;=I1593-SUM($J$1570:$J$1625)-SUM($L$1570:$L$1625),1,0)</f>
        <v>14</v>
      </c>
    </row>
    <row r="1594" spans="1:15">
      <c r="A1594" s="1" t="s">
        <v>74</v>
      </c>
      <c r="B1594" s="1" t="s">
        <v>82</v>
      </c>
      <c r="C1594" s="1" t="s">
        <v>38</v>
      </c>
      <c r="D1594" s="1" t="s">
        <v>49</v>
      </c>
      <c r="E1594" s="1" t="s">
        <v>47</v>
      </c>
      <c r="F1594" s="1" t="s">
        <v>41</v>
      </c>
      <c r="G1594" s="1">
        <v>356</v>
      </c>
      <c r="H1594" s="1">
        <f>'1_Departamento_n'!C30</f>
        <v>90089</v>
      </c>
      <c r="I1594" s="1">
        <f>'1_Departamento_n'!H30</f>
        <v>1299</v>
      </c>
      <c r="J1594" s="1">
        <f>'0_Parametros'!B7</f>
        <v>10</v>
      </c>
      <c r="K1594" s="3">
        <f>(I1594-SUM($J$1570:$J$1625))*G1594/H1594</f>
        <v>2.9202677352395963</v>
      </c>
      <c r="L1594" s="1">
        <f>INT(K1594)</f>
        <v>2</v>
      </c>
      <c r="M1594" s="3">
        <f>K1594-L1594</f>
        <v>0.9202677352395963</v>
      </c>
      <c r="N1594" s="1">
        <f>COUNTIF($M$1570:$M$1625,"&gt;"&amp;M1594)+COUNTIF($M$1570:M1594,M1594)</f>
        <v>5</v>
      </c>
      <c r="O1594" s="1">
        <f>J1594+L1594+IF(N1594&lt;=I1594-SUM($J$1570:$J$1625)-SUM($L$1570:$L$1625),1,0)</f>
        <v>13</v>
      </c>
    </row>
    <row r="1595" spans="1:15">
      <c r="A1595" s="1" t="s">
        <v>74</v>
      </c>
      <c r="B1595" s="1" t="s">
        <v>82</v>
      </c>
      <c r="C1595" s="1" t="s">
        <v>38</v>
      </c>
      <c r="D1595" s="1" t="s">
        <v>49</v>
      </c>
      <c r="E1595" s="1" t="s">
        <v>47</v>
      </c>
      <c r="F1595" s="1" t="s">
        <v>42</v>
      </c>
      <c r="G1595" s="1">
        <v>263</v>
      </c>
      <c r="H1595" s="1">
        <f>'1_Departamento_n'!C30</f>
        <v>90089</v>
      </c>
      <c r="I1595" s="1">
        <f>'1_Departamento_n'!H30</f>
        <v>1299</v>
      </c>
      <c r="J1595" s="1">
        <f>'0_Parametros'!B7</f>
        <v>10</v>
      </c>
      <c r="K1595" s="3">
        <f>(I1595-SUM($J$1570:$J$1625))*G1595/H1595</f>
        <v>2.1573888044045333</v>
      </c>
      <c r="L1595" s="1">
        <f>INT(K1595)</f>
        <v>2</v>
      </c>
      <c r="M1595" s="3">
        <f>K1595-L1595</f>
        <v>0.1573888044045333</v>
      </c>
      <c r="N1595" s="1">
        <f>COUNTIF($M$1570:$M$1625,"&gt;"&amp;M1595)+COUNTIF($M$1570:M1595,M1595)</f>
        <v>48</v>
      </c>
      <c r="O1595" s="1">
        <f>J1595+L1595+IF(N1595&lt;=I1595-SUM($J$1570:$J$1625)-SUM($L$1570:$L$1625),1,0)</f>
        <v>12</v>
      </c>
    </row>
    <row r="1596" spans="1:15">
      <c r="A1596" s="1" t="s">
        <v>74</v>
      </c>
      <c r="B1596" s="1" t="s">
        <v>82</v>
      </c>
      <c r="C1596" s="1" t="s">
        <v>38</v>
      </c>
      <c r="D1596" s="1" t="s">
        <v>49</v>
      </c>
      <c r="E1596" s="1" t="s">
        <v>48</v>
      </c>
      <c r="F1596" s="1" t="s">
        <v>41</v>
      </c>
      <c r="G1596" s="1">
        <v>298</v>
      </c>
      <c r="H1596" s="1">
        <f>'1_Departamento_n'!C30</f>
        <v>90089</v>
      </c>
      <c r="I1596" s="1">
        <f>'1_Departamento_n'!H30</f>
        <v>1299</v>
      </c>
      <c r="J1596" s="1">
        <f>'0_Parametros'!B7</f>
        <v>10</v>
      </c>
      <c r="K1596" s="3">
        <f>(I1596-SUM($J$1570:$J$1625))*G1596/H1596</f>
        <v>2.4444937783747185</v>
      </c>
      <c r="L1596" s="1">
        <f>INT(K1596)</f>
        <v>2</v>
      </c>
      <c r="M1596" s="3">
        <f>K1596-L1596</f>
        <v>0.4444937783747185</v>
      </c>
      <c r="N1596" s="1">
        <f>COUNTIF($M$1570:$M$1625,"&gt;"&amp;M1596)+COUNTIF($M$1570:M1596,M1596)</f>
        <v>23</v>
      </c>
      <c r="O1596" s="1">
        <f>J1596+L1596+IF(N1596&lt;=I1596-SUM($J$1570:$J$1625)-SUM($L$1570:$L$1625),1,0)</f>
        <v>13</v>
      </c>
    </row>
    <row r="1597" spans="1:15">
      <c r="A1597" s="1" t="s">
        <v>74</v>
      </c>
      <c r="B1597" s="1" t="s">
        <v>82</v>
      </c>
      <c r="C1597" s="1" t="s">
        <v>38</v>
      </c>
      <c r="D1597" s="1" t="s">
        <v>49</v>
      </c>
      <c r="E1597" s="1" t="s">
        <v>48</v>
      </c>
      <c r="F1597" s="1" t="s">
        <v>42</v>
      </c>
      <c r="G1597" s="1">
        <v>145</v>
      </c>
      <c r="H1597" s="1">
        <f>'1_Departamento_n'!C30</f>
        <v>90089</v>
      </c>
      <c r="I1597" s="1">
        <f>'1_Departamento_n'!H30</f>
        <v>1299</v>
      </c>
      <c r="J1597" s="1">
        <f>'0_Parametros'!B7</f>
        <v>10</v>
      </c>
      <c r="K1597" s="3">
        <f>(I1597-SUM($J$1570:$J$1625))*G1597/H1597</f>
        <v>1.1894348921621951</v>
      </c>
      <c r="L1597" s="1">
        <f>INT(K1597)</f>
        <v>1</v>
      </c>
      <c r="M1597" s="3">
        <f>K1597-L1597</f>
        <v>0.1894348921621951</v>
      </c>
      <c r="N1597" s="1">
        <f>COUNTIF($M$1570:$M$1625,"&gt;"&amp;M1597)+COUNTIF($M$1570:M1597,M1597)</f>
        <v>44</v>
      </c>
      <c r="O1597" s="1">
        <f>J1597+L1597+IF(N1597&lt;=I1597-SUM($J$1570:$J$1625)-SUM($L$1570:$L$1625),1,0)</f>
        <v>11</v>
      </c>
    </row>
    <row r="1598" spans="1:15">
      <c r="A1598" s="1" t="s">
        <v>74</v>
      </c>
      <c r="B1598" s="1" t="s">
        <v>82</v>
      </c>
      <c r="C1598" s="1" t="s">
        <v>50</v>
      </c>
      <c r="D1598" s="1" t="s">
        <v>39</v>
      </c>
      <c r="E1598" s="1" t="s">
        <v>40</v>
      </c>
      <c r="F1598" s="1" t="s">
        <v>41</v>
      </c>
      <c r="G1598" s="1">
        <v>1678</v>
      </c>
      <c r="H1598" s="1">
        <f>'1_Departamento_n'!C30</f>
        <v>90089</v>
      </c>
      <c r="I1598" s="1">
        <f>'1_Departamento_n'!H30</f>
        <v>1299</v>
      </c>
      <c r="J1598" s="1">
        <f>'0_Parametros'!B7</f>
        <v>10</v>
      </c>
      <c r="K1598" s="3">
        <f>(I1598-SUM($J$1570:$J$1625))*G1598/H1598</f>
        <v>13.7646327520563</v>
      </c>
      <c r="L1598" s="1">
        <f>INT(K1598)</f>
        <v>13</v>
      </c>
      <c r="M1598" s="3">
        <f>K1598-L1598</f>
        <v>0.7646327520563005</v>
      </c>
      <c r="N1598" s="1">
        <f>COUNTIF($M$1570:$M$1625,"&gt;"&amp;M1598)+COUNTIF($M$1570:M1598,M1598)</f>
        <v>11</v>
      </c>
      <c r="O1598" s="1">
        <f>J1598+L1598+IF(N1598&lt;=I1598-SUM($J$1570:$J$1625)-SUM($L$1570:$L$1625),1,0)</f>
        <v>24</v>
      </c>
    </row>
    <row r="1599" spans="1:15">
      <c r="A1599" s="1" t="s">
        <v>74</v>
      </c>
      <c r="B1599" s="1" t="s">
        <v>82</v>
      </c>
      <c r="C1599" s="1" t="s">
        <v>50</v>
      </c>
      <c r="D1599" s="1" t="s">
        <v>39</v>
      </c>
      <c r="E1599" s="1" t="s">
        <v>40</v>
      </c>
      <c r="F1599" s="1" t="s">
        <v>42</v>
      </c>
      <c r="G1599" s="1">
        <v>6001</v>
      </c>
      <c r="H1599" s="1">
        <f>'1_Departamento_n'!C30</f>
        <v>90089</v>
      </c>
      <c r="I1599" s="1">
        <f>'1_Departamento_n'!H30</f>
        <v>1299</v>
      </c>
      <c r="J1599" s="1">
        <f>'0_Parametros'!B7</f>
        <v>10</v>
      </c>
      <c r="K1599" s="3">
        <f>(I1599-SUM($J$1570:$J$1625))*G1599/H1599</f>
        <v>49.2261985370023</v>
      </c>
      <c r="L1599" s="1">
        <f>INT(K1599)</f>
        <v>49</v>
      </c>
      <c r="M1599" s="3">
        <f>K1599-L1599</f>
        <v>0.22619853700229697</v>
      </c>
      <c r="N1599" s="1">
        <f>COUNTIF($M$1570:$M$1625,"&gt;"&amp;M1599)+COUNTIF($M$1570:M1599,M1599)</f>
        <v>42</v>
      </c>
      <c r="O1599" s="1">
        <f>J1599+L1599+IF(N1599&lt;=I1599-SUM($J$1570:$J$1625)-SUM($L$1570:$L$1625),1,0)</f>
        <v>59</v>
      </c>
    </row>
    <row r="1600" spans="1:15">
      <c r="A1600" s="1" t="s">
        <v>74</v>
      </c>
      <c r="B1600" s="1" t="s">
        <v>82</v>
      </c>
      <c r="C1600" s="1" t="s">
        <v>50</v>
      </c>
      <c r="D1600" s="1" t="s">
        <v>39</v>
      </c>
      <c r="E1600" s="1" t="s">
        <v>43</v>
      </c>
      <c r="F1600" s="1" t="s">
        <v>41</v>
      </c>
      <c r="G1600" s="1">
        <v>2323</v>
      </c>
      <c r="H1600" s="1">
        <f>'1_Departamento_n'!C30</f>
        <v>90089</v>
      </c>
      <c r="I1600" s="1">
        <f>'1_Departamento_n'!H30</f>
        <v>1299</v>
      </c>
      <c r="J1600" s="1">
        <f>'0_Parametros'!B7</f>
        <v>10</v>
      </c>
      <c r="K1600" s="3">
        <f>(I1600-SUM($J$1570:$J$1625))*G1600/H1600</f>
        <v>19.055567272363994</v>
      </c>
      <c r="L1600" s="1">
        <f>INT(K1600)</f>
        <v>19</v>
      </c>
      <c r="M1600" s="3">
        <f>K1600-L1600</f>
        <v>0.05556727236399439</v>
      </c>
      <c r="N1600" s="1">
        <f>COUNTIF($M$1570:$M$1625,"&gt;"&amp;M1600)+COUNTIF($M$1570:M1600,M1600)</f>
        <v>54</v>
      </c>
      <c r="O1600" s="1">
        <f>J1600+L1600+IF(N1600&lt;=I1600-SUM($J$1570:$J$1625)-SUM($L$1570:$L$1625),1,0)</f>
        <v>29</v>
      </c>
    </row>
    <row r="1601" spans="1:15">
      <c r="A1601" s="1" t="s">
        <v>74</v>
      </c>
      <c r="B1601" s="1" t="s">
        <v>82</v>
      </c>
      <c r="C1601" s="1" t="s">
        <v>50</v>
      </c>
      <c r="D1601" s="1" t="s">
        <v>39</v>
      </c>
      <c r="E1601" s="1" t="s">
        <v>43</v>
      </c>
      <c r="F1601" s="1" t="s">
        <v>42</v>
      </c>
      <c r="G1601" s="1">
        <v>5649</v>
      </c>
      <c r="H1601" s="1">
        <f>'1_Departamento_n'!C30</f>
        <v>90089</v>
      </c>
      <c r="I1601" s="1">
        <f>'1_Departamento_n'!H30</f>
        <v>1299</v>
      </c>
      <c r="J1601" s="1">
        <f>'0_Parametros'!B7</f>
        <v>10</v>
      </c>
      <c r="K1601" s="3">
        <f>(I1601-SUM($J$1570:$J$1625))*G1601/H1601</f>
        <v>46.33874279878786</v>
      </c>
      <c r="L1601" s="1">
        <f>INT(K1601)</f>
        <v>46</v>
      </c>
      <c r="M1601" s="3">
        <f>K1601-L1601</f>
        <v>0.3387427987878624</v>
      </c>
      <c r="N1601" s="1">
        <f>COUNTIF($M$1570:$M$1625,"&gt;"&amp;M1601)+COUNTIF($M$1570:M1601,M1601)</f>
        <v>34</v>
      </c>
      <c r="O1601" s="1">
        <f>J1601+L1601+IF(N1601&lt;=I1601-SUM($J$1570:$J$1625)-SUM($L$1570:$L$1625),1,0)</f>
        <v>56</v>
      </c>
    </row>
    <row r="1602" spans="1:15">
      <c r="A1602" s="1" t="s">
        <v>74</v>
      </c>
      <c r="B1602" s="1" t="s">
        <v>82</v>
      </c>
      <c r="C1602" s="1" t="s">
        <v>50</v>
      </c>
      <c r="D1602" s="1" t="s">
        <v>39</v>
      </c>
      <c r="E1602" s="1" t="s">
        <v>44</v>
      </c>
      <c r="F1602" s="1" t="s">
        <v>41</v>
      </c>
      <c r="G1602" s="1">
        <v>1630</v>
      </c>
      <c r="H1602" s="1">
        <f>'1_Departamento_n'!C30</f>
        <v>90089</v>
      </c>
      <c r="I1602" s="1">
        <f>'1_Departamento_n'!H30</f>
        <v>1299</v>
      </c>
      <c r="J1602" s="1">
        <f>'0_Parametros'!B7</f>
        <v>10</v>
      </c>
      <c r="K1602" s="3">
        <f>(I1602-SUM($J$1570:$J$1625))*G1602/H1602</f>
        <v>13.370888787754332</v>
      </c>
      <c r="L1602" s="1">
        <f>INT(K1602)</f>
        <v>13</v>
      </c>
      <c r="M1602" s="3">
        <f>K1602-L1602</f>
        <v>0.3708887877543319</v>
      </c>
      <c r="N1602" s="1">
        <f>COUNTIF($M$1570:$M$1625,"&gt;"&amp;M1602)+COUNTIF($M$1570:M1602,M1602)</f>
        <v>31</v>
      </c>
      <c r="O1602" s="1">
        <f>J1602+L1602+IF(N1602&lt;=I1602-SUM($J$1570:$J$1625)-SUM($L$1570:$L$1625),1,0)</f>
        <v>23</v>
      </c>
    </row>
    <row r="1603" spans="1:15">
      <c r="A1603" s="1" t="s">
        <v>74</v>
      </c>
      <c r="B1603" s="1" t="s">
        <v>82</v>
      </c>
      <c r="C1603" s="1" t="s">
        <v>50</v>
      </c>
      <c r="D1603" s="1" t="s">
        <v>39</v>
      </c>
      <c r="E1603" s="1" t="s">
        <v>44</v>
      </c>
      <c r="F1603" s="1" t="s">
        <v>42</v>
      </c>
      <c r="G1603" s="1">
        <v>4366</v>
      </c>
      <c r="H1603" s="1">
        <f>'1_Departamento_n'!C30</f>
        <v>90089</v>
      </c>
      <c r="I1603" s="1">
        <f>'1_Departamento_n'!H30</f>
        <v>1299</v>
      </c>
      <c r="J1603" s="1">
        <f>'0_Parametros'!B7</f>
        <v>10</v>
      </c>
      <c r="K1603" s="3">
        <f>(I1603-SUM($J$1570:$J$1625))*G1603/H1603</f>
        <v>35.81429475296651</v>
      </c>
      <c r="L1603" s="1">
        <f>INT(K1603)</f>
        <v>35</v>
      </c>
      <c r="M1603" s="3">
        <f>K1603-L1603</f>
        <v>0.8142947529665108</v>
      </c>
      <c r="N1603" s="1">
        <f>COUNTIF($M$1570:$M$1625,"&gt;"&amp;M1603)+COUNTIF($M$1570:M1603,M1603)</f>
        <v>9</v>
      </c>
      <c r="O1603" s="1">
        <f>J1603+L1603+IF(N1603&lt;=I1603-SUM($J$1570:$J$1625)-SUM($L$1570:$L$1625),1,0)</f>
        <v>46</v>
      </c>
    </row>
    <row r="1604" spans="1:15">
      <c r="A1604" s="1" t="s">
        <v>74</v>
      </c>
      <c r="B1604" s="1" t="s">
        <v>82</v>
      </c>
      <c r="C1604" s="1" t="s">
        <v>50</v>
      </c>
      <c r="D1604" s="1" t="s">
        <v>39</v>
      </c>
      <c r="E1604" s="1" t="s">
        <v>45</v>
      </c>
      <c r="F1604" s="1" t="s">
        <v>41</v>
      </c>
      <c r="G1604" s="1">
        <v>1404</v>
      </c>
      <c r="H1604" s="1">
        <f>'1_Departamento_n'!C30</f>
        <v>90089</v>
      </c>
      <c r="I1604" s="1">
        <f>'1_Departamento_n'!H30</f>
        <v>1299</v>
      </c>
      <c r="J1604" s="1">
        <f>'0_Parametros'!B7</f>
        <v>10</v>
      </c>
      <c r="K1604" s="3">
        <f>(I1604-SUM($J$1570:$J$1625))*G1604/H1604</f>
        <v>11.517010955832566</v>
      </c>
      <c r="L1604" s="1">
        <f>INT(K1604)</f>
        <v>11</v>
      </c>
      <c r="M1604" s="3">
        <f>K1604-L1604</f>
        <v>0.517010955832566</v>
      </c>
      <c r="N1604" s="1">
        <f>COUNTIF($M$1570:$M$1625,"&gt;"&amp;M1604)+COUNTIF($M$1570:M1604,M1604)</f>
        <v>20</v>
      </c>
      <c r="O1604" s="1">
        <f>J1604+L1604+IF(N1604&lt;=I1604-SUM($J$1570:$J$1625)-SUM($L$1570:$L$1625),1,0)</f>
        <v>22</v>
      </c>
    </row>
    <row r="1605" spans="1:15">
      <c r="A1605" s="1" t="s">
        <v>74</v>
      </c>
      <c r="B1605" s="1" t="s">
        <v>82</v>
      </c>
      <c r="C1605" s="1" t="s">
        <v>50</v>
      </c>
      <c r="D1605" s="1" t="s">
        <v>39</v>
      </c>
      <c r="E1605" s="1" t="s">
        <v>45</v>
      </c>
      <c r="F1605" s="1" t="s">
        <v>42</v>
      </c>
      <c r="G1605" s="1">
        <v>4686</v>
      </c>
      <c r="H1605" s="1">
        <f>'1_Departamento_n'!C30</f>
        <v>90089</v>
      </c>
      <c r="I1605" s="1">
        <f>'1_Departamento_n'!H30</f>
        <v>1299</v>
      </c>
      <c r="J1605" s="1">
        <f>'0_Parametros'!B7</f>
        <v>10</v>
      </c>
      <c r="K1605" s="3">
        <f>(I1605-SUM($J$1570:$J$1625))*G1605/H1605</f>
        <v>38.43925451497963</v>
      </c>
      <c r="L1605" s="1">
        <f>INT(K1605)</f>
        <v>38</v>
      </c>
      <c r="M1605" s="3">
        <f>K1605-L1605</f>
        <v>0.43925451497963053</v>
      </c>
      <c r="N1605" s="1">
        <f>COUNTIF($M$1570:$M$1625,"&gt;"&amp;M1605)+COUNTIF($M$1570:M1605,M1605)</f>
        <v>24</v>
      </c>
      <c r="O1605" s="1">
        <f>J1605+L1605+IF(N1605&lt;=I1605-SUM($J$1570:$J$1625)-SUM($L$1570:$L$1625),1,0)</f>
        <v>49</v>
      </c>
    </row>
    <row r="1606" spans="1:15">
      <c r="A1606" s="1" t="s">
        <v>74</v>
      </c>
      <c r="B1606" s="1" t="s">
        <v>82</v>
      </c>
      <c r="C1606" s="1" t="s">
        <v>50</v>
      </c>
      <c r="D1606" s="1" t="s">
        <v>39</v>
      </c>
      <c r="E1606" s="1" t="s">
        <v>46</v>
      </c>
      <c r="F1606" s="1" t="s">
        <v>41</v>
      </c>
      <c r="G1606" s="1">
        <v>1126</v>
      </c>
      <c r="H1606" s="1">
        <f>'1_Departamento_n'!C30</f>
        <v>90089</v>
      </c>
      <c r="I1606" s="1">
        <f>'1_Departamento_n'!H30</f>
        <v>1299</v>
      </c>
      <c r="J1606" s="1">
        <f>'0_Parametros'!B7</f>
        <v>10</v>
      </c>
      <c r="K1606" s="3">
        <f>(I1606-SUM($J$1570:$J$1625))*G1606/H1606</f>
        <v>9.236577162583668</v>
      </c>
      <c r="L1606" s="1">
        <f>INT(K1606)</f>
        <v>9</v>
      </c>
      <c r="M1606" s="3">
        <f>K1606-L1606</f>
        <v>0.2365771625836679</v>
      </c>
      <c r="N1606" s="1">
        <f>COUNTIF($M$1570:$M$1625,"&gt;"&amp;M1606)+COUNTIF($M$1570:M1606,M1606)</f>
        <v>40</v>
      </c>
      <c r="O1606" s="1">
        <f>J1606+L1606+IF(N1606&lt;=I1606-SUM($J$1570:$J$1625)-SUM($L$1570:$L$1625),1,0)</f>
        <v>19</v>
      </c>
    </row>
    <row r="1607" spans="1:15">
      <c r="A1607" s="1" t="s">
        <v>74</v>
      </c>
      <c r="B1607" s="1" t="s">
        <v>82</v>
      </c>
      <c r="C1607" s="1" t="s">
        <v>50</v>
      </c>
      <c r="D1607" s="1" t="s">
        <v>39</v>
      </c>
      <c r="E1607" s="1" t="s">
        <v>46</v>
      </c>
      <c r="F1607" s="1" t="s">
        <v>42</v>
      </c>
      <c r="G1607" s="1">
        <v>3216</v>
      </c>
      <c r="H1607" s="1">
        <f>'1_Departamento_n'!C30</f>
        <v>90089</v>
      </c>
      <c r="I1607" s="1">
        <f>'1_Departamento_n'!H30</f>
        <v>1299</v>
      </c>
      <c r="J1607" s="1">
        <f>'0_Parametros'!B7</f>
        <v>10</v>
      </c>
      <c r="K1607" s="3">
        <f>(I1607-SUM($J$1570:$J$1625))*G1607/H1607</f>
        <v>26.38084560823186</v>
      </c>
      <c r="L1607" s="1">
        <f>INT(K1607)</f>
        <v>26</v>
      </c>
      <c r="M1607" s="3">
        <f>K1607-L1607</f>
        <v>0.38084560823185853</v>
      </c>
      <c r="N1607" s="1">
        <f>COUNTIF($M$1570:$M$1625,"&gt;"&amp;M1607)+COUNTIF($M$1570:M1607,M1607)</f>
        <v>30</v>
      </c>
      <c r="O1607" s="1">
        <f>J1607+L1607+IF(N1607&lt;=I1607-SUM($J$1570:$J$1625)-SUM($L$1570:$L$1625),1,0)</f>
        <v>36</v>
      </c>
    </row>
    <row r="1608" spans="1:15">
      <c r="A1608" s="1" t="s">
        <v>74</v>
      </c>
      <c r="B1608" s="1" t="s">
        <v>82</v>
      </c>
      <c r="C1608" s="1" t="s">
        <v>50</v>
      </c>
      <c r="D1608" s="1" t="s">
        <v>39</v>
      </c>
      <c r="E1608" s="1" t="s">
        <v>47</v>
      </c>
      <c r="F1608" s="1" t="s">
        <v>41</v>
      </c>
      <c r="G1608" s="1">
        <v>818</v>
      </c>
      <c r="H1608" s="1">
        <f>'1_Departamento_n'!C30</f>
        <v>90089</v>
      </c>
      <c r="I1608" s="1">
        <f>'1_Departamento_n'!H30</f>
        <v>1299</v>
      </c>
      <c r="J1608" s="1">
        <f>'0_Parametros'!B7</f>
        <v>10</v>
      </c>
      <c r="K1608" s="3">
        <f>(I1608-SUM($J$1570:$J$1625))*G1608/H1608</f>
        <v>6.7100533916460385</v>
      </c>
      <c r="L1608" s="1">
        <f>INT(K1608)</f>
        <v>6</v>
      </c>
      <c r="M1608" s="3">
        <f>K1608-L1608</f>
        <v>0.7100533916460385</v>
      </c>
      <c r="N1608" s="1">
        <f>COUNTIF($M$1570:$M$1625,"&gt;"&amp;M1608)+COUNTIF($M$1570:M1608,M1608)</f>
        <v>14</v>
      </c>
      <c r="O1608" s="1">
        <f>J1608+L1608+IF(N1608&lt;=I1608-SUM($J$1570:$J$1625)-SUM($L$1570:$L$1625),1,0)</f>
        <v>17</v>
      </c>
    </row>
    <row r="1609" spans="1:15">
      <c r="A1609" s="1" t="s">
        <v>74</v>
      </c>
      <c r="B1609" s="1" t="s">
        <v>82</v>
      </c>
      <c r="C1609" s="1" t="s">
        <v>50</v>
      </c>
      <c r="D1609" s="1" t="s">
        <v>39</v>
      </c>
      <c r="E1609" s="1" t="s">
        <v>47</v>
      </c>
      <c r="F1609" s="1" t="s">
        <v>42</v>
      </c>
      <c r="G1609" s="1">
        <v>2124</v>
      </c>
      <c r="H1609" s="1">
        <f>'1_Departamento_n'!C30</f>
        <v>90089</v>
      </c>
      <c r="I1609" s="1">
        <f>'1_Departamento_n'!H30</f>
        <v>1299</v>
      </c>
      <c r="J1609" s="1">
        <f>'0_Parametros'!B7</f>
        <v>10</v>
      </c>
      <c r="K1609" s="3">
        <f>(I1609-SUM($J$1570:$J$1625))*G1609/H1609</f>
        <v>17.423170420362087</v>
      </c>
      <c r="L1609" s="1">
        <f>INT(K1609)</f>
        <v>17</v>
      </c>
      <c r="M1609" s="3">
        <f>K1609-L1609</f>
        <v>0.4231704203620872</v>
      </c>
      <c r="N1609" s="1">
        <f>COUNTIF($M$1570:$M$1625,"&gt;"&amp;M1609)+COUNTIF($M$1570:M1609,M1609)</f>
        <v>27</v>
      </c>
      <c r="O1609" s="1">
        <f>J1609+L1609+IF(N1609&lt;=I1609-SUM($J$1570:$J$1625)-SUM($L$1570:$L$1625),1,0)</f>
        <v>27</v>
      </c>
    </row>
    <row r="1610" spans="1:15">
      <c r="A1610" s="1" t="s">
        <v>74</v>
      </c>
      <c r="B1610" s="1" t="s">
        <v>82</v>
      </c>
      <c r="C1610" s="1" t="s">
        <v>50</v>
      </c>
      <c r="D1610" s="1" t="s">
        <v>39</v>
      </c>
      <c r="E1610" s="1" t="s">
        <v>48</v>
      </c>
      <c r="F1610" s="1" t="s">
        <v>41</v>
      </c>
      <c r="G1610" s="1">
        <v>1045</v>
      </c>
      <c r="H1610" s="1">
        <f>'1_Departamento_n'!C30</f>
        <v>90089</v>
      </c>
      <c r="I1610" s="1">
        <f>'1_Departamento_n'!H30</f>
        <v>1299</v>
      </c>
      <c r="J1610" s="1">
        <f>'0_Parametros'!B7</f>
        <v>10</v>
      </c>
      <c r="K1610" s="3">
        <f>(I1610-SUM($J$1570:$J$1625))*G1610/H1610</f>
        <v>8.572134222824095</v>
      </c>
      <c r="L1610" s="1">
        <f>INT(K1610)</f>
        <v>8</v>
      </c>
      <c r="M1610" s="3">
        <f>K1610-L1610</f>
        <v>0.5721342228240953</v>
      </c>
      <c r="N1610" s="1">
        <f>COUNTIF($M$1570:$M$1625,"&gt;"&amp;M1610)+COUNTIF($M$1570:M1610,M1610)</f>
        <v>17</v>
      </c>
      <c r="O1610" s="1">
        <f>J1610+L1610+IF(N1610&lt;=I1610-SUM($J$1570:$J$1625)-SUM($L$1570:$L$1625),1,0)</f>
        <v>19</v>
      </c>
    </row>
    <row r="1611" spans="1:15">
      <c r="A1611" s="1" t="s">
        <v>74</v>
      </c>
      <c r="B1611" s="1" t="s">
        <v>82</v>
      </c>
      <c r="C1611" s="1" t="s">
        <v>50</v>
      </c>
      <c r="D1611" s="1" t="s">
        <v>39</v>
      </c>
      <c r="E1611" s="1" t="s">
        <v>48</v>
      </c>
      <c r="F1611" s="1" t="s">
        <v>42</v>
      </c>
      <c r="G1611" s="1">
        <v>2677</v>
      </c>
      <c r="H1611" s="1">
        <f>'1_Departamento_n'!C30</f>
        <v>90089</v>
      </c>
      <c r="I1611" s="1">
        <f>'1_Departamento_n'!H30</f>
        <v>1299</v>
      </c>
      <c r="J1611" s="1">
        <f>'0_Parametros'!B7</f>
        <v>10</v>
      </c>
      <c r="K1611" s="3">
        <f>(I1611-SUM($J$1570:$J$1625))*G1611/H1611</f>
        <v>21.95942900909101</v>
      </c>
      <c r="L1611" s="1">
        <f>INT(K1611)</f>
        <v>21</v>
      </c>
      <c r="M1611" s="3">
        <f>K1611-L1611</f>
        <v>0.9594290090910107</v>
      </c>
      <c r="N1611" s="1">
        <f>COUNTIF($M$1570:$M$1625,"&gt;"&amp;M1611)+COUNTIF($M$1570:M1611,M1611)</f>
        <v>2</v>
      </c>
      <c r="O1611" s="1">
        <f>J1611+L1611+IF(N1611&lt;=I1611-SUM($J$1570:$J$1625)-SUM($L$1570:$L$1625),1,0)</f>
        <v>32</v>
      </c>
    </row>
    <row r="1612" spans="1:15">
      <c r="A1612" s="1" t="s">
        <v>74</v>
      </c>
      <c r="B1612" s="1" t="s">
        <v>82</v>
      </c>
      <c r="C1612" s="1" t="s">
        <v>50</v>
      </c>
      <c r="D1612" s="1" t="s">
        <v>49</v>
      </c>
      <c r="E1612" s="1" t="s">
        <v>40</v>
      </c>
      <c r="F1612" s="1" t="s">
        <v>41</v>
      </c>
      <c r="G1612" s="1">
        <v>1863</v>
      </c>
      <c r="H1612" s="1">
        <f>'1_Departamento_n'!C30</f>
        <v>90089</v>
      </c>
      <c r="I1612" s="1">
        <f>'1_Departamento_n'!H30</f>
        <v>1299</v>
      </c>
      <c r="J1612" s="1">
        <f>'0_Parametros'!B7</f>
        <v>10</v>
      </c>
      <c r="K1612" s="3">
        <f>(I1612-SUM($J$1570:$J$1625))*G1612/H1612</f>
        <v>15.282187614470136</v>
      </c>
      <c r="L1612" s="1">
        <f>INT(K1612)</f>
        <v>15</v>
      </c>
      <c r="M1612" s="3">
        <f>K1612-L1612</f>
        <v>0.28218761447013563</v>
      </c>
      <c r="N1612" s="1">
        <f>COUNTIF($M$1570:$M$1625,"&gt;"&amp;M1612)+COUNTIF($M$1570:M1612,M1612)</f>
        <v>39</v>
      </c>
      <c r="O1612" s="1">
        <f>J1612+L1612+IF(N1612&lt;=I1612-SUM($J$1570:$J$1625)-SUM($L$1570:$L$1625),1,0)</f>
        <v>25</v>
      </c>
    </row>
    <row r="1613" spans="1:15">
      <c r="A1613" s="1" t="s">
        <v>74</v>
      </c>
      <c r="B1613" s="1" t="s">
        <v>82</v>
      </c>
      <c r="C1613" s="1" t="s">
        <v>50</v>
      </c>
      <c r="D1613" s="1" t="s">
        <v>49</v>
      </c>
      <c r="E1613" s="1" t="s">
        <v>40</v>
      </c>
      <c r="F1613" s="1" t="s">
        <v>42</v>
      </c>
      <c r="G1613" s="1">
        <v>6301</v>
      </c>
      <c r="H1613" s="1">
        <f>'1_Departamento_n'!C30</f>
        <v>90089</v>
      </c>
      <c r="I1613" s="1">
        <f>'1_Departamento_n'!H30</f>
        <v>1299</v>
      </c>
      <c r="J1613" s="1">
        <f>'0_Parametros'!B7</f>
        <v>10</v>
      </c>
      <c r="K1613" s="3">
        <f>(I1613-SUM($J$1570:$J$1625))*G1613/H1613</f>
        <v>51.6870983138896</v>
      </c>
      <c r="L1613" s="1">
        <f>INT(K1613)</f>
        <v>51</v>
      </c>
      <c r="M1613" s="3">
        <f>K1613-L1613</f>
        <v>0.6870983138895994</v>
      </c>
      <c r="N1613" s="1">
        <f>COUNTIF($M$1570:$M$1625,"&gt;"&amp;M1613)+COUNTIF($M$1570:M1613,M1613)</f>
        <v>15</v>
      </c>
      <c r="O1613" s="1">
        <f>J1613+L1613+IF(N1613&lt;=I1613-SUM($J$1570:$J$1625)-SUM($L$1570:$L$1625),1,0)</f>
        <v>62</v>
      </c>
    </row>
    <row r="1614" spans="1:15">
      <c r="A1614" s="1" t="s">
        <v>74</v>
      </c>
      <c r="B1614" s="1" t="s">
        <v>82</v>
      </c>
      <c r="C1614" s="1" t="s">
        <v>50</v>
      </c>
      <c r="D1614" s="1" t="s">
        <v>49</v>
      </c>
      <c r="E1614" s="1" t="s">
        <v>43</v>
      </c>
      <c r="F1614" s="1" t="s">
        <v>41</v>
      </c>
      <c r="G1614" s="1">
        <v>2222</v>
      </c>
      <c r="H1614" s="1">
        <f>'1_Departamento_n'!C30</f>
        <v>90089</v>
      </c>
      <c r="I1614" s="1">
        <f>'1_Departamento_n'!H30</f>
        <v>1299</v>
      </c>
      <c r="J1614" s="1">
        <f>'0_Parametros'!B7</f>
        <v>10</v>
      </c>
      <c r="K1614" s="3">
        <f>(I1614-SUM($J$1570:$J$1625))*G1614/H1614</f>
        <v>18.227064347478606</v>
      </c>
      <c r="L1614" s="1">
        <f>INT(K1614)</f>
        <v>18</v>
      </c>
      <c r="M1614" s="3">
        <f>K1614-L1614</f>
        <v>0.22706434747860627</v>
      </c>
      <c r="N1614" s="1">
        <f>COUNTIF($M$1570:$M$1625,"&gt;"&amp;M1614)+COUNTIF($M$1570:M1614,M1614)</f>
        <v>41</v>
      </c>
      <c r="O1614" s="1">
        <f>J1614+L1614+IF(N1614&lt;=I1614-SUM($J$1570:$J$1625)-SUM($L$1570:$L$1625),1,0)</f>
        <v>28</v>
      </c>
    </row>
    <row r="1615" spans="1:15">
      <c r="A1615" s="1" t="s">
        <v>74</v>
      </c>
      <c r="B1615" s="1" t="s">
        <v>82</v>
      </c>
      <c r="C1615" s="1" t="s">
        <v>50</v>
      </c>
      <c r="D1615" s="1" t="s">
        <v>49</v>
      </c>
      <c r="E1615" s="1" t="s">
        <v>43</v>
      </c>
      <c r="F1615" s="1" t="s">
        <v>42</v>
      </c>
      <c r="G1615" s="1">
        <v>5464</v>
      </c>
      <c r="H1615" s="1">
        <f>'1_Departamento_n'!C30</f>
        <v>90089</v>
      </c>
      <c r="I1615" s="1">
        <f>'1_Departamento_n'!H30</f>
        <v>1299</v>
      </c>
      <c r="J1615" s="1">
        <f>'0_Parametros'!B7</f>
        <v>10</v>
      </c>
      <c r="K1615" s="3">
        <f>(I1615-SUM($J$1570:$J$1625))*G1615/H1615</f>
        <v>44.82118793637403</v>
      </c>
      <c r="L1615" s="1">
        <f>INT(K1615)</f>
        <v>44</v>
      </c>
      <c r="M1615" s="3">
        <f>K1615-L1615</f>
        <v>0.8211879363740309</v>
      </c>
      <c r="N1615" s="1">
        <f>COUNTIF($M$1570:$M$1625,"&gt;"&amp;M1615)+COUNTIF($M$1570:M1615,M1615)</f>
        <v>8</v>
      </c>
      <c r="O1615" s="1">
        <f>J1615+L1615+IF(N1615&lt;=I1615-SUM($J$1570:$J$1625)-SUM($L$1570:$L$1625),1,0)</f>
        <v>55</v>
      </c>
    </row>
    <row r="1616" spans="1:15">
      <c r="A1616" s="1" t="s">
        <v>74</v>
      </c>
      <c r="B1616" s="1" t="s">
        <v>82</v>
      </c>
      <c r="C1616" s="1" t="s">
        <v>50</v>
      </c>
      <c r="D1616" s="1" t="s">
        <v>49</v>
      </c>
      <c r="E1616" s="1" t="s">
        <v>44</v>
      </c>
      <c r="F1616" s="1" t="s">
        <v>41</v>
      </c>
      <c r="G1616" s="1">
        <v>1227</v>
      </c>
      <c r="H1616" s="1">
        <f>'1_Departamento_n'!C30</f>
        <v>90089</v>
      </c>
      <c r="I1616" s="1">
        <f>'1_Departamento_n'!H30</f>
        <v>1299</v>
      </c>
      <c r="J1616" s="1">
        <f>'0_Parametros'!B7</f>
        <v>10</v>
      </c>
      <c r="K1616" s="3">
        <f>(I1616-SUM($J$1570:$J$1625))*G1616/H1616</f>
        <v>10.065080087469058</v>
      </c>
      <c r="L1616" s="1">
        <f>INT(K1616)</f>
        <v>10</v>
      </c>
      <c r="M1616" s="3">
        <f>K1616-L1616</f>
        <v>0.0650800874690578</v>
      </c>
      <c r="N1616" s="1">
        <f>COUNTIF($M$1570:$M$1625,"&gt;"&amp;M1616)+COUNTIF($M$1570:M1616,M1616)</f>
        <v>53</v>
      </c>
      <c r="O1616" s="1">
        <f>J1616+L1616+IF(N1616&lt;=I1616-SUM($J$1570:$J$1625)-SUM($L$1570:$L$1625),1,0)</f>
        <v>20</v>
      </c>
    </row>
    <row r="1617" spans="1:15">
      <c r="A1617" s="1" t="s">
        <v>74</v>
      </c>
      <c r="B1617" s="1" t="s">
        <v>82</v>
      </c>
      <c r="C1617" s="1" t="s">
        <v>50</v>
      </c>
      <c r="D1617" s="1" t="s">
        <v>49</v>
      </c>
      <c r="E1617" s="1" t="s">
        <v>44</v>
      </c>
      <c r="F1617" s="1" t="s">
        <v>42</v>
      </c>
      <c r="G1617" s="1">
        <v>3423</v>
      </c>
      <c r="H1617" s="1">
        <f>'1_Departamento_n'!C30</f>
        <v>90089</v>
      </c>
      <c r="I1617" s="1">
        <f>'1_Departamento_n'!H30</f>
        <v>1299</v>
      </c>
      <c r="J1617" s="1">
        <f>'0_Parametros'!B7</f>
        <v>10</v>
      </c>
      <c r="K1617" s="3">
        <f>(I1617-SUM($J$1570:$J$1625))*G1617/H1617</f>
        <v>28.078866454284096</v>
      </c>
      <c r="L1617" s="1">
        <f>INT(K1617)</f>
        <v>28</v>
      </c>
      <c r="M1617" s="3">
        <f>K1617-L1617</f>
        <v>0.07886645428409622</v>
      </c>
      <c r="N1617" s="1">
        <f>COUNTIF($M$1570:$M$1625,"&gt;"&amp;M1617)+COUNTIF($M$1570:M1617,M1617)</f>
        <v>50</v>
      </c>
      <c r="O1617" s="1">
        <f>J1617+L1617+IF(N1617&lt;=I1617-SUM($J$1570:$J$1625)-SUM($L$1570:$L$1625),1,0)</f>
        <v>38</v>
      </c>
    </row>
    <row r="1618" spans="1:15">
      <c r="A1618" s="1" t="s">
        <v>74</v>
      </c>
      <c r="B1618" s="1" t="s">
        <v>82</v>
      </c>
      <c r="C1618" s="1" t="s">
        <v>50</v>
      </c>
      <c r="D1618" s="1" t="s">
        <v>49</v>
      </c>
      <c r="E1618" s="1" t="s">
        <v>45</v>
      </c>
      <c r="F1618" s="1" t="s">
        <v>41</v>
      </c>
      <c r="G1618" s="1">
        <v>1035</v>
      </c>
      <c r="H1618" s="1">
        <f>'1_Departamento_n'!C30</f>
        <v>90089</v>
      </c>
      <c r="I1618" s="1">
        <f>'1_Departamento_n'!H30</f>
        <v>1299</v>
      </c>
      <c r="J1618" s="1">
        <f>'0_Parametros'!B7</f>
        <v>10</v>
      </c>
      <c r="K1618" s="3">
        <f>(I1618-SUM($J$1570:$J$1625))*G1618/H1618</f>
        <v>8.490104230261187</v>
      </c>
      <c r="L1618" s="1">
        <f>INT(K1618)</f>
        <v>8</v>
      </c>
      <c r="M1618" s="3">
        <f>K1618-L1618</f>
        <v>0.49010423026118666</v>
      </c>
      <c r="N1618" s="1">
        <f>COUNTIF($M$1570:$M$1625,"&gt;"&amp;M1618)+COUNTIF($M$1570:M1618,M1618)</f>
        <v>21</v>
      </c>
      <c r="O1618" s="1">
        <f>J1618+L1618+IF(N1618&lt;=I1618-SUM($J$1570:$J$1625)-SUM($L$1570:$L$1625),1,0)</f>
        <v>19</v>
      </c>
    </row>
    <row r="1619" spans="1:15">
      <c r="A1619" s="1" t="s">
        <v>74</v>
      </c>
      <c r="B1619" s="1" t="s">
        <v>82</v>
      </c>
      <c r="C1619" s="1" t="s">
        <v>50</v>
      </c>
      <c r="D1619" s="1" t="s">
        <v>49</v>
      </c>
      <c r="E1619" s="1" t="s">
        <v>45</v>
      </c>
      <c r="F1619" s="1" t="s">
        <v>42</v>
      </c>
      <c r="G1619" s="1">
        <v>4625</v>
      </c>
      <c r="H1619" s="1">
        <f>'1_Departamento_n'!C30</f>
        <v>90089</v>
      </c>
      <c r="I1619" s="1">
        <f>'1_Departamento_n'!H30</f>
        <v>1299</v>
      </c>
      <c r="J1619" s="1">
        <f>'0_Parametros'!B7</f>
        <v>10</v>
      </c>
      <c r="K1619" s="3">
        <f>(I1619-SUM($J$1570:$J$1625))*G1619/H1619</f>
        <v>37.93887156034588</v>
      </c>
      <c r="L1619" s="1">
        <f>INT(K1619)</f>
        <v>37</v>
      </c>
      <c r="M1619" s="3">
        <f>K1619-L1619</f>
        <v>0.9388715603458806</v>
      </c>
      <c r="N1619" s="1">
        <f>COUNTIF($M$1570:$M$1625,"&gt;"&amp;M1619)+COUNTIF($M$1570:M1619,M1619)</f>
        <v>3</v>
      </c>
      <c r="O1619" s="1">
        <f>J1619+L1619+IF(N1619&lt;=I1619-SUM($J$1570:$J$1625)-SUM($L$1570:$L$1625),1,0)</f>
        <v>48</v>
      </c>
    </row>
    <row r="1620" spans="1:15">
      <c r="A1620" s="1" t="s">
        <v>74</v>
      </c>
      <c r="B1620" s="1" t="s">
        <v>82</v>
      </c>
      <c r="C1620" s="1" t="s">
        <v>50</v>
      </c>
      <c r="D1620" s="1" t="s">
        <v>49</v>
      </c>
      <c r="E1620" s="1" t="s">
        <v>46</v>
      </c>
      <c r="F1620" s="1" t="s">
        <v>41</v>
      </c>
      <c r="G1620" s="1">
        <v>1019</v>
      </c>
      <c r="H1620" s="1">
        <f>'1_Departamento_n'!C30</f>
        <v>90089</v>
      </c>
      <c r="I1620" s="1">
        <f>'1_Departamento_n'!H30</f>
        <v>1299</v>
      </c>
      <c r="J1620" s="1">
        <f>'0_Parametros'!B7</f>
        <v>10</v>
      </c>
      <c r="K1620" s="3">
        <f>(I1620-SUM($J$1570:$J$1625))*G1620/H1620</f>
        <v>8.358856242160531</v>
      </c>
      <c r="L1620" s="1">
        <f>INT(K1620)</f>
        <v>8</v>
      </c>
      <c r="M1620" s="3">
        <f>K1620-L1620</f>
        <v>0.358856242160531</v>
      </c>
      <c r="N1620" s="1">
        <f>COUNTIF($M$1570:$M$1625,"&gt;"&amp;M1620)+COUNTIF($M$1570:M1620,M1620)</f>
        <v>33</v>
      </c>
      <c r="O1620" s="1">
        <f>J1620+L1620+IF(N1620&lt;=I1620-SUM($J$1570:$J$1625)-SUM($L$1570:$L$1625),1,0)</f>
        <v>18</v>
      </c>
    </row>
    <row r="1621" spans="1:15">
      <c r="A1621" s="1" t="s">
        <v>74</v>
      </c>
      <c r="B1621" s="1" t="s">
        <v>82</v>
      </c>
      <c r="C1621" s="1" t="s">
        <v>50</v>
      </c>
      <c r="D1621" s="1" t="s">
        <v>49</v>
      </c>
      <c r="E1621" s="1" t="s">
        <v>46</v>
      </c>
      <c r="F1621" s="1" t="s">
        <v>42</v>
      </c>
      <c r="G1621" s="1">
        <v>3339</v>
      </c>
      <c r="H1621" s="1">
        <f>'1_Departamento_n'!C30</f>
        <v>90089</v>
      </c>
      <c r="I1621" s="1">
        <f>'1_Departamento_n'!H30</f>
        <v>1299</v>
      </c>
      <c r="J1621" s="1">
        <f>'0_Parametros'!B7</f>
        <v>10</v>
      </c>
      <c r="K1621" s="3">
        <f>(I1621-SUM($J$1570:$J$1625))*G1621/H1621</f>
        <v>27.389814516755653</v>
      </c>
      <c r="L1621" s="1">
        <f>INT(K1621)</f>
        <v>27</v>
      </c>
      <c r="M1621" s="3">
        <f>K1621-L1621</f>
        <v>0.3898145167556528</v>
      </c>
      <c r="N1621" s="1">
        <f>COUNTIF($M$1570:$M$1625,"&gt;"&amp;M1621)+COUNTIF($M$1570:M1621,M1621)</f>
        <v>29</v>
      </c>
      <c r="O1621" s="1">
        <f>J1621+L1621+IF(N1621&lt;=I1621-SUM($J$1570:$J$1625)-SUM($L$1570:$L$1625),1,0)</f>
        <v>37</v>
      </c>
    </row>
    <row r="1622" spans="1:15">
      <c r="A1622" s="1" t="s">
        <v>74</v>
      </c>
      <c r="B1622" s="1" t="s">
        <v>82</v>
      </c>
      <c r="C1622" s="1" t="s">
        <v>50</v>
      </c>
      <c r="D1622" s="1" t="s">
        <v>49</v>
      </c>
      <c r="E1622" s="1" t="s">
        <v>47</v>
      </c>
      <c r="F1622" s="1" t="s">
        <v>41</v>
      </c>
      <c r="G1622" s="1">
        <v>894</v>
      </c>
      <c r="H1622" s="1">
        <f>'1_Departamento_n'!C30</f>
        <v>90089</v>
      </c>
      <c r="I1622" s="1">
        <f>'1_Departamento_n'!H30</f>
        <v>1299</v>
      </c>
      <c r="J1622" s="1">
        <f>'0_Parametros'!B7</f>
        <v>10</v>
      </c>
      <c r="K1622" s="3">
        <f>(I1622-SUM($J$1570:$J$1625))*G1622/H1622</f>
        <v>7.333481335124155</v>
      </c>
      <c r="L1622" s="1">
        <f>INT(K1622)</f>
        <v>7</v>
      </c>
      <c r="M1622" s="3">
        <f>K1622-L1622</f>
        <v>0.333481335124155</v>
      </c>
      <c r="N1622" s="1">
        <f>COUNTIF($M$1570:$M$1625,"&gt;"&amp;M1622)+COUNTIF($M$1570:M1622,M1622)</f>
        <v>35</v>
      </c>
      <c r="O1622" s="1">
        <f>J1622+L1622+IF(N1622&lt;=I1622-SUM($J$1570:$J$1625)-SUM($L$1570:$L$1625),1,0)</f>
        <v>17</v>
      </c>
    </row>
    <row r="1623" spans="1:15">
      <c r="A1623" s="1" t="s">
        <v>74</v>
      </c>
      <c r="B1623" s="1" t="s">
        <v>82</v>
      </c>
      <c r="C1623" s="1" t="s">
        <v>50</v>
      </c>
      <c r="D1623" s="1" t="s">
        <v>49</v>
      </c>
      <c r="E1623" s="1" t="s">
        <v>47</v>
      </c>
      <c r="F1623" s="1" t="s">
        <v>42</v>
      </c>
      <c r="G1623" s="1">
        <v>2409</v>
      </c>
      <c r="H1623" s="1">
        <f>'1_Departamento_n'!C30</f>
        <v>90089</v>
      </c>
      <c r="I1623" s="1">
        <f>'1_Departamento_n'!H30</f>
        <v>1299</v>
      </c>
      <c r="J1623" s="1">
        <f>'0_Parametros'!B7</f>
        <v>10</v>
      </c>
      <c r="K1623" s="3">
        <f>(I1623-SUM($J$1570:$J$1625))*G1623/H1623</f>
        <v>19.761025208405023</v>
      </c>
      <c r="L1623" s="1">
        <f>INT(K1623)</f>
        <v>19</v>
      </c>
      <c r="M1623" s="3">
        <f>K1623-L1623</f>
        <v>0.7610252084050231</v>
      </c>
      <c r="N1623" s="1">
        <f>COUNTIF($M$1570:$M$1625,"&gt;"&amp;M1623)+COUNTIF($M$1570:M1623,M1623)</f>
        <v>12</v>
      </c>
      <c r="O1623" s="1">
        <f>J1623+L1623+IF(N1623&lt;=I1623-SUM($J$1570:$J$1625)-SUM($L$1570:$L$1625),1,0)</f>
        <v>30</v>
      </c>
    </row>
    <row r="1624" spans="1:15">
      <c r="A1624" s="1" t="s">
        <v>74</v>
      </c>
      <c r="B1624" s="1" t="s">
        <v>82</v>
      </c>
      <c r="C1624" s="1" t="s">
        <v>50</v>
      </c>
      <c r="D1624" s="1" t="s">
        <v>49</v>
      </c>
      <c r="E1624" s="1" t="s">
        <v>48</v>
      </c>
      <c r="F1624" s="1" t="s">
        <v>41</v>
      </c>
      <c r="G1624" s="1">
        <v>1216</v>
      </c>
      <c r="H1624" s="1">
        <f>'1_Departamento_n'!C30</f>
        <v>90089</v>
      </c>
      <c r="I1624" s="1">
        <f>'1_Departamento_n'!H30</f>
        <v>1299</v>
      </c>
      <c r="J1624" s="1">
        <f>'0_Parametros'!B7</f>
        <v>10</v>
      </c>
      <c r="K1624" s="3">
        <f>(I1624-SUM($J$1570:$J$1625))*G1624/H1624</f>
        <v>9.974847095649856</v>
      </c>
      <c r="L1624" s="1">
        <f>INT(K1624)</f>
        <v>9</v>
      </c>
      <c r="M1624" s="3">
        <f>K1624-L1624</f>
        <v>0.9748470956498565</v>
      </c>
      <c r="N1624" s="1">
        <f>COUNTIF($M$1570:$M$1625,"&gt;"&amp;M1624)+COUNTIF($M$1570:M1624,M1624)</f>
        <v>1</v>
      </c>
      <c r="O1624" s="1">
        <f>J1624+L1624+IF(N1624&lt;=I1624-SUM($J$1570:$J$1625)-SUM($L$1570:$L$1625),1,0)</f>
        <v>20</v>
      </c>
    </row>
    <row r="1625" spans="1:15">
      <c r="A1625" s="1" t="s">
        <v>74</v>
      </c>
      <c r="B1625" s="1" t="s">
        <v>82</v>
      </c>
      <c r="C1625" s="1" t="s">
        <v>50</v>
      </c>
      <c r="D1625" s="1" t="s">
        <v>49</v>
      </c>
      <c r="E1625" s="1" t="s">
        <v>48</v>
      </c>
      <c r="F1625" s="1" t="s">
        <v>42</v>
      </c>
      <c r="G1625" s="1">
        <v>3385</v>
      </c>
      <c r="H1625" s="1">
        <f>'1_Departamento_n'!C30</f>
        <v>90089</v>
      </c>
      <c r="I1625" s="1">
        <f>'1_Departamento_n'!H30</f>
        <v>1299</v>
      </c>
      <c r="J1625" s="1">
        <f>'0_Parametros'!B7</f>
        <v>10</v>
      </c>
      <c r="K1625" s="3">
        <f>(I1625-SUM($J$1570:$J$1625))*G1625/H1625</f>
        <v>27.76715248254504</v>
      </c>
      <c r="L1625" s="1">
        <f>INT(K1625)</f>
        <v>27</v>
      </c>
      <c r="M1625" s="3">
        <f>K1625-L1625</f>
        <v>0.7671524825450398</v>
      </c>
      <c r="N1625" s="1">
        <f>COUNTIF($M$1570:$M$1625,"&gt;"&amp;M1625)+COUNTIF($M$1570:M1625,M1625)</f>
        <v>10</v>
      </c>
      <c r="O1625" s="1">
        <f>J1625+L1625+IF(N1625&lt;=I1625-SUM($J$1570:$J$1625)-SUM($L$1570:$L$1625),1,0)</f>
        <v>38</v>
      </c>
    </row>
    <row r="1626" spans="1:15">
      <c r="A1626" s="1" t="s">
        <v>83</v>
      </c>
      <c r="B1626" s="1" t="s">
        <v>84</v>
      </c>
      <c r="C1626" s="1" t="s">
        <v>38</v>
      </c>
      <c r="D1626" s="1" t="s">
        <v>39</v>
      </c>
      <c r="E1626" s="1" t="s">
        <v>40</v>
      </c>
      <c r="F1626" s="1" t="s">
        <v>41</v>
      </c>
      <c r="G1626" s="1">
        <v>10242</v>
      </c>
      <c r="H1626" s="1">
        <f>'1_Departamento_n'!C31</f>
        <v>1329172</v>
      </c>
      <c r="I1626" s="1">
        <f>'1_Departamento_n'!H31</f>
        <v>1312</v>
      </c>
      <c r="J1626" s="1">
        <f>'0_Parametros'!B7</f>
        <v>10</v>
      </c>
      <c r="K1626" s="3">
        <f>(I1626-SUM($J$1626:$J$1681))*G1626/H1626</f>
        <v>5.7945728619019965</v>
      </c>
      <c r="L1626" s="1">
        <f>INT(K1626)</f>
        <v>5</v>
      </c>
      <c r="M1626" s="3">
        <f>K1626-L1626</f>
        <v>0.7945728619019965</v>
      </c>
      <c r="N1626" s="1">
        <f>COUNTIF($M$1626:$M$1681,"&gt;"&amp;M1626)+COUNTIF($M$1626:M1626,M1626)</f>
        <v>11</v>
      </c>
      <c r="O1626" s="1">
        <f>J1626+L1626+IF(N1626&lt;=I1626-SUM($J$1626:$J$1681)-SUM($L$1626:$L$1681),1,0)</f>
        <v>16</v>
      </c>
    </row>
    <row r="1627" spans="1:15">
      <c r="A1627" s="1" t="s">
        <v>83</v>
      </c>
      <c r="B1627" s="1" t="s">
        <v>84</v>
      </c>
      <c r="C1627" s="1" t="s">
        <v>38</v>
      </c>
      <c r="D1627" s="1" t="s">
        <v>39</v>
      </c>
      <c r="E1627" s="1" t="s">
        <v>40</v>
      </c>
      <c r="F1627" s="1" t="s">
        <v>42</v>
      </c>
      <c r="G1627" s="1">
        <v>2360</v>
      </c>
      <c r="H1627" s="1">
        <f>'1_Departamento_n'!C31</f>
        <v>1329172</v>
      </c>
      <c r="I1627" s="1">
        <f>'1_Departamento_n'!H31</f>
        <v>1312</v>
      </c>
      <c r="J1627" s="1">
        <f>'0_Parametros'!B7</f>
        <v>10</v>
      </c>
      <c r="K1627" s="3">
        <f>(I1627-SUM($J$1626:$J$1681))*G1627/H1627</f>
        <v>1.3352071816138167</v>
      </c>
      <c r="L1627" s="1">
        <f>INT(K1627)</f>
        <v>1</v>
      </c>
      <c r="M1627" s="3">
        <f>K1627-L1627</f>
        <v>0.3352071816138167</v>
      </c>
      <c r="N1627" s="1">
        <f>COUNTIF($M$1626:$M$1681,"&gt;"&amp;M1627)+COUNTIF($M$1626:M1627,M1627)</f>
        <v>35</v>
      </c>
      <c r="O1627" s="1">
        <f>J1627+L1627+IF(N1627&lt;=I1627-SUM($J$1626:$J$1681)-SUM($L$1626:$L$1681),1,0)</f>
        <v>11</v>
      </c>
    </row>
    <row r="1628" spans="1:15">
      <c r="A1628" s="1" t="s">
        <v>83</v>
      </c>
      <c r="B1628" s="1" t="s">
        <v>84</v>
      </c>
      <c r="C1628" s="1" t="s">
        <v>38</v>
      </c>
      <c r="D1628" s="1" t="s">
        <v>39</v>
      </c>
      <c r="E1628" s="1" t="s">
        <v>43</v>
      </c>
      <c r="F1628" s="1" t="s">
        <v>41</v>
      </c>
      <c r="G1628" s="1">
        <v>13995</v>
      </c>
      <c r="H1628" s="1">
        <f>'1_Departamento_n'!C31</f>
        <v>1329172</v>
      </c>
      <c r="I1628" s="1">
        <f>'1_Departamento_n'!H31</f>
        <v>1312</v>
      </c>
      <c r="J1628" s="1">
        <f>'0_Parametros'!B7</f>
        <v>10</v>
      </c>
      <c r="K1628" s="3">
        <f>(I1628-SUM($J$1626:$J$1681))*G1628/H1628</f>
        <v>7.9178917401209175</v>
      </c>
      <c r="L1628" s="1">
        <f>INT(K1628)</f>
        <v>7</v>
      </c>
      <c r="M1628" s="3">
        <f>K1628-L1628</f>
        <v>0.9178917401209175</v>
      </c>
      <c r="N1628" s="1">
        <f>COUNTIF($M$1626:$M$1681,"&gt;"&amp;M1628)+COUNTIF($M$1626:M1628,M1628)</f>
        <v>6</v>
      </c>
      <c r="O1628" s="1">
        <f>J1628+L1628+IF(N1628&lt;=I1628-SUM($J$1626:$J$1681)-SUM($L$1626:$L$1681),1,0)</f>
        <v>18</v>
      </c>
    </row>
    <row r="1629" spans="1:15">
      <c r="A1629" s="1" t="s">
        <v>83</v>
      </c>
      <c r="B1629" s="1" t="s">
        <v>84</v>
      </c>
      <c r="C1629" s="1" t="s">
        <v>38</v>
      </c>
      <c r="D1629" s="1" t="s">
        <v>39</v>
      </c>
      <c r="E1629" s="1" t="s">
        <v>43</v>
      </c>
      <c r="F1629" s="1" t="s">
        <v>42</v>
      </c>
      <c r="G1629" s="1">
        <v>2296</v>
      </c>
      <c r="H1629" s="1">
        <f>'1_Departamento_n'!C31</f>
        <v>1329172</v>
      </c>
      <c r="I1629" s="1">
        <f>'1_Departamento_n'!H31</f>
        <v>1312</v>
      </c>
      <c r="J1629" s="1">
        <f>'0_Parametros'!B7</f>
        <v>10</v>
      </c>
      <c r="K1629" s="3">
        <f>(I1629-SUM($J$1626:$J$1681))*G1629/H1629</f>
        <v>1.2989981732988658</v>
      </c>
      <c r="L1629" s="1">
        <f>INT(K1629)</f>
        <v>1</v>
      </c>
      <c r="M1629" s="3">
        <f>K1629-L1629</f>
        <v>0.2989981732988658</v>
      </c>
      <c r="N1629" s="1">
        <f>COUNTIF($M$1626:$M$1681,"&gt;"&amp;M1629)+COUNTIF($M$1626:M1629,M1629)</f>
        <v>40</v>
      </c>
      <c r="O1629" s="1">
        <f>J1629+L1629+IF(N1629&lt;=I1629-SUM($J$1626:$J$1681)-SUM($L$1626:$L$1681),1,0)</f>
        <v>11</v>
      </c>
    </row>
    <row r="1630" spans="1:15">
      <c r="A1630" s="1" t="s">
        <v>83</v>
      </c>
      <c r="B1630" s="1" t="s">
        <v>84</v>
      </c>
      <c r="C1630" s="1" t="s">
        <v>38</v>
      </c>
      <c r="D1630" s="1" t="s">
        <v>39</v>
      </c>
      <c r="E1630" s="1" t="s">
        <v>44</v>
      </c>
      <c r="F1630" s="1" t="s">
        <v>41</v>
      </c>
      <c r="G1630" s="1">
        <v>16506</v>
      </c>
      <c r="H1630" s="1">
        <f>'1_Departamento_n'!C31</f>
        <v>1329172</v>
      </c>
      <c r="I1630" s="1">
        <f>'1_Departamento_n'!H31</f>
        <v>1312</v>
      </c>
      <c r="J1630" s="1">
        <f>'0_Parametros'!B7</f>
        <v>10</v>
      </c>
      <c r="K1630" s="3">
        <f>(I1630-SUM($J$1626:$J$1681))*G1630/H1630</f>
        <v>9.338529550727822</v>
      </c>
      <c r="L1630" s="1">
        <f>INT(K1630)</f>
        <v>9</v>
      </c>
      <c r="M1630" s="3">
        <f>K1630-L1630</f>
        <v>0.33852955072782187</v>
      </c>
      <c r="N1630" s="1">
        <f>COUNTIF($M$1626:$M$1681,"&gt;"&amp;M1630)+COUNTIF($M$1626:M1630,M1630)</f>
        <v>34</v>
      </c>
      <c r="O1630" s="1">
        <f>J1630+L1630+IF(N1630&lt;=I1630-SUM($J$1626:$J$1681)-SUM($L$1626:$L$1681),1,0)</f>
        <v>19</v>
      </c>
    </row>
    <row r="1631" spans="1:15">
      <c r="A1631" s="1" t="s">
        <v>83</v>
      </c>
      <c r="B1631" s="1" t="s">
        <v>84</v>
      </c>
      <c r="C1631" s="1" t="s">
        <v>38</v>
      </c>
      <c r="D1631" s="1" t="s">
        <v>39</v>
      </c>
      <c r="E1631" s="1" t="s">
        <v>44</v>
      </c>
      <c r="F1631" s="1" t="s">
        <v>42</v>
      </c>
      <c r="G1631" s="1">
        <v>6543</v>
      </c>
      <c r="H1631" s="1">
        <f>'1_Departamento_n'!C31</f>
        <v>1329172</v>
      </c>
      <c r="I1631" s="1">
        <f>'1_Departamento_n'!H31</f>
        <v>1312</v>
      </c>
      <c r="J1631" s="1">
        <f>'0_Parametros'!B7</f>
        <v>10</v>
      </c>
      <c r="K1631" s="3">
        <f>(I1631-SUM($J$1626:$J$1681))*G1631/H1631</f>
        <v>3.7018053344488147</v>
      </c>
      <c r="L1631" s="1">
        <f>INT(K1631)</f>
        <v>3</v>
      </c>
      <c r="M1631" s="3">
        <f>K1631-L1631</f>
        <v>0.7018053344488147</v>
      </c>
      <c r="N1631" s="1">
        <f>COUNTIF($M$1626:$M$1681,"&gt;"&amp;M1631)+COUNTIF($M$1626:M1631,M1631)</f>
        <v>15</v>
      </c>
      <c r="O1631" s="1">
        <f>J1631+L1631+IF(N1631&lt;=I1631-SUM($J$1626:$J$1681)-SUM($L$1626:$L$1681),1,0)</f>
        <v>14</v>
      </c>
    </row>
    <row r="1632" spans="1:15">
      <c r="A1632" s="1" t="s">
        <v>83</v>
      </c>
      <c r="B1632" s="1" t="s">
        <v>84</v>
      </c>
      <c r="C1632" s="1" t="s">
        <v>38</v>
      </c>
      <c r="D1632" s="1" t="s">
        <v>39</v>
      </c>
      <c r="E1632" s="1" t="s">
        <v>45</v>
      </c>
      <c r="F1632" s="1" t="s">
        <v>41</v>
      </c>
      <c r="G1632" s="1">
        <v>21907</v>
      </c>
      <c r="H1632" s="1">
        <f>'1_Departamento_n'!C31</f>
        <v>1329172</v>
      </c>
      <c r="I1632" s="1">
        <f>'1_Departamento_n'!H31</f>
        <v>1312</v>
      </c>
      <c r="J1632" s="1">
        <f>'0_Parametros'!B7</f>
        <v>10</v>
      </c>
      <c r="K1632" s="3">
        <f>(I1632-SUM($J$1626:$J$1681))*G1632/H1632</f>
        <v>12.39423039305673</v>
      </c>
      <c r="L1632" s="1">
        <f>INT(K1632)</f>
        <v>12</v>
      </c>
      <c r="M1632" s="3">
        <f>K1632-L1632</f>
        <v>0.3942303930567306</v>
      </c>
      <c r="N1632" s="1">
        <f>COUNTIF($M$1626:$M$1681,"&gt;"&amp;M1632)+COUNTIF($M$1626:M1632,M1632)</f>
        <v>28</v>
      </c>
      <c r="O1632" s="1">
        <f>J1632+L1632+IF(N1632&lt;=I1632-SUM($J$1626:$J$1681)-SUM($L$1626:$L$1681),1,0)</f>
        <v>22</v>
      </c>
    </row>
    <row r="1633" spans="1:15">
      <c r="A1633" s="1" t="s">
        <v>83</v>
      </c>
      <c r="B1633" s="1" t="s">
        <v>84</v>
      </c>
      <c r="C1633" s="1" t="s">
        <v>38</v>
      </c>
      <c r="D1633" s="1" t="s">
        <v>39</v>
      </c>
      <c r="E1633" s="1" t="s">
        <v>45</v>
      </c>
      <c r="F1633" s="1" t="s">
        <v>42</v>
      </c>
      <c r="G1633" s="1">
        <v>6150</v>
      </c>
      <c r="H1633" s="1">
        <f>'1_Departamento_n'!C31</f>
        <v>1329172</v>
      </c>
      <c r="I1633" s="1">
        <f>'1_Departamento_n'!H31</f>
        <v>1312</v>
      </c>
      <c r="J1633" s="1">
        <f>'0_Parametros'!B7</f>
        <v>10</v>
      </c>
      <c r="K1633" s="3">
        <f>(I1633-SUM($J$1626:$J$1681))*G1633/H1633</f>
        <v>3.479459392764819</v>
      </c>
      <c r="L1633" s="1">
        <f>INT(K1633)</f>
        <v>3</v>
      </c>
      <c r="M1633" s="3">
        <f>K1633-L1633</f>
        <v>0.4794593927648192</v>
      </c>
      <c r="N1633" s="1">
        <f>COUNTIF($M$1626:$M$1681,"&gt;"&amp;M1633)+COUNTIF($M$1626:M1633,M1633)</f>
        <v>23</v>
      </c>
      <c r="O1633" s="1">
        <f>J1633+L1633+IF(N1633&lt;=I1633-SUM($J$1626:$J$1681)-SUM($L$1626:$L$1681),1,0)</f>
        <v>14</v>
      </c>
    </row>
    <row r="1634" spans="1:15">
      <c r="A1634" s="1" t="s">
        <v>83</v>
      </c>
      <c r="B1634" s="1" t="s">
        <v>84</v>
      </c>
      <c r="C1634" s="1" t="s">
        <v>38</v>
      </c>
      <c r="D1634" s="1" t="s">
        <v>39</v>
      </c>
      <c r="E1634" s="1" t="s">
        <v>46</v>
      </c>
      <c r="F1634" s="1" t="s">
        <v>41</v>
      </c>
      <c r="G1634" s="1">
        <v>20398</v>
      </c>
      <c r="H1634" s="1">
        <f>'1_Departamento_n'!C31</f>
        <v>1329172</v>
      </c>
      <c r="I1634" s="1">
        <f>'1_Departamento_n'!H31</f>
        <v>1312</v>
      </c>
      <c r="J1634" s="1">
        <f>'0_Parametros'!B7</f>
        <v>10</v>
      </c>
      <c r="K1634" s="3">
        <f>(I1634-SUM($J$1626:$J$1681))*G1634/H1634</f>
        <v>11.540489868880776</v>
      </c>
      <c r="L1634" s="1">
        <f>INT(K1634)</f>
        <v>11</v>
      </c>
      <c r="M1634" s="3">
        <f>K1634-L1634</f>
        <v>0.5404898688807762</v>
      </c>
      <c r="N1634" s="1">
        <f>COUNTIF($M$1626:$M$1681,"&gt;"&amp;M1634)+COUNTIF($M$1626:M1634,M1634)</f>
        <v>21</v>
      </c>
      <c r="O1634" s="1">
        <f>J1634+L1634+IF(N1634&lt;=I1634-SUM($J$1626:$J$1681)-SUM($L$1626:$L$1681),1,0)</f>
        <v>22</v>
      </c>
    </row>
    <row r="1635" spans="1:15">
      <c r="A1635" s="1" t="s">
        <v>83</v>
      </c>
      <c r="B1635" s="1" t="s">
        <v>84</v>
      </c>
      <c r="C1635" s="1" t="s">
        <v>38</v>
      </c>
      <c r="D1635" s="1" t="s">
        <v>39</v>
      </c>
      <c r="E1635" s="1" t="s">
        <v>46</v>
      </c>
      <c r="F1635" s="1" t="s">
        <v>42</v>
      </c>
      <c r="G1635" s="1">
        <v>3512</v>
      </c>
      <c r="H1635" s="1">
        <f>'1_Departamento_n'!C31</f>
        <v>1329172</v>
      </c>
      <c r="I1635" s="1">
        <f>'1_Departamento_n'!H31</f>
        <v>1312</v>
      </c>
      <c r="J1635" s="1">
        <f>'0_Parametros'!B7</f>
        <v>10</v>
      </c>
      <c r="K1635" s="3">
        <f>(I1635-SUM($J$1626:$J$1681))*G1635/H1635</f>
        <v>1.986969331282934</v>
      </c>
      <c r="L1635" s="1">
        <f>INT(K1635)</f>
        <v>1</v>
      </c>
      <c r="M1635" s="3">
        <f>K1635-L1635</f>
        <v>0.986969331282934</v>
      </c>
      <c r="N1635" s="1">
        <f>COUNTIF($M$1626:$M$1681,"&gt;"&amp;M1635)+COUNTIF($M$1626:M1635,M1635)</f>
        <v>2</v>
      </c>
      <c r="O1635" s="1">
        <f>J1635+L1635+IF(N1635&lt;=I1635-SUM($J$1626:$J$1681)-SUM($L$1626:$L$1681),1,0)</f>
        <v>12</v>
      </c>
    </row>
    <row r="1636" spans="1:15">
      <c r="A1636" s="1" t="s">
        <v>83</v>
      </c>
      <c r="B1636" s="1" t="s">
        <v>84</v>
      </c>
      <c r="C1636" s="1" t="s">
        <v>38</v>
      </c>
      <c r="D1636" s="1" t="s">
        <v>39</v>
      </c>
      <c r="E1636" s="1" t="s">
        <v>47</v>
      </c>
      <c r="F1636" s="1" t="s">
        <v>41</v>
      </c>
      <c r="G1636" s="1">
        <v>15135</v>
      </c>
      <c r="H1636" s="1">
        <f>'1_Departamento_n'!C31</f>
        <v>1329172</v>
      </c>
      <c r="I1636" s="1">
        <f>'1_Departamento_n'!H31</f>
        <v>1312</v>
      </c>
      <c r="J1636" s="1">
        <f>'0_Parametros'!B7</f>
        <v>10</v>
      </c>
      <c r="K1636" s="3">
        <f>(I1636-SUM($J$1626:$J$1681))*G1636/H1636</f>
        <v>8.562864700730982</v>
      </c>
      <c r="L1636" s="1">
        <f>INT(K1636)</f>
        <v>8</v>
      </c>
      <c r="M1636" s="3">
        <f>K1636-L1636</f>
        <v>0.5628647007309819</v>
      </c>
      <c r="N1636" s="1">
        <f>COUNTIF($M$1626:$M$1681,"&gt;"&amp;M1636)+COUNTIF($M$1626:M1636,M1636)</f>
        <v>19</v>
      </c>
      <c r="O1636" s="1">
        <f>J1636+L1636+IF(N1636&lt;=I1636-SUM($J$1626:$J$1681)-SUM($L$1626:$L$1681),1,0)</f>
        <v>19</v>
      </c>
    </row>
    <row r="1637" spans="1:15">
      <c r="A1637" s="1" t="s">
        <v>83</v>
      </c>
      <c r="B1637" s="1" t="s">
        <v>84</v>
      </c>
      <c r="C1637" s="1" t="s">
        <v>38</v>
      </c>
      <c r="D1637" s="1" t="s">
        <v>39</v>
      </c>
      <c r="E1637" s="1" t="s">
        <v>47</v>
      </c>
      <c r="F1637" s="1" t="s">
        <v>42</v>
      </c>
      <c r="G1637" s="1">
        <v>1730</v>
      </c>
      <c r="H1637" s="1">
        <f>'1_Departamento_n'!C31</f>
        <v>1329172</v>
      </c>
      <c r="I1637" s="1">
        <f>'1_Departamento_n'!H31</f>
        <v>1312</v>
      </c>
      <c r="J1637" s="1">
        <f>'0_Parametros'!B7</f>
        <v>10</v>
      </c>
      <c r="K1637" s="3">
        <f>(I1637-SUM($J$1626:$J$1681))*G1637/H1637</f>
        <v>0.9787747560135182</v>
      </c>
      <c r="L1637" s="1">
        <f>INT(K1637)</f>
        <v>0</v>
      </c>
      <c r="M1637" s="3">
        <f>K1637-L1637</f>
        <v>0.9787747560135182</v>
      </c>
      <c r="N1637" s="1">
        <f>COUNTIF($M$1626:$M$1681,"&gt;"&amp;M1637)+COUNTIF($M$1626:M1637,M1637)</f>
        <v>3</v>
      </c>
      <c r="O1637" s="1">
        <f>J1637+L1637+IF(N1637&lt;=I1637-SUM($J$1626:$J$1681)-SUM($L$1626:$L$1681),1,0)</f>
        <v>11</v>
      </c>
    </row>
    <row r="1638" spans="1:15">
      <c r="A1638" s="1" t="s">
        <v>83</v>
      </c>
      <c r="B1638" s="1" t="s">
        <v>84</v>
      </c>
      <c r="C1638" s="1" t="s">
        <v>38</v>
      </c>
      <c r="D1638" s="1" t="s">
        <v>39</v>
      </c>
      <c r="E1638" s="1" t="s">
        <v>48</v>
      </c>
      <c r="F1638" s="1" t="s">
        <v>41</v>
      </c>
      <c r="G1638" s="1">
        <v>26670</v>
      </c>
      <c r="H1638" s="1">
        <f>'1_Departamento_n'!C31</f>
        <v>1329172</v>
      </c>
      <c r="I1638" s="1">
        <f>'1_Departamento_n'!H31</f>
        <v>1312</v>
      </c>
      <c r="J1638" s="1">
        <f>'0_Parametros'!B7</f>
        <v>10</v>
      </c>
      <c r="K1638" s="3">
        <f>(I1638-SUM($J$1626:$J$1681))*G1638/H1638</f>
        <v>15.088972683745972</v>
      </c>
      <c r="L1638" s="1">
        <f>INT(K1638)</f>
        <v>15</v>
      </c>
      <c r="M1638" s="3">
        <f>K1638-L1638</f>
        <v>0.08897268374597189</v>
      </c>
      <c r="N1638" s="1">
        <f>COUNTIF($M$1626:$M$1681,"&gt;"&amp;M1638)+COUNTIF($M$1626:M1638,M1638)</f>
        <v>54</v>
      </c>
      <c r="O1638" s="1">
        <f>J1638+L1638+IF(N1638&lt;=I1638-SUM($J$1626:$J$1681)-SUM($L$1626:$L$1681),1,0)</f>
        <v>25</v>
      </c>
    </row>
    <row r="1639" spans="1:15">
      <c r="A1639" s="1" t="s">
        <v>83</v>
      </c>
      <c r="B1639" s="1" t="s">
        <v>84</v>
      </c>
      <c r="C1639" s="1" t="s">
        <v>38</v>
      </c>
      <c r="D1639" s="1" t="s">
        <v>39</v>
      </c>
      <c r="E1639" s="1" t="s">
        <v>48</v>
      </c>
      <c r="F1639" s="1" t="s">
        <v>42</v>
      </c>
      <c r="G1639" s="1">
        <v>2114</v>
      </c>
      <c r="H1639" s="1">
        <f>'1_Departamento_n'!C31</f>
        <v>1329172</v>
      </c>
      <c r="I1639" s="1">
        <f>'1_Departamento_n'!H31</f>
        <v>1312</v>
      </c>
      <c r="J1639" s="1">
        <f>'0_Parametros'!B7</f>
        <v>10</v>
      </c>
      <c r="K1639" s="3">
        <f>(I1639-SUM($J$1626:$J$1681))*G1639/H1639</f>
        <v>1.196028805903224</v>
      </c>
      <c r="L1639" s="1">
        <f>INT(K1639)</f>
        <v>1</v>
      </c>
      <c r="M1639" s="3">
        <f>K1639-L1639</f>
        <v>0.19602880590322402</v>
      </c>
      <c r="N1639" s="1">
        <f>COUNTIF($M$1626:$M$1681,"&gt;"&amp;M1639)+COUNTIF($M$1626:M1639,M1639)</f>
        <v>45</v>
      </c>
      <c r="O1639" s="1">
        <f>J1639+L1639+IF(N1639&lt;=I1639-SUM($J$1626:$J$1681)-SUM($L$1626:$L$1681),1,0)</f>
        <v>11</v>
      </c>
    </row>
    <row r="1640" spans="1:15">
      <c r="A1640" s="1" t="s">
        <v>83</v>
      </c>
      <c r="B1640" s="1" t="s">
        <v>84</v>
      </c>
      <c r="C1640" s="1" t="s">
        <v>38</v>
      </c>
      <c r="D1640" s="1" t="s">
        <v>49</v>
      </c>
      <c r="E1640" s="1" t="s">
        <v>40</v>
      </c>
      <c r="F1640" s="1" t="s">
        <v>41</v>
      </c>
      <c r="G1640" s="1">
        <v>10524</v>
      </c>
      <c r="H1640" s="1">
        <f>'1_Departamento_n'!C31</f>
        <v>1329172</v>
      </c>
      <c r="I1640" s="1">
        <f>'1_Departamento_n'!H31</f>
        <v>1312</v>
      </c>
      <c r="J1640" s="1">
        <f>'0_Parametros'!B7</f>
        <v>10</v>
      </c>
      <c r="K1640" s="3">
        <f>(I1640-SUM($J$1626:$J$1681))*G1640/H1640</f>
        <v>5.954118804789749</v>
      </c>
      <c r="L1640" s="1">
        <f>INT(K1640)</f>
        <v>5</v>
      </c>
      <c r="M1640" s="3">
        <f>K1640-L1640</f>
        <v>0.9541188047897489</v>
      </c>
      <c r="N1640" s="1">
        <f>COUNTIF($M$1626:$M$1681,"&gt;"&amp;M1640)+COUNTIF($M$1626:M1640,M1640)</f>
        <v>5</v>
      </c>
      <c r="O1640" s="1">
        <f>J1640+L1640+IF(N1640&lt;=I1640-SUM($J$1626:$J$1681)-SUM($L$1626:$L$1681),1,0)</f>
        <v>16</v>
      </c>
    </row>
    <row r="1641" spans="1:15">
      <c r="A1641" s="1" t="s">
        <v>83</v>
      </c>
      <c r="B1641" s="1" t="s">
        <v>84</v>
      </c>
      <c r="C1641" s="1" t="s">
        <v>38</v>
      </c>
      <c r="D1641" s="1" t="s">
        <v>49</v>
      </c>
      <c r="E1641" s="1" t="s">
        <v>40</v>
      </c>
      <c r="F1641" s="1" t="s">
        <v>42</v>
      </c>
      <c r="G1641" s="1">
        <v>2311</v>
      </c>
      <c r="H1641" s="1">
        <f>'1_Departamento_n'!C31</f>
        <v>1329172</v>
      </c>
      <c r="I1641" s="1">
        <f>'1_Departamento_n'!H31</f>
        <v>1312</v>
      </c>
      <c r="J1641" s="1">
        <f>'0_Parametros'!B7</f>
        <v>10</v>
      </c>
      <c r="K1641" s="3">
        <f>(I1641-SUM($J$1626:$J$1681))*G1641/H1641</f>
        <v>1.3074846596226823</v>
      </c>
      <c r="L1641" s="1">
        <f>INT(K1641)</f>
        <v>1</v>
      </c>
      <c r="M1641" s="3">
        <f>K1641-L1641</f>
        <v>0.30748465962268234</v>
      </c>
      <c r="N1641" s="1">
        <f>COUNTIF($M$1626:$M$1681,"&gt;"&amp;M1641)+COUNTIF($M$1626:M1641,M1641)</f>
        <v>39</v>
      </c>
      <c r="O1641" s="1">
        <f>J1641+L1641+IF(N1641&lt;=I1641-SUM($J$1626:$J$1681)-SUM($L$1626:$L$1681),1,0)</f>
        <v>11</v>
      </c>
    </row>
    <row r="1642" spans="1:15">
      <c r="A1642" s="1" t="s">
        <v>83</v>
      </c>
      <c r="B1642" s="1" t="s">
        <v>84</v>
      </c>
      <c r="C1642" s="1" t="s">
        <v>38</v>
      </c>
      <c r="D1642" s="1" t="s">
        <v>49</v>
      </c>
      <c r="E1642" s="1" t="s">
        <v>43</v>
      </c>
      <c r="F1642" s="1" t="s">
        <v>41</v>
      </c>
      <c r="G1642" s="1">
        <v>14476</v>
      </c>
      <c r="H1642" s="1">
        <f>'1_Departamento_n'!C31</f>
        <v>1329172</v>
      </c>
      <c r="I1642" s="1">
        <f>'1_Departamento_n'!H31</f>
        <v>1312</v>
      </c>
      <c r="J1642" s="1">
        <f>'0_Parametros'!B7</f>
        <v>10</v>
      </c>
      <c r="K1642" s="3">
        <f>(I1642-SUM($J$1626:$J$1681))*G1642/H1642</f>
        <v>8.19002506823797</v>
      </c>
      <c r="L1642" s="1">
        <f>INT(K1642)</f>
        <v>8</v>
      </c>
      <c r="M1642" s="3">
        <f>K1642-L1642</f>
        <v>0.19002506823797027</v>
      </c>
      <c r="N1642" s="1">
        <f>COUNTIF($M$1626:$M$1681,"&gt;"&amp;M1642)+COUNTIF($M$1626:M1642,M1642)</f>
        <v>47</v>
      </c>
      <c r="O1642" s="1">
        <f>J1642+L1642+IF(N1642&lt;=I1642-SUM($J$1626:$J$1681)-SUM($L$1626:$L$1681),1,0)</f>
        <v>18</v>
      </c>
    </row>
    <row r="1643" spans="1:15">
      <c r="A1643" s="1" t="s">
        <v>83</v>
      </c>
      <c r="B1643" s="1" t="s">
        <v>84</v>
      </c>
      <c r="C1643" s="1" t="s">
        <v>38</v>
      </c>
      <c r="D1643" s="1" t="s">
        <v>49</v>
      </c>
      <c r="E1643" s="1" t="s">
        <v>43</v>
      </c>
      <c r="F1643" s="1" t="s">
        <v>42</v>
      </c>
      <c r="G1643" s="1">
        <v>2463</v>
      </c>
      <c r="H1643" s="1">
        <f>'1_Departamento_n'!C31</f>
        <v>1329172</v>
      </c>
      <c r="I1643" s="1">
        <f>'1_Departamento_n'!H31</f>
        <v>1312</v>
      </c>
      <c r="J1643" s="1">
        <f>'0_Parametros'!B7</f>
        <v>10</v>
      </c>
      <c r="K1643" s="3">
        <f>(I1643-SUM($J$1626:$J$1681))*G1643/H1643</f>
        <v>1.393481054370691</v>
      </c>
      <c r="L1643" s="1">
        <f>INT(K1643)</f>
        <v>1</v>
      </c>
      <c r="M1643" s="3">
        <f>K1643-L1643</f>
        <v>0.39348105437069103</v>
      </c>
      <c r="N1643" s="1">
        <f>COUNTIF($M$1626:$M$1681,"&gt;"&amp;M1643)+COUNTIF($M$1626:M1643,M1643)</f>
        <v>29</v>
      </c>
      <c r="O1643" s="1">
        <f>J1643+L1643+IF(N1643&lt;=I1643-SUM($J$1626:$J$1681)-SUM($L$1626:$L$1681),1,0)</f>
        <v>11</v>
      </c>
    </row>
    <row r="1644" spans="1:15">
      <c r="A1644" s="1" t="s">
        <v>83</v>
      </c>
      <c r="B1644" s="1" t="s">
        <v>84</v>
      </c>
      <c r="C1644" s="1" t="s">
        <v>38</v>
      </c>
      <c r="D1644" s="1" t="s">
        <v>49</v>
      </c>
      <c r="E1644" s="1" t="s">
        <v>44</v>
      </c>
      <c r="F1644" s="1" t="s">
        <v>41</v>
      </c>
      <c r="G1644" s="1">
        <v>15907</v>
      </c>
      <c r="H1644" s="1">
        <f>'1_Departamento_n'!C31</f>
        <v>1329172</v>
      </c>
      <c r="I1644" s="1">
        <f>'1_Departamento_n'!H31</f>
        <v>1312</v>
      </c>
      <c r="J1644" s="1">
        <f>'0_Parametros'!B7</f>
        <v>10</v>
      </c>
      <c r="K1644" s="3">
        <f>(I1644-SUM($J$1626:$J$1681))*G1644/H1644</f>
        <v>8.999635863530077</v>
      </c>
      <c r="L1644" s="1">
        <f>INT(K1644)</f>
        <v>8</v>
      </c>
      <c r="M1644" s="3">
        <f>K1644-L1644</f>
        <v>0.9996358635300773</v>
      </c>
      <c r="N1644" s="1">
        <f>COUNTIF($M$1626:$M$1681,"&gt;"&amp;M1644)+COUNTIF($M$1626:M1644,M1644)</f>
        <v>1</v>
      </c>
      <c r="O1644" s="1">
        <f>J1644+L1644+IF(N1644&lt;=I1644-SUM($J$1626:$J$1681)-SUM($L$1626:$L$1681),1,0)</f>
        <v>19</v>
      </c>
    </row>
    <row r="1645" spans="1:15">
      <c r="A1645" s="1" t="s">
        <v>83</v>
      </c>
      <c r="B1645" s="1" t="s">
        <v>84</v>
      </c>
      <c r="C1645" s="1" t="s">
        <v>38</v>
      </c>
      <c r="D1645" s="1" t="s">
        <v>49</v>
      </c>
      <c r="E1645" s="1" t="s">
        <v>44</v>
      </c>
      <c r="F1645" s="1" t="s">
        <v>42</v>
      </c>
      <c r="G1645" s="1">
        <v>7139</v>
      </c>
      <c r="H1645" s="1">
        <f>'1_Departamento_n'!C31</f>
        <v>1329172</v>
      </c>
      <c r="I1645" s="1">
        <f>'1_Departamento_n'!H31</f>
        <v>1312</v>
      </c>
      <c r="J1645" s="1">
        <f>'0_Parametros'!B7</f>
        <v>10</v>
      </c>
      <c r="K1645" s="3">
        <f>(I1645-SUM($J$1626:$J$1681))*G1645/H1645</f>
        <v>4.039001724381795</v>
      </c>
      <c r="L1645" s="1">
        <f>INT(K1645)</f>
        <v>4</v>
      </c>
      <c r="M1645" s="3">
        <f>K1645-L1645</f>
        <v>0.03900172438179528</v>
      </c>
      <c r="N1645" s="1">
        <f>COUNTIF($M$1626:$M$1681,"&gt;"&amp;M1645)+COUNTIF($M$1626:M1645,M1645)</f>
        <v>55</v>
      </c>
      <c r="O1645" s="1">
        <f>J1645+L1645+IF(N1645&lt;=I1645-SUM($J$1626:$J$1681)-SUM($L$1626:$L$1681),1,0)</f>
        <v>14</v>
      </c>
    </row>
    <row r="1646" spans="1:15">
      <c r="A1646" s="1" t="s">
        <v>83</v>
      </c>
      <c r="B1646" s="1" t="s">
        <v>84</v>
      </c>
      <c r="C1646" s="1" t="s">
        <v>38</v>
      </c>
      <c r="D1646" s="1" t="s">
        <v>49</v>
      </c>
      <c r="E1646" s="1" t="s">
        <v>45</v>
      </c>
      <c r="F1646" s="1" t="s">
        <v>41</v>
      </c>
      <c r="G1646" s="1">
        <v>20363</v>
      </c>
      <c r="H1646" s="1">
        <f>'1_Departamento_n'!C31</f>
        <v>1329172</v>
      </c>
      <c r="I1646" s="1">
        <f>'1_Departamento_n'!H31</f>
        <v>1312</v>
      </c>
      <c r="J1646" s="1">
        <f>'0_Parametros'!B7</f>
        <v>10</v>
      </c>
      <c r="K1646" s="3">
        <f>(I1646-SUM($J$1626:$J$1681))*G1646/H1646</f>
        <v>11.520688067458538</v>
      </c>
      <c r="L1646" s="1">
        <f>INT(K1646)</f>
        <v>11</v>
      </c>
      <c r="M1646" s="3">
        <f>K1646-L1646</f>
        <v>0.5206880674585381</v>
      </c>
      <c r="N1646" s="1">
        <f>COUNTIF($M$1626:$M$1681,"&gt;"&amp;M1646)+COUNTIF($M$1626:M1646,M1646)</f>
        <v>22</v>
      </c>
      <c r="O1646" s="1">
        <f>J1646+L1646+IF(N1646&lt;=I1646-SUM($J$1626:$J$1681)-SUM($L$1626:$L$1681),1,0)</f>
        <v>22</v>
      </c>
    </row>
    <row r="1647" spans="1:15">
      <c r="A1647" s="1" t="s">
        <v>83</v>
      </c>
      <c r="B1647" s="1" t="s">
        <v>84</v>
      </c>
      <c r="C1647" s="1" t="s">
        <v>38</v>
      </c>
      <c r="D1647" s="1" t="s">
        <v>49</v>
      </c>
      <c r="E1647" s="1" t="s">
        <v>45</v>
      </c>
      <c r="F1647" s="1" t="s">
        <v>42</v>
      </c>
      <c r="G1647" s="1">
        <v>6270</v>
      </c>
      <c r="H1647" s="1">
        <f>'1_Departamento_n'!C31</f>
        <v>1329172</v>
      </c>
      <c r="I1647" s="1">
        <f>'1_Departamento_n'!H31</f>
        <v>1312</v>
      </c>
      <c r="J1647" s="1">
        <f>'0_Parametros'!B7</f>
        <v>10</v>
      </c>
      <c r="K1647" s="3">
        <f>(I1647-SUM($J$1626:$J$1681))*G1647/H1647</f>
        <v>3.547351283355352</v>
      </c>
      <c r="L1647" s="1">
        <f>INT(K1647)</f>
        <v>3</v>
      </c>
      <c r="M1647" s="3">
        <f>K1647-L1647</f>
        <v>0.547351283355352</v>
      </c>
      <c r="N1647" s="1">
        <f>COUNTIF($M$1626:$M$1681,"&gt;"&amp;M1647)+COUNTIF($M$1626:M1647,M1647)</f>
        <v>20</v>
      </c>
      <c r="O1647" s="1">
        <f>J1647+L1647+IF(N1647&lt;=I1647-SUM($J$1626:$J$1681)-SUM($L$1626:$L$1681),1,0)</f>
        <v>14</v>
      </c>
    </row>
    <row r="1648" spans="1:15">
      <c r="A1648" s="1" t="s">
        <v>83</v>
      </c>
      <c r="B1648" s="1" t="s">
        <v>84</v>
      </c>
      <c r="C1648" s="1" t="s">
        <v>38</v>
      </c>
      <c r="D1648" s="1" t="s">
        <v>49</v>
      </c>
      <c r="E1648" s="1" t="s">
        <v>46</v>
      </c>
      <c r="F1648" s="1" t="s">
        <v>41</v>
      </c>
      <c r="G1648" s="1">
        <v>18671</v>
      </c>
      <c r="H1648" s="1">
        <f>'1_Departamento_n'!C31</f>
        <v>1329172</v>
      </c>
      <c r="I1648" s="1">
        <f>'1_Departamento_n'!H31</f>
        <v>1312</v>
      </c>
      <c r="J1648" s="1">
        <f>'0_Parametros'!B7</f>
        <v>10</v>
      </c>
      <c r="K1648" s="3">
        <f>(I1648-SUM($J$1626:$J$1681))*G1648/H1648</f>
        <v>10.563412410132022</v>
      </c>
      <c r="L1648" s="1">
        <f>INT(K1648)</f>
        <v>10</v>
      </c>
      <c r="M1648" s="3">
        <f>K1648-L1648</f>
        <v>0.5634124101320221</v>
      </c>
      <c r="N1648" s="1">
        <f>COUNTIF($M$1626:$M$1681,"&gt;"&amp;M1648)+COUNTIF($M$1626:M1648,M1648)</f>
        <v>18</v>
      </c>
      <c r="O1648" s="1">
        <f>J1648+L1648+IF(N1648&lt;=I1648-SUM($J$1626:$J$1681)-SUM($L$1626:$L$1681),1,0)</f>
        <v>21</v>
      </c>
    </row>
    <row r="1649" spans="1:15">
      <c r="A1649" s="1" t="s">
        <v>83</v>
      </c>
      <c r="B1649" s="1" t="s">
        <v>84</v>
      </c>
      <c r="C1649" s="1" t="s">
        <v>38</v>
      </c>
      <c r="D1649" s="1" t="s">
        <v>49</v>
      </c>
      <c r="E1649" s="1" t="s">
        <v>46</v>
      </c>
      <c r="F1649" s="1" t="s">
        <v>42</v>
      </c>
      <c r="G1649" s="1">
        <v>3858</v>
      </c>
      <c r="H1649" s="1">
        <f>'1_Departamento_n'!C31</f>
        <v>1329172</v>
      </c>
      <c r="I1649" s="1">
        <f>'1_Departamento_n'!H31</f>
        <v>1312</v>
      </c>
      <c r="J1649" s="1">
        <f>'0_Parametros'!B7</f>
        <v>10</v>
      </c>
      <c r="K1649" s="3">
        <f>(I1649-SUM($J$1626:$J$1681))*G1649/H1649</f>
        <v>2.182724282485638</v>
      </c>
      <c r="L1649" s="1">
        <f>INT(K1649)</f>
        <v>2</v>
      </c>
      <c r="M1649" s="3">
        <f>K1649-L1649</f>
        <v>0.18272428248563788</v>
      </c>
      <c r="N1649" s="1">
        <f>COUNTIF($M$1626:$M$1681,"&gt;"&amp;M1649)+COUNTIF($M$1626:M1649,M1649)</f>
        <v>48</v>
      </c>
      <c r="O1649" s="1">
        <f>J1649+L1649+IF(N1649&lt;=I1649-SUM($J$1626:$J$1681)-SUM($L$1626:$L$1681),1,0)</f>
        <v>12</v>
      </c>
    </row>
    <row r="1650" spans="1:15">
      <c r="A1650" s="1" t="s">
        <v>83</v>
      </c>
      <c r="B1650" s="1" t="s">
        <v>84</v>
      </c>
      <c r="C1650" s="1" t="s">
        <v>38</v>
      </c>
      <c r="D1650" s="1" t="s">
        <v>49</v>
      </c>
      <c r="E1650" s="1" t="s">
        <v>47</v>
      </c>
      <c r="F1650" s="1" t="s">
        <v>41</v>
      </c>
      <c r="G1650" s="1">
        <v>14155</v>
      </c>
      <c r="H1650" s="1">
        <f>'1_Departamento_n'!C31</f>
        <v>1329172</v>
      </c>
      <c r="I1650" s="1">
        <f>'1_Departamento_n'!H31</f>
        <v>1312</v>
      </c>
      <c r="J1650" s="1">
        <f>'0_Parametros'!B7</f>
        <v>10</v>
      </c>
      <c r="K1650" s="3">
        <f>(I1650-SUM($J$1626:$J$1681))*G1650/H1650</f>
        <v>8.008414260908294</v>
      </c>
      <c r="L1650" s="1">
        <f>INT(K1650)</f>
        <v>8</v>
      </c>
      <c r="M1650" s="3">
        <f>K1650-L1650</f>
        <v>0.008414260908294224</v>
      </c>
      <c r="N1650" s="1">
        <f>COUNTIF($M$1626:$M$1681,"&gt;"&amp;M1650)+COUNTIF($M$1626:M1650,M1650)</f>
        <v>56</v>
      </c>
      <c r="O1650" s="1">
        <f>J1650+L1650+IF(N1650&lt;=I1650-SUM($J$1626:$J$1681)-SUM($L$1626:$L$1681),1,0)</f>
        <v>18</v>
      </c>
    </row>
    <row r="1651" spans="1:15">
      <c r="A1651" s="1" t="s">
        <v>83</v>
      </c>
      <c r="B1651" s="1" t="s">
        <v>84</v>
      </c>
      <c r="C1651" s="1" t="s">
        <v>38</v>
      </c>
      <c r="D1651" s="1" t="s">
        <v>49</v>
      </c>
      <c r="E1651" s="1" t="s">
        <v>47</v>
      </c>
      <c r="F1651" s="1" t="s">
        <v>42</v>
      </c>
      <c r="G1651" s="1">
        <v>2065</v>
      </c>
      <c r="H1651" s="1">
        <f>'1_Departamento_n'!C31</f>
        <v>1329172</v>
      </c>
      <c r="I1651" s="1">
        <f>'1_Departamento_n'!H31</f>
        <v>1312</v>
      </c>
      <c r="J1651" s="1">
        <f>'0_Parametros'!B7</f>
        <v>10</v>
      </c>
      <c r="K1651" s="3">
        <f>(I1651-SUM($J$1626:$J$1681))*G1651/H1651</f>
        <v>1.1683062839120897</v>
      </c>
      <c r="L1651" s="1">
        <f>INT(K1651)</f>
        <v>1</v>
      </c>
      <c r="M1651" s="3">
        <f>K1651-L1651</f>
        <v>0.16830628391208968</v>
      </c>
      <c r="N1651" s="1">
        <f>COUNTIF($M$1626:$M$1681,"&gt;"&amp;M1651)+COUNTIF($M$1626:M1651,M1651)</f>
        <v>49</v>
      </c>
      <c r="O1651" s="1">
        <f>J1651+L1651+IF(N1651&lt;=I1651-SUM($J$1626:$J$1681)-SUM($L$1626:$L$1681),1,0)</f>
        <v>11</v>
      </c>
    </row>
    <row r="1652" spans="1:15">
      <c r="A1652" s="1" t="s">
        <v>83</v>
      </c>
      <c r="B1652" s="1" t="s">
        <v>84</v>
      </c>
      <c r="C1652" s="1" t="s">
        <v>38</v>
      </c>
      <c r="D1652" s="1" t="s">
        <v>49</v>
      </c>
      <c r="E1652" s="1" t="s">
        <v>48</v>
      </c>
      <c r="F1652" s="1" t="s">
        <v>41</v>
      </c>
      <c r="G1652" s="1">
        <v>20782</v>
      </c>
      <c r="H1652" s="1">
        <f>'1_Departamento_n'!C31</f>
        <v>1329172</v>
      </c>
      <c r="I1652" s="1">
        <f>'1_Departamento_n'!H31</f>
        <v>1312</v>
      </c>
      <c r="J1652" s="1">
        <f>'0_Parametros'!B7</f>
        <v>10</v>
      </c>
      <c r="K1652" s="3">
        <f>(I1652-SUM($J$1626:$J$1681))*G1652/H1652</f>
        <v>11.757743918770483</v>
      </c>
      <c r="L1652" s="1">
        <f>INT(K1652)</f>
        <v>11</v>
      </c>
      <c r="M1652" s="3">
        <f>K1652-L1652</f>
        <v>0.7577439187704833</v>
      </c>
      <c r="N1652" s="1">
        <f>COUNTIF($M$1626:$M$1681,"&gt;"&amp;M1652)+COUNTIF($M$1626:M1652,M1652)</f>
        <v>12</v>
      </c>
      <c r="O1652" s="1">
        <f>J1652+L1652+IF(N1652&lt;=I1652-SUM($J$1626:$J$1681)-SUM($L$1626:$L$1681),1,0)</f>
        <v>22</v>
      </c>
    </row>
    <row r="1653" spans="1:15">
      <c r="A1653" s="1" t="s">
        <v>83</v>
      </c>
      <c r="B1653" s="1" t="s">
        <v>84</v>
      </c>
      <c r="C1653" s="1" t="s">
        <v>38</v>
      </c>
      <c r="D1653" s="1" t="s">
        <v>49</v>
      </c>
      <c r="E1653" s="1" t="s">
        <v>48</v>
      </c>
      <c r="F1653" s="1" t="s">
        <v>42</v>
      </c>
      <c r="G1653" s="1">
        <v>2341</v>
      </c>
      <c r="H1653" s="1">
        <f>'1_Departamento_n'!C31</f>
        <v>1329172</v>
      </c>
      <c r="I1653" s="1">
        <f>'1_Departamento_n'!H31</f>
        <v>1312</v>
      </c>
      <c r="J1653" s="1">
        <f>'0_Parametros'!B7</f>
        <v>10</v>
      </c>
      <c r="K1653" s="3">
        <f>(I1653-SUM($J$1626:$J$1681))*G1653/H1653</f>
        <v>1.3244576322703157</v>
      </c>
      <c r="L1653" s="1">
        <f>INT(K1653)</f>
        <v>1</v>
      </c>
      <c r="M1653" s="3">
        <f>K1653-L1653</f>
        <v>0.32445763227031565</v>
      </c>
      <c r="N1653" s="1">
        <f>COUNTIF($M$1626:$M$1681,"&gt;"&amp;M1653)+COUNTIF($M$1626:M1653,M1653)</f>
        <v>38</v>
      </c>
      <c r="O1653" s="1">
        <f>J1653+L1653+IF(N1653&lt;=I1653-SUM($J$1626:$J$1681)-SUM($L$1626:$L$1681),1,0)</f>
        <v>11</v>
      </c>
    </row>
    <row r="1654" spans="1:15">
      <c r="A1654" s="1" t="s">
        <v>83</v>
      </c>
      <c r="B1654" s="1" t="s">
        <v>84</v>
      </c>
      <c r="C1654" s="1" t="s">
        <v>50</v>
      </c>
      <c r="D1654" s="1" t="s">
        <v>39</v>
      </c>
      <c r="E1654" s="1" t="s">
        <v>40</v>
      </c>
      <c r="F1654" s="1" t="s">
        <v>41</v>
      </c>
      <c r="G1654" s="1">
        <v>20527</v>
      </c>
      <c r="H1654" s="1">
        <f>'1_Departamento_n'!C31</f>
        <v>1329172</v>
      </c>
      <c r="I1654" s="1">
        <f>'1_Departamento_n'!H31</f>
        <v>1312</v>
      </c>
      <c r="J1654" s="1">
        <f>'0_Parametros'!B7</f>
        <v>10</v>
      </c>
      <c r="K1654" s="3">
        <f>(I1654-SUM($J$1626:$J$1681))*G1654/H1654</f>
        <v>11.6134736512656</v>
      </c>
      <c r="L1654" s="1">
        <f>INT(K1654)</f>
        <v>11</v>
      </c>
      <c r="M1654" s="3">
        <f>K1654-L1654</f>
        <v>0.6134736512656005</v>
      </c>
      <c r="N1654" s="1">
        <f>COUNTIF($M$1626:$M$1681,"&gt;"&amp;M1654)+COUNTIF($M$1626:M1654,M1654)</f>
        <v>17</v>
      </c>
      <c r="O1654" s="1">
        <f>J1654+L1654+IF(N1654&lt;=I1654-SUM($J$1626:$J$1681)-SUM($L$1626:$L$1681),1,0)</f>
        <v>22</v>
      </c>
    </row>
    <row r="1655" spans="1:15">
      <c r="A1655" s="1" t="s">
        <v>83</v>
      </c>
      <c r="B1655" s="1" t="s">
        <v>84</v>
      </c>
      <c r="C1655" s="1" t="s">
        <v>50</v>
      </c>
      <c r="D1655" s="1" t="s">
        <v>39</v>
      </c>
      <c r="E1655" s="1" t="s">
        <v>40</v>
      </c>
      <c r="F1655" s="1" t="s">
        <v>42</v>
      </c>
      <c r="G1655" s="1">
        <v>48130</v>
      </c>
      <c r="H1655" s="1">
        <f>'1_Departamento_n'!C31</f>
        <v>1329172</v>
      </c>
      <c r="I1655" s="1">
        <f>'1_Departamento_n'!H31</f>
        <v>1312</v>
      </c>
      <c r="J1655" s="1">
        <f>'0_Parametros'!B7</f>
        <v>10</v>
      </c>
      <c r="K1655" s="3">
        <f>(I1655-SUM($J$1626:$J$1681))*G1655/H1655</f>
        <v>27.230305784352964</v>
      </c>
      <c r="L1655" s="1">
        <f>INT(K1655)</f>
        <v>27</v>
      </c>
      <c r="M1655" s="3">
        <f>K1655-L1655</f>
        <v>0.23030578435296434</v>
      </c>
      <c r="N1655" s="1">
        <f>COUNTIF($M$1626:$M$1681,"&gt;"&amp;M1655)+COUNTIF($M$1626:M1655,M1655)</f>
        <v>43</v>
      </c>
      <c r="O1655" s="1">
        <f>J1655+L1655+IF(N1655&lt;=I1655-SUM($J$1626:$J$1681)-SUM($L$1626:$L$1681),1,0)</f>
        <v>37</v>
      </c>
    </row>
    <row r="1656" spans="1:15">
      <c r="A1656" s="1" t="s">
        <v>83</v>
      </c>
      <c r="B1656" s="1" t="s">
        <v>84</v>
      </c>
      <c r="C1656" s="1" t="s">
        <v>50</v>
      </c>
      <c r="D1656" s="1" t="s">
        <v>39</v>
      </c>
      <c r="E1656" s="1" t="s">
        <v>43</v>
      </c>
      <c r="F1656" s="1" t="s">
        <v>41</v>
      </c>
      <c r="G1656" s="1">
        <v>25985</v>
      </c>
      <c r="H1656" s="1">
        <f>'1_Departamento_n'!C31</f>
        <v>1329172</v>
      </c>
      <c r="I1656" s="1">
        <f>'1_Departamento_n'!H31</f>
        <v>1312</v>
      </c>
      <c r="J1656" s="1">
        <f>'0_Parametros'!B7</f>
        <v>10</v>
      </c>
      <c r="K1656" s="3">
        <f>(I1656-SUM($J$1626:$J$1681))*G1656/H1656</f>
        <v>14.701423141625012</v>
      </c>
      <c r="L1656" s="1">
        <f>INT(K1656)</f>
        <v>14</v>
      </c>
      <c r="M1656" s="3">
        <f>K1656-L1656</f>
        <v>0.7014231416250123</v>
      </c>
      <c r="N1656" s="1">
        <f>COUNTIF($M$1626:$M$1681,"&gt;"&amp;M1656)+COUNTIF($M$1626:M1656,M1656)</f>
        <v>16</v>
      </c>
      <c r="O1656" s="1">
        <f>J1656+L1656+IF(N1656&lt;=I1656-SUM($J$1626:$J$1681)-SUM($L$1626:$L$1681),1,0)</f>
        <v>25</v>
      </c>
    </row>
    <row r="1657" spans="1:15">
      <c r="A1657" s="1" t="s">
        <v>83</v>
      </c>
      <c r="B1657" s="1" t="s">
        <v>84</v>
      </c>
      <c r="C1657" s="1" t="s">
        <v>50</v>
      </c>
      <c r="D1657" s="1" t="s">
        <v>39</v>
      </c>
      <c r="E1657" s="1" t="s">
        <v>43</v>
      </c>
      <c r="F1657" s="1" t="s">
        <v>42</v>
      </c>
      <c r="G1657" s="1">
        <v>61626</v>
      </c>
      <c r="H1657" s="1">
        <f>'1_Departamento_n'!C31</f>
        <v>1329172</v>
      </c>
      <c r="I1657" s="1">
        <f>'1_Departamento_n'!H31</f>
        <v>1312</v>
      </c>
      <c r="J1657" s="1">
        <f>'0_Parametros'!B7</f>
        <v>10</v>
      </c>
      <c r="K1657" s="3">
        <f>(I1657-SUM($J$1626:$J$1681))*G1657/H1657</f>
        <v>34.86588041276825</v>
      </c>
      <c r="L1657" s="1">
        <f>INT(K1657)</f>
        <v>34</v>
      </c>
      <c r="M1657" s="3">
        <f>K1657-L1657</f>
        <v>0.8658804127682487</v>
      </c>
      <c r="N1657" s="1">
        <f>COUNTIF($M$1626:$M$1681,"&gt;"&amp;M1657)+COUNTIF($M$1626:M1657,M1657)</f>
        <v>7</v>
      </c>
      <c r="O1657" s="1">
        <f>J1657+L1657+IF(N1657&lt;=I1657-SUM($J$1626:$J$1681)-SUM($L$1626:$L$1681),1,0)</f>
        <v>45</v>
      </c>
    </row>
    <row r="1658" spans="1:15">
      <c r="A1658" s="1" t="s">
        <v>83</v>
      </c>
      <c r="B1658" s="1" t="s">
        <v>84</v>
      </c>
      <c r="C1658" s="1" t="s">
        <v>50</v>
      </c>
      <c r="D1658" s="1" t="s">
        <v>39</v>
      </c>
      <c r="E1658" s="1" t="s">
        <v>44</v>
      </c>
      <c r="F1658" s="1" t="s">
        <v>41</v>
      </c>
      <c r="G1658" s="1">
        <v>30858</v>
      </c>
      <c r="H1658" s="1">
        <f>'1_Departamento_n'!C31</f>
        <v>1329172</v>
      </c>
      <c r="I1658" s="1">
        <f>'1_Departamento_n'!H31</f>
        <v>1312</v>
      </c>
      <c r="J1658" s="1">
        <f>'0_Parametros'!B7</f>
        <v>10</v>
      </c>
      <c r="K1658" s="3">
        <f>(I1658-SUM($J$1626:$J$1681))*G1658/H1658</f>
        <v>17.458399665355575</v>
      </c>
      <c r="L1658" s="1">
        <f>INT(K1658)</f>
        <v>17</v>
      </c>
      <c r="M1658" s="3">
        <f>K1658-L1658</f>
        <v>0.4583996653555751</v>
      </c>
      <c r="N1658" s="1">
        <f>COUNTIF($M$1626:$M$1681,"&gt;"&amp;M1658)+COUNTIF($M$1626:M1658,M1658)</f>
        <v>24</v>
      </c>
      <c r="O1658" s="1">
        <f>J1658+L1658+IF(N1658&lt;=I1658-SUM($J$1626:$J$1681)-SUM($L$1626:$L$1681),1,0)</f>
        <v>28</v>
      </c>
    </row>
    <row r="1659" spans="1:15">
      <c r="A1659" s="1" t="s">
        <v>83</v>
      </c>
      <c r="B1659" s="1" t="s">
        <v>84</v>
      </c>
      <c r="C1659" s="1" t="s">
        <v>50</v>
      </c>
      <c r="D1659" s="1" t="s">
        <v>39</v>
      </c>
      <c r="E1659" s="1" t="s">
        <v>44</v>
      </c>
      <c r="F1659" s="1" t="s">
        <v>42</v>
      </c>
      <c r="G1659" s="1">
        <v>57326</v>
      </c>
      <c r="H1659" s="1">
        <f>'1_Departamento_n'!C31</f>
        <v>1329172</v>
      </c>
      <c r="I1659" s="1">
        <f>'1_Departamento_n'!H31</f>
        <v>1312</v>
      </c>
      <c r="J1659" s="1">
        <f>'0_Parametros'!B7</f>
        <v>10</v>
      </c>
      <c r="K1659" s="3">
        <f>(I1659-SUM($J$1626:$J$1681))*G1659/H1659</f>
        <v>32.433087666607484</v>
      </c>
      <c r="L1659" s="1">
        <f>INT(K1659)</f>
        <v>32</v>
      </c>
      <c r="M1659" s="3">
        <f>K1659-L1659</f>
        <v>0.4330876666074843</v>
      </c>
      <c r="N1659" s="1">
        <f>COUNTIF($M$1626:$M$1681,"&gt;"&amp;M1659)+COUNTIF($M$1626:M1659,M1659)</f>
        <v>25</v>
      </c>
      <c r="O1659" s="1">
        <f>J1659+L1659+IF(N1659&lt;=I1659-SUM($J$1626:$J$1681)-SUM($L$1626:$L$1681),1,0)</f>
        <v>43</v>
      </c>
    </row>
    <row r="1660" spans="1:15">
      <c r="A1660" s="1" t="s">
        <v>83</v>
      </c>
      <c r="B1660" s="1" t="s">
        <v>84</v>
      </c>
      <c r="C1660" s="1" t="s">
        <v>50</v>
      </c>
      <c r="D1660" s="1" t="s">
        <v>39</v>
      </c>
      <c r="E1660" s="1" t="s">
        <v>45</v>
      </c>
      <c r="F1660" s="1" t="s">
        <v>41</v>
      </c>
      <c r="G1660" s="1">
        <v>28981</v>
      </c>
      <c r="H1660" s="1">
        <f>'1_Departamento_n'!C31</f>
        <v>1329172</v>
      </c>
      <c r="I1660" s="1">
        <f>'1_Departamento_n'!H31</f>
        <v>1312</v>
      </c>
      <c r="J1660" s="1">
        <f>'0_Parametros'!B7</f>
        <v>10</v>
      </c>
      <c r="K1660" s="3">
        <f>(I1660-SUM($J$1626:$J$1681))*G1660/H1660</f>
        <v>16.396457343368652</v>
      </c>
      <c r="L1660" s="1">
        <f>INT(K1660)</f>
        <v>16</v>
      </c>
      <c r="M1660" s="3">
        <f>K1660-L1660</f>
        <v>0.39645734336865246</v>
      </c>
      <c r="N1660" s="1">
        <f>COUNTIF($M$1626:$M$1681,"&gt;"&amp;M1660)+COUNTIF($M$1626:M1660,M1660)</f>
        <v>27</v>
      </c>
      <c r="O1660" s="1">
        <f>J1660+L1660+IF(N1660&lt;=I1660-SUM($J$1626:$J$1681)-SUM($L$1626:$L$1681),1,0)</f>
        <v>26</v>
      </c>
    </row>
    <row r="1661" spans="1:15">
      <c r="A1661" s="1" t="s">
        <v>83</v>
      </c>
      <c r="B1661" s="1" t="s">
        <v>84</v>
      </c>
      <c r="C1661" s="1" t="s">
        <v>50</v>
      </c>
      <c r="D1661" s="1" t="s">
        <v>39</v>
      </c>
      <c r="E1661" s="1" t="s">
        <v>45</v>
      </c>
      <c r="F1661" s="1" t="s">
        <v>42</v>
      </c>
      <c r="G1661" s="1">
        <v>49905</v>
      </c>
      <c r="H1661" s="1">
        <f>'1_Departamento_n'!C31</f>
        <v>1329172</v>
      </c>
      <c r="I1661" s="1">
        <f>'1_Departamento_n'!H31</f>
        <v>1312</v>
      </c>
      <c r="J1661" s="1">
        <f>'0_Parametros'!B7</f>
        <v>10</v>
      </c>
      <c r="K1661" s="3">
        <f>(I1661-SUM($J$1626:$J$1681))*G1661/H1661</f>
        <v>28.234539999337933</v>
      </c>
      <c r="L1661" s="1">
        <f>INT(K1661)</f>
        <v>28</v>
      </c>
      <c r="M1661" s="3">
        <f>K1661-L1661</f>
        <v>0.23453999933793312</v>
      </c>
      <c r="N1661" s="1">
        <f>COUNTIF($M$1626:$M$1681,"&gt;"&amp;M1661)+COUNTIF($M$1626:M1661,M1661)</f>
        <v>42</v>
      </c>
      <c r="O1661" s="1">
        <f>J1661+L1661+IF(N1661&lt;=I1661-SUM($J$1626:$J$1681)-SUM($L$1626:$L$1681),1,0)</f>
        <v>38</v>
      </c>
    </row>
    <row r="1662" spans="1:15">
      <c r="A1662" s="1" t="s">
        <v>83</v>
      </c>
      <c r="B1662" s="1" t="s">
        <v>84</v>
      </c>
      <c r="C1662" s="1" t="s">
        <v>50</v>
      </c>
      <c r="D1662" s="1" t="s">
        <v>39</v>
      </c>
      <c r="E1662" s="1" t="s">
        <v>46</v>
      </c>
      <c r="F1662" s="1" t="s">
        <v>41</v>
      </c>
      <c r="G1662" s="1">
        <v>25368</v>
      </c>
      <c r="H1662" s="1">
        <f>'1_Departamento_n'!C31</f>
        <v>1329172</v>
      </c>
      <c r="I1662" s="1">
        <f>'1_Departamento_n'!H31</f>
        <v>1312</v>
      </c>
      <c r="J1662" s="1">
        <f>'0_Parametros'!B7</f>
        <v>10</v>
      </c>
      <c r="K1662" s="3">
        <f>(I1662-SUM($J$1626:$J$1681))*G1662/H1662</f>
        <v>14.352345670838687</v>
      </c>
      <c r="L1662" s="1">
        <f>INT(K1662)</f>
        <v>14</v>
      </c>
      <c r="M1662" s="3">
        <f>K1662-L1662</f>
        <v>0.3523456708386874</v>
      </c>
      <c r="N1662" s="1">
        <f>COUNTIF($M$1626:$M$1681,"&gt;"&amp;M1662)+COUNTIF($M$1626:M1662,M1662)</f>
        <v>31</v>
      </c>
      <c r="O1662" s="1">
        <f>J1662+L1662+IF(N1662&lt;=I1662-SUM($J$1626:$J$1681)-SUM($L$1626:$L$1681),1,0)</f>
        <v>24</v>
      </c>
    </row>
    <row r="1663" spans="1:15">
      <c r="A1663" s="1" t="s">
        <v>83</v>
      </c>
      <c r="B1663" s="1" t="s">
        <v>84</v>
      </c>
      <c r="C1663" s="1" t="s">
        <v>50</v>
      </c>
      <c r="D1663" s="1" t="s">
        <v>39</v>
      </c>
      <c r="E1663" s="1" t="s">
        <v>46</v>
      </c>
      <c r="F1663" s="1" t="s">
        <v>42</v>
      </c>
      <c r="G1663" s="1">
        <v>42584</v>
      </c>
      <c r="H1663" s="1">
        <f>'1_Departamento_n'!C31</f>
        <v>1329172</v>
      </c>
      <c r="I1663" s="1">
        <f>'1_Departamento_n'!H31</f>
        <v>1312</v>
      </c>
      <c r="J1663" s="1">
        <f>'0_Parametros'!B7</f>
        <v>10</v>
      </c>
      <c r="K1663" s="3">
        <f>(I1663-SUM($J$1626:$J$1681))*G1663/H1663</f>
        <v>24.092568907560498</v>
      </c>
      <c r="L1663" s="1">
        <f>INT(K1663)</f>
        <v>24</v>
      </c>
      <c r="M1663" s="3">
        <f>K1663-L1663</f>
        <v>0.09256890756049785</v>
      </c>
      <c r="N1663" s="1">
        <f>COUNTIF($M$1626:$M$1681,"&gt;"&amp;M1663)+COUNTIF($M$1626:M1663,M1663)</f>
        <v>52</v>
      </c>
      <c r="O1663" s="1">
        <f>J1663+L1663+IF(N1663&lt;=I1663-SUM($J$1626:$J$1681)-SUM($L$1626:$L$1681),1,0)</f>
        <v>34</v>
      </c>
    </row>
    <row r="1664" spans="1:15">
      <c r="A1664" s="1" t="s">
        <v>83</v>
      </c>
      <c r="B1664" s="1" t="s">
        <v>84</v>
      </c>
      <c r="C1664" s="1" t="s">
        <v>50</v>
      </c>
      <c r="D1664" s="1" t="s">
        <v>39</v>
      </c>
      <c r="E1664" s="1" t="s">
        <v>47</v>
      </c>
      <c r="F1664" s="1" t="s">
        <v>41</v>
      </c>
      <c r="G1664" s="1">
        <v>20026</v>
      </c>
      <c r="H1664" s="1">
        <f>'1_Departamento_n'!C31</f>
        <v>1329172</v>
      </c>
      <c r="I1664" s="1">
        <f>'1_Departamento_n'!H31</f>
        <v>1312</v>
      </c>
      <c r="J1664" s="1">
        <f>'0_Parametros'!B7</f>
        <v>10</v>
      </c>
      <c r="K1664" s="3">
        <f>(I1664-SUM($J$1626:$J$1681))*G1664/H1664</f>
        <v>11.330025008050125</v>
      </c>
      <c r="L1664" s="1">
        <f>INT(K1664)</f>
        <v>11</v>
      </c>
      <c r="M1664" s="3">
        <f>K1664-L1664</f>
        <v>0.330025008050125</v>
      </c>
      <c r="N1664" s="1">
        <f>COUNTIF($M$1626:$M$1681,"&gt;"&amp;M1664)+COUNTIF($M$1626:M1664,M1664)</f>
        <v>36</v>
      </c>
      <c r="O1664" s="1">
        <f>J1664+L1664+IF(N1664&lt;=I1664-SUM($J$1626:$J$1681)-SUM($L$1626:$L$1681),1,0)</f>
        <v>21</v>
      </c>
    </row>
    <row r="1665" spans="1:15">
      <c r="A1665" s="1" t="s">
        <v>83</v>
      </c>
      <c r="B1665" s="1" t="s">
        <v>84</v>
      </c>
      <c r="C1665" s="1" t="s">
        <v>50</v>
      </c>
      <c r="D1665" s="1" t="s">
        <v>39</v>
      </c>
      <c r="E1665" s="1" t="s">
        <v>47</v>
      </c>
      <c r="F1665" s="1" t="s">
        <v>42</v>
      </c>
      <c r="G1665" s="1">
        <v>32040</v>
      </c>
      <c r="H1665" s="1">
        <f>'1_Departamento_n'!C31</f>
        <v>1329172</v>
      </c>
      <c r="I1665" s="1">
        <f>'1_Departamento_n'!H31</f>
        <v>1312</v>
      </c>
      <c r="J1665" s="1">
        <f>'0_Parametros'!B7</f>
        <v>10</v>
      </c>
      <c r="K1665" s="3">
        <f>(I1665-SUM($J$1626:$J$1681))*G1665/H1665</f>
        <v>18.127134787672325</v>
      </c>
      <c r="L1665" s="1">
        <f>INT(K1665)</f>
        <v>18</v>
      </c>
      <c r="M1665" s="3">
        <f>K1665-L1665</f>
        <v>0.12713478767232544</v>
      </c>
      <c r="N1665" s="1">
        <f>COUNTIF($M$1626:$M$1681,"&gt;"&amp;M1665)+COUNTIF($M$1626:M1665,M1665)</f>
        <v>51</v>
      </c>
      <c r="O1665" s="1">
        <f>J1665+L1665+IF(N1665&lt;=I1665-SUM($J$1626:$J$1681)-SUM($L$1626:$L$1681),1,0)</f>
        <v>28</v>
      </c>
    </row>
    <row r="1666" spans="1:15">
      <c r="A1666" s="1" t="s">
        <v>83</v>
      </c>
      <c r="B1666" s="1" t="s">
        <v>84</v>
      </c>
      <c r="C1666" s="1" t="s">
        <v>50</v>
      </c>
      <c r="D1666" s="1" t="s">
        <v>39</v>
      </c>
      <c r="E1666" s="1" t="s">
        <v>48</v>
      </c>
      <c r="F1666" s="1" t="s">
        <v>41</v>
      </c>
      <c r="G1666" s="1">
        <v>28438</v>
      </c>
      <c r="H1666" s="1">
        <f>'1_Departamento_n'!C31</f>
        <v>1329172</v>
      </c>
      <c r="I1666" s="1">
        <f>'1_Departamento_n'!H31</f>
        <v>1312</v>
      </c>
      <c r="J1666" s="1">
        <f>'0_Parametros'!B7</f>
        <v>10</v>
      </c>
      <c r="K1666" s="3">
        <f>(I1666-SUM($J$1626:$J$1681))*G1666/H1666</f>
        <v>16.089246538446492</v>
      </c>
      <c r="L1666" s="1">
        <f>INT(K1666)</f>
        <v>16</v>
      </c>
      <c r="M1666" s="3">
        <f>K1666-L1666</f>
        <v>0.089246538446492</v>
      </c>
      <c r="N1666" s="1">
        <f>COUNTIF($M$1626:$M$1681,"&gt;"&amp;M1666)+COUNTIF($M$1626:M1666,M1666)</f>
        <v>53</v>
      </c>
      <c r="O1666" s="1">
        <f>J1666+L1666+IF(N1666&lt;=I1666-SUM($J$1626:$J$1681)-SUM($L$1626:$L$1681),1,0)</f>
        <v>26</v>
      </c>
    </row>
    <row r="1667" spans="1:15">
      <c r="A1667" s="1" t="s">
        <v>83</v>
      </c>
      <c r="B1667" s="1" t="s">
        <v>84</v>
      </c>
      <c r="C1667" s="1" t="s">
        <v>50</v>
      </c>
      <c r="D1667" s="1" t="s">
        <v>39</v>
      </c>
      <c r="E1667" s="1" t="s">
        <v>48</v>
      </c>
      <c r="F1667" s="1" t="s">
        <v>42</v>
      </c>
      <c r="G1667" s="1">
        <v>52702</v>
      </c>
      <c r="H1667" s="1">
        <f>'1_Departamento_n'!C31</f>
        <v>1329172</v>
      </c>
      <c r="I1667" s="1">
        <f>'1_Departamento_n'!H31</f>
        <v>1312</v>
      </c>
      <c r="J1667" s="1">
        <f>'0_Parametros'!B7</f>
        <v>10</v>
      </c>
      <c r="K1667" s="3">
        <f>(I1667-SUM($J$1626:$J$1681))*G1667/H1667</f>
        <v>29.816986815852275</v>
      </c>
      <c r="L1667" s="1">
        <f>INT(K1667)</f>
        <v>29</v>
      </c>
      <c r="M1667" s="3">
        <f>K1667-L1667</f>
        <v>0.8169868158522746</v>
      </c>
      <c r="N1667" s="1">
        <f>COUNTIF($M$1626:$M$1681,"&gt;"&amp;M1667)+COUNTIF($M$1626:M1667,M1667)</f>
        <v>9</v>
      </c>
      <c r="O1667" s="1">
        <f>J1667+L1667+IF(N1667&lt;=I1667-SUM($J$1626:$J$1681)-SUM($L$1626:$L$1681),1,0)</f>
        <v>40</v>
      </c>
    </row>
    <row r="1668" spans="1:15">
      <c r="A1668" s="1" t="s">
        <v>83</v>
      </c>
      <c r="B1668" s="1" t="s">
        <v>84</v>
      </c>
      <c r="C1668" s="1" t="s">
        <v>50</v>
      </c>
      <c r="D1668" s="1" t="s">
        <v>49</v>
      </c>
      <c r="E1668" s="1" t="s">
        <v>40</v>
      </c>
      <c r="F1668" s="1" t="s">
        <v>41</v>
      </c>
      <c r="G1668" s="1">
        <v>21559</v>
      </c>
      <c r="H1668" s="1">
        <f>'1_Departamento_n'!C31</f>
        <v>1329172</v>
      </c>
      <c r="I1668" s="1">
        <f>'1_Departamento_n'!H31</f>
        <v>1312</v>
      </c>
      <c r="J1668" s="1">
        <f>'0_Parametros'!B7</f>
        <v>10</v>
      </c>
      <c r="K1668" s="3">
        <f>(I1668-SUM($J$1626:$J$1681))*G1668/H1668</f>
        <v>12.197343910344184</v>
      </c>
      <c r="L1668" s="1">
        <f>INT(K1668)</f>
        <v>12</v>
      </c>
      <c r="M1668" s="3">
        <f>K1668-L1668</f>
        <v>0.19734391034418408</v>
      </c>
      <c r="N1668" s="1">
        <f>COUNTIF($M$1626:$M$1681,"&gt;"&amp;M1668)+COUNTIF($M$1626:M1668,M1668)</f>
        <v>44</v>
      </c>
      <c r="O1668" s="1">
        <f>J1668+L1668+IF(N1668&lt;=I1668-SUM($J$1626:$J$1681)-SUM($L$1626:$L$1681),1,0)</f>
        <v>22</v>
      </c>
    </row>
    <row r="1669" spans="1:15">
      <c r="A1669" s="1" t="s">
        <v>83</v>
      </c>
      <c r="B1669" s="1" t="s">
        <v>84</v>
      </c>
      <c r="C1669" s="1" t="s">
        <v>50</v>
      </c>
      <c r="D1669" s="1" t="s">
        <v>49</v>
      </c>
      <c r="E1669" s="1" t="s">
        <v>40</v>
      </c>
      <c r="F1669" s="1" t="s">
        <v>42</v>
      </c>
      <c r="G1669" s="1">
        <v>50785</v>
      </c>
      <c r="H1669" s="1">
        <f>'1_Departamento_n'!C31</f>
        <v>1329172</v>
      </c>
      <c r="I1669" s="1">
        <f>'1_Departamento_n'!H31</f>
        <v>1312</v>
      </c>
      <c r="J1669" s="1">
        <f>'0_Parametros'!B7</f>
        <v>10</v>
      </c>
      <c r="K1669" s="3">
        <f>(I1669-SUM($J$1626:$J$1681))*G1669/H1669</f>
        <v>28.73241386366851</v>
      </c>
      <c r="L1669" s="1">
        <f>INT(K1669)</f>
        <v>28</v>
      </c>
      <c r="M1669" s="3">
        <f>K1669-L1669</f>
        <v>0.7324138636685085</v>
      </c>
      <c r="N1669" s="1">
        <f>COUNTIF($M$1626:$M$1681,"&gt;"&amp;M1669)+COUNTIF($M$1626:M1669,M1669)</f>
        <v>13</v>
      </c>
      <c r="O1669" s="1">
        <f>J1669+L1669+IF(N1669&lt;=I1669-SUM($J$1626:$J$1681)-SUM($L$1626:$L$1681),1,0)</f>
        <v>39</v>
      </c>
    </row>
    <row r="1670" spans="1:15">
      <c r="A1670" s="1" t="s">
        <v>83</v>
      </c>
      <c r="B1670" s="1" t="s">
        <v>84</v>
      </c>
      <c r="C1670" s="1" t="s">
        <v>50</v>
      </c>
      <c r="D1670" s="1" t="s">
        <v>49</v>
      </c>
      <c r="E1670" s="1" t="s">
        <v>43</v>
      </c>
      <c r="F1670" s="1" t="s">
        <v>41</v>
      </c>
      <c r="G1670" s="1">
        <v>26787</v>
      </c>
      <c r="H1670" s="1">
        <f>'1_Departamento_n'!C31</f>
        <v>1329172</v>
      </c>
      <c r="I1670" s="1">
        <f>'1_Departamento_n'!H31</f>
        <v>1312</v>
      </c>
      <c r="J1670" s="1">
        <f>'0_Parametros'!B7</f>
        <v>10</v>
      </c>
      <c r="K1670" s="3">
        <f>(I1670-SUM($J$1626:$J$1681))*G1670/H1670</f>
        <v>15.15516727707174</v>
      </c>
      <c r="L1670" s="1">
        <f>INT(K1670)</f>
        <v>15</v>
      </c>
      <c r="M1670" s="3">
        <f>K1670-L1670</f>
        <v>0.15516727707174027</v>
      </c>
      <c r="N1670" s="1">
        <f>COUNTIF($M$1626:$M$1681,"&gt;"&amp;M1670)+COUNTIF($M$1626:M1670,M1670)</f>
        <v>50</v>
      </c>
      <c r="O1670" s="1">
        <f>J1670+L1670+IF(N1670&lt;=I1670-SUM($J$1626:$J$1681)-SUM($L$1626:$L$1681),1,0)</f>
        <v>25</v>
      </c>
    </row>
    <row r="1671" spans="1:15">
      <c r="A1671" s="1" t="s">
        <v>83</v>
      </c>
      <c r="B1671" s="1" t="s">
        <v>84</v>
      </c>
      <c r="C1671" s="1" t="s">
        <v>50</v>
      </c>
      <c r="D1671" s="1" t="s">
        <v>49</v>
      </c>
      <c r="E1671" s="1" t="s">
        <v>43</v>
      </c>
      <c r="F1671" s="1" t="s">
        <v>42</v>
      </c>
      <c r="G1671" s="1">
        <v>63342</v>
      </c>
      <c r="H1671" s="1">
        <f>'1_Departamento_n'!C31</f>
        <v>1329172</v>
      </c>
      <c r="I1671" s="1">
        <f>'1_Departamento_n'!H31</f>
        <v>1312</v>
      </c>
      <c r="J1671" s="1">
        <f>'0_Parametros'!B7</f>
        <v>10</v>
      </c>
      <c r="K1671" s="3">
        <f>(I1671-SUM($J$1626:$J$1681))*G1671/H1671</f>
        <v>35.83673444821287</v>
      </c>
      <c r="L1671" s="1">
        <f>INT(K1671)</f>
        <v>35</v>
      </c>
      <c r="M1671" s="3">
        <f>K1671-L1671</f>
        <v>0.8367344482128729</v>
      </c>
      <c r="N1671" s="1">
        <f>COUNTIF($M$1626:$M$1681,"&gt;"&amp;M1671)+COUNTIF($M$1626:M1671,M1671)</f>
        <v>8</v>
      </c>
      <c r="O1671" s="1">
        <f>J1671+L1671+IF(N1671&lt;=I1671-SUM($J$1626:$J$1681)-SUM($L$1626:$L$1681),1,0)</f>
        <v>46</v>
      </c>
    </row>
    <row r="1672" spans="1:15">
      <c r="A1672" s="1" t="s">
        <v>83</v>
      </c>
      <c r="B1672" s="1" t="s">
        <v>84</v>
      </c>
      <c r="C1672" s="1" t="s">
        <v>50</v>
      </c>
      <c r="D1672" s="1" t="s">
        <v>49</v>
      </c>
      <c r="E1672" s="1" t="s">
        <v>44</v>
      </c>
      <c r="F1672" s="1" t="s">
        <v>41</v>
      </c>
      <c r="G1672" s="1">
        <v>28885</v>
      </c>
      <c r="H1672" s="1">
        <f>'1_Departamento_n'!C31</f>
        <v>1329172</v>
      </c>
      <c r="I1672" s="1">
        <f>'1_Departamento_n'!H31</f>
        <v>1312</v>
      </c>
      <c r="J1672" s="1">
        <f>'0_Parametros'!B7</f>
        <v>10</v>
      </c>
      <c r="K1672" s="3">
        <f>(I1672-SUM($J$1626:$J$1681))*G1672/H1672</f>
        <v>16.342143830896227</v>
      </c>
      <c r="L1672" s="1">
        <f>INT(K1672)</f>
        <v>16</v>
      </c>
      <c r="M1672" s="3">
        <f>K1672-L1672</f>
        <v>0.3421438308962266</v>
      </c>
      <c r="N1672" s="1">
        <f>COUNTIF($M$1626:$M$1681,"&gt;"&amp;M1672)+COUNTIF($M$1626:M1672,M1672)</f>
        <v>33</v>
      </c>
      <c r="O1672" s="1">
        <f>J1672+L1672+IF(N1672&lt;=I1672-SUM($J$1626:$J$1681)-SUM($L$1626:$L$1681),1,0)</f>
        <v>26</v>
      </c>
    </row>
    <row r="1673" spans="1:15">
      <c r="A1673" s="1" t="s">
        <v>83</v>
      </c>
      <c r="B1673" s="1" t="s">
        <v>84</v>
      </c>
      <c r="C1673" s="1" t="s">
        <v>50</v>
      </c>
      <c r="D1673" s="1" t="s">
        <v>49</v>
      </c>
      <c r="E1673" s="1" t="s">
        <v>44</v>
      </c>
      <c r="F1673" s="1" t="s">
        <v>42</v>
      </c>
      <c r="G1673" s="1">
        <v>51725</v>
      </c>
      <c r="H1673" s="1">
        <f>'1_Departamento_n'!C31</f>
        <v>1329172</v>
      </c>
      <c r="I1673" s="1">
        <f>'1_Departamento_n'!H31</f>
        <v>1312</v>
      </c>
      <c r="J1673" s="1">
        <f>'0_Parametros'!B7</f>
        <v>10</v>
      </c>
      <c r="K1673" s="3">
        <f>(I1673-SUM($J$1626:$J$1681))*G1673/H1673</f>
        <v>29.264233673294353</v>
      </c>
      <c r="L1673" s="1">
        <f>INT(K1673)</f>
        <v>29</v>
      </c>
      <c r="M1673" s="3">
        <f>K1673-L1673</f>
        <v>0.26423367329435266</v>
      </c>
      <c r="N1673" s="1">
        <f>COUNTIF($M$1626:$M$1681,"&gt;"&amp;M1673)+COUNTIF($M$1626:M1673,M1673)</f>
        <v>41</v>
      </c>
      <c r="O1673" s="1">
        <f>J1673+L1673+IF(N1673&lt;=I1673-SUM($J$1626:$J$1681)-SUM($L$1626:$L$1681),1,0)</f>
        <v>39</v>
      </c>
    </row>
    <row r="1674" spans="1:15">
      <c r="A1674" s="1" t="s">
        <v>83</v>
      </c>
      <c r="B1674" s="1" t="s">
        <v>84</v>
      </c>
      <c r="C1674" s="1" t="s">
        <v>50</v>
      </c>
      <c r="D1674" s="1" t="s">
        <v>49</v>
      </c>
      <c r="E1674" s="1" t="s">
        <v>45</v>
      </c>
      <c r="F1674" s="1" t="s">
        <v>41</v>
      </c>
      <c r="G1674" s="1">
        <v>28210</v>
      </c>
      <c r="H1674" s="1">
        <f>'1_Departamento_n'!C31</f>
        <v>1329172</v>
      </c>
      <c r="I1674" s="1">
        <f>'1_Departamento_n'!H31</f>
        <v>1312</v>
      </c>
      <c r="J1674" s="1">
        <f>'0_Parametros'!B7</f>
        <v>10</v>
      </c>
      <c r="K1674" s="3">
        <f>(I1674-SUM($J$1626:$J$1681))*G1674/H1674</f>
        <v>15.960251946324478</v>
      </c>
      <c r="L1674" s="1">
        <f>INT(K1674)</f>
        <v>15</v>
      </c>
      <c r="M1674" s="3">
        <f>K1674-L1674</f>
        <v>0.9602519463244779</v>
      </c>
      <c r="N1674" s="1">
        <f>COUNTIF($M$1626:$M$1681,"&gt;"&amp;M1674)+COUNTIF($M$1626:M1674,M1674)</f>
        <v>4</v>
      </c>
      <c r="O1674" s="1">
        <f>J1674+L1674+IF(N1674&lt;=I1674-SUM($J$1626:$J$1681)-SUM($L$1626:$L$1681),1,0)</f>
        <v>26</v>
      </c>
    </row>
    <row r="1675" spans="1:15">
      <c r="A1675" s="1" t="s">
        <v>83</v>
      </c>
      <c r="B1675" s="1" t="s">
        <v>84</v>
      </c>
      <c r="C1675" s="1" t="s">
        <v>50</v>
      </c>
      <c r="D1675" s="1" t="s">
        <v>49</v>
      </c>
      <c r="E1675" s="1" t="s">
        <v>45</v>
      </c>
      <c r="F1675" s="1" t="s">
        <v>42</v>
      </c>
      <c r="G1675" s="1">
        <v>46629</v>
      </c>
      <c r="H1675" s="1">
        <f>'1_Departamento_n'!C31</f>
        <v>1329172</v>
      </c>
      <c r="I1675" s="1">
        <f>'1_Departamento_n'!H31</f>
        <v>1312</v>
      </c>
      <c r="J1675" s="1">
        <f>'0_Parametros'!B7</f>
        <v>10</v>
      </c>
      <c r="K1675" s="3">
        <f>(I1675-SUM($J$1626:$J$1681))*G1675/H1675</f>
        <v>26.381091386216383</v>
      </c>
      <c r="L1675" s="1">
        <f>INT(K1675)</f>
        <v>26</v>
      </c>
      <c r="M1675" s="3">
        <f>K1675-L1675</f>
        <v>0.38109138621638294</v>
      </c>
      <c r="N1675" s="1">
        <f>COUNTIF($M$1626:$M$1681,"&gt;"&amp;M1675)+COUNTIF($M$1626:M1675,M1675)</f>
        <v>30</v>
      </c>
      <c r="O1675" s="1">
        <f>J1675+L1675+IF(N1675&lt;=I1675-SUM($J$1626:$J$1681)-SUM($L$1626:$L$1681),1,0)</f>
        <v>36</v>
      </c>
    </row>
    <row r="1676" spans="1:15">
      <c r="A1676" s="1" t="s">
        <v>83</v>
      </c>
      <c r="B1676" s="1" t="s">
        <v>84</v>
      </c>
      <c r="C1676" s="1" t="s">
        <v>50</v>
      </c>
      <c r="D1676" s="1" t="s">
        <v>49</v>
      </c>
      <c r="E1676" s="1" t="s">
        <v>46</v>
      </c>
      <c r="F1676" s="1" t="s">
        <v>41</v>
      </c>
      <c r="G1676" s="1">
        <v>23703</v>
      </c>
      <c r="H1676" s="1">
        <f>'1_Departamento_n'!C31</f>
        <v>1329172</v>
      </c>
      <c r="I1676" s="1">
        <f>'1_Departamento_n'!H31</f>
        <v>1312</v>
      </c>
      <c r="J1676" s="1">
        <f>'0_Parametros'!B7</f>
        <v>10</v>
      </c>
      <c r="K1676" s="3">
        <f>(I1676-SUM($J$1626:$J$1681))*G1676/H1676</f>
        <v>13.410345688895042</v>
      </c>
      <c r="L1676" s="1">
        <f>INT(K1676)</f>
        <v>13</v>
      </c>
      <c r="M1676" s="3">
        <f>K1676-L1676</f>
        <v>0.41034568889504186</v>
      </c>
      <c r="N1676" s="1">
        <f>COUNTIF($M$1626:$M$1681,"&gt;"&amp;M1676)+COUNTIF($M$1626:M1676,M1676)</f>
        <v>26</v>
      </c>
      <c r="O1676" s="1">
        <f>J1676+L1676+IF(N1676&lt;=I1676-SUM($J$1626:$J$1681)-SUM($L$1626:$L$1681),1,0)</f>
        <v>24</v>
      </c>
    </row>
    <row r="1677" spans="1:15">
      <c r="A1677" s="1" t="s">
        <v>83</v>
      </c>
      <c r="B1677" s="1" t="s">
        <v>84</v>
      </c>
      <c r="C1677" s="1" t="s">
        <v>50</v>
      </c>
      <c r="D1677" s="1" t="s">
        <v>49</v>
      </c>
      <c r="E1677" s="1" t="s">
        <v>46</v>
      </c>
      <c r="F1677" s="1" t="s">
        <v>42</v>
      </c>
      <c r="G1677" s="1">
        <v>42761</v>
      </c>
      <c r="H1677" s="1">
        <f>'1_Departamento_n'!C31</f>
        <v>1329172</v>
      </c>
      <c r="I1677" s="1">
        <f>'1_Departamento_n'!H31</f>
        <v>1312</v>
      </c>
      <c r="J1677" s="1">
        <f>'0_Parametros'!B7</f>
        <v>10</v>
      </c>
      <c r="K1677" s="3">
        <f>(I1677-SUM($J$1626:$J$1681))*G1677/H1677</f>
        <v>24.19270944618153</v>
      </c>
      <c r="L1677" s="1">
        <f>INT(K1677)</f>
        <v>24</v>
      </c>
      <c r="M1677" s="3">
        <f>K1677-L1677</f>
        <v>0.19270944618153152</v>
      </c>
      <c r="N1677" s="1">
        <f>COUNTIF($M$1626:$M$1681,"&gt;"&amp;M1677)+COUNTIF($M$1626:M1677,M1677)</f>
        <v>46</v>
      </c>
      <c r="O1677" s="1">
        <f>J1677+L1677+IF(N1677&lt;=I1677-SUM($J$1626:$J$1681)-SUM($L$1626:$L$1681),1,0)</f>
        <v>34</v>
      </c>
    </row>
    <row r="1678" spans="1:15">
      <c r="A1678" s="1" t="s">
        <v>83</v>
      </c>
      <c r="B1678" s="1" t="s">
        <v>84</v>
      </c>
      <c r="C1678" s="1" t="s">
        <v>50</v>
      </c>
      <c r="D1678" s="1" t="s">
        <v>49</v>
      </c>
      <c r="E1678" s="1" t="s">
        <v>47</v>
      </c>
      <c r="F1678" s="1" t="s">
        <v>41</v>
      </c>
      <c r="G1678" s="1">
        <v>18258</v>
      </c>
      <c r="H1678" s="1">
        <f>'1_Departamento_n'!C31</f>
        <v>1329172</v>
      </c>
      <c r="I1678" s="1">
        <f>'1_Departamento_n'!H31</f>
        <v>1312</v>
      </c>
      <c r="J1678" s="1">
        <f>'0_Parametros'!B7</f>
        <v>10</v>
      </c>
      <c r="K1678" s="3">
        <f>(I1678-SUM($J$1626:$J$1681))*G1678/H1678</f>
        <v>10.329751153349605</v>
      </c>
      <c r="L1678" s="1">
        <f>INT(K1678)</f>
        <v>10</v>
      </c>
      <c r="M1678" s="3">
        <f>K1678-L1678</f>
        <v>0.3297511533496049</v>
      </c>
      <c r="N1678" s="1">
        <f>COUNTIF($M$1626:$M$1681,"&gt;"&amp;M1678)+COUNTIF($M$1626:M1678,M1678)</f>
        <v>37</v>
      </c>
      <c r="O1678" s="1">
        <f>J1678+L1678+IF(N1678&lt;=I1678-SUM($J$1626:$J$1681)-SUM($L$1626:$L$1681),1,0)</f>
        <v>20</v>
      </c>
    </row>
    <row r="1679" spans="1:15">
      <c r="A1679" s="1" t="s">
        <v>83</v>
      </c>
      <c r="B1679" s="1" t="s">
        <v>84</v>
      </c>
      <c r="C1679" s="1" t="s">
        <v>50</v>
      </c>
      <c r="D1679" s="1" t="s">
        <v>49</v>
      </c>
      <c r="E1679" s="1" t="s">
        <v>47</v>
      </c>
      <c r="F1679" s="1" t="s">
        <v>42</v>
      </c>
      <c r="G1679" s="1">
        <v>33100</v>
      </c>
      <c r="H1679" s="1">
        <f>'1_Departamento_n'!C31</f>
        <v>1329172</v>
      </c>
      <c r="I1679" s="1">
        <f>'1_Departamento_n'!H31</f>
        <v>1312</v>
      </c>
      <c r="J1679" s="1">
        <f>'0_Parametros'!B7</f>
        <v>10</v>
      </c>
      <c r="K1679" s="3">
        <f>(I1679-SUM($J$1626:$J$1681))*G1679/H1679</f>
        <v>18.7268464878887</v>
      </c>
      <c r="L1679" s="1">
        <f>INT(K1679)</f>
        <v>18</v>
      </c>
      <c r="M1679" s="3">
        <f>K1679-L1679</f>
        <v>0.7268464878887002</v>
      </c>
      <c r="N1679" s="1">
        <f>COUNTIF($M$1626:$M$1681,"&gt;"&amp;M1679)+COUNTIF($M$1626:M1679,M1679)</f>
        <v>14</v>
      </c>
      <c r="O1679" s="1">
        <f>J1679+L1679+IF(N1679&lt;=I1679-SUM($J$1626:$J$1681)-SUM($L$1626:$L$1681),1,0)</f>
        <v>29</v>
      </c>
    </row>
    <row r="1680" spans="1:15">
      <c r="A1680" s="1" t="s">
        <v>83</v>
      </c>
      <c r="B1680" s="1" t="s">
        <v>84</v>
      </c>
      <c r="C1680" s="1" t="s">
        <v>50</v>
      </c>
      <c r="D1680" s="1" t="s">
        <v>49</v>
      </c>
      <c r="E1680" s="1" t="s">
        <v>48</v>
      </c>
      <c r="F1680" s="1" t="s">
        <v>41</v>
      </c>
      <c r="G1680" s="1">
        <v>23596</v>
      </c>
      <c r="H1680" s="1">
        <f>'1_Departamento_n'!C31</f>
        <v>1329172</v>
      </c>
      <c r="I1680" s="1">
        <f>'1_Departamento_n'!H31</f>
        <v>1312</v>
      </c>
      <c r="J1680" s="1">
        <f>'0_Parametros'!B7</f>
        <v>10</v>
      </c>
      <c r="K1680" s="3">
        <f>(I1680-SUM($J$1626:$J$1681))*G1680/H1680</f>
        <v>13.349808753118483</v>
      </c>
      <c r="L1680" s="1">
        <f>INT(K1680)</f>
        <v>13</v>
      </c>
      <c r="M1680" s="3">
        <f>K1680-L1680</f>
        <v>0.3498087531184826</v>
      </c>
      <c r="N1680" s="1">
        <f>COUNTIF($M$1626:$M$1681,"&gt;"&amp;M1680)+COUNTIF($M$1626:M1680,M1680)</f>
        <v>32</v>
      </c>
      <c r="O1680" s="1">
        <f>J1680+L1680+IF(N1680&lt;=I1680-SUM($J$1626:$J$1681)-SUM($L$1626:$L$1681),1,0)</f>
        <v>23</v>
      </c>
    </row>
    <row r="1681" spans="1:15">
      <c r="A1681" s="1" t="s">
        <v>83</v>
      </c>
      <c r="B1681" s="1" t="s">
        <v>84</v>
      </c>
      <c r="C1681" s="1" t="s">
        <v>50</v>
      </c>
      <c r="D1681" s="1" t="s">
        <v>49</v>
      </c>
      <c r="E1681" s="1" t="s">
        <v>48</v>
      </c>
      <c r="F1681" s="1" t="s">
        <v>42</v>
      </c>
      <c r="G1681" s="1">
        <v>54453</v>
      </c>
      <c r="H1681" s="1">
        <f>'1_Departamento_n'!C31</f>
        <v>1329172</v>
      </c>
      <c r="I1681" s="1">
        <f>'1_Departamento_n'!H31</f>
        <v>1312</v>
      </c>
      <c r="J1681" s="1">
        <f>'0_Parametros'!B7</f>
        <v>10</v>
      </c>
      <c r="K1681" s="3">
        <f>(I1681-SUM($J$1626:$J$1681))*G1681/H1681</f>
        <v>30.807642652719135</v>
      </c>
      <c r="L1681" s="1">
        <f>INT(K1681)</f>
        <v>30</v>
      </c>
      <c r="M1681" s="3">
        <f>K1681-L1681</f>
        <v>0.8076426527191352</v>
      </c>
      <c r="N1681" s="1">
        <f>COUNTIF($M$1626:$M$1681,"&gt;"&amp;M1681)+COUNTIF($M$1626:M1681,M1681)</f>
        <v>10</v>
      </c>
      <c r="O1681" s="1">
        <f>J1681+L1681+IF(N1681&lt;=I1681-SUM($J$1626:$J$1681)-SUM($L$1626:$L$1681),1,0)</f>
        <v>41</v>
      </c>
    </row>
    <row r="1682" spans="1:15">
      <c r="A1682" s="1" t="s">
        <v>83</v>
      </c>
      <c r="B1682" s="1" t="s">
        <v>85</v>
      </c>
      <c r="C1682" s="1" t="s">
        <v>38</v>
      </c>
      <c r="D1682" s="1" t="s">
        <v>39</v>
      </c>
      <c r="E1682" s="1" t="s">
        <v>40</v>
      </c>
      <c r="F1682" s="1" t="s">
        <v>41</v>
      </c>
      <c r="G1682" s="1">
        <v>1913</v>
      </c>
      <c r="H1682" s="1">
        <f>'1_Departamento_n'!C32</f>
        <v>441422</v>
      </c>
      <c r="I1682" s="1">
        <f>'1_Departamento_n'!H32</f>
        <v>1310</v>
      </c>
      <c r="J1682" s="1">
        <f>'0_Parametros'!B7</f>
        <v>10</v>
      </c>
      <c r="K1682" s="3">
        <f>(I1682-SUM($J$1682:$J$1737))*G1682/H1682</f>
        <v>3.2502911046572214</v>
      </c>
      <c r="L1682" s="1">
        <f>INT(K1682)</f>
        <v>3</v>
      </c>
      <c r="M1682" s="3">
        <f>K1682-L1682</f>
        <v>0.2502911046572214</v>
      </c>
      <c r="N1682" s="1">
        <f>COUNTIF($M$1682:$M$1737,"&gt;"&amp;M1682)+COUNTIF($M$1682:M1682,M1682)</f>
        <v>46</v>
      </c>
      <c r="O1682" s="1">
        <f>J1682+L1682+IF(N1682&lt;=I1682-SUM($J$1682:$J$1737)-SUM($L$1682:$L$1737),1,0)</f>
        <v>13</v>
      </c>
    </row>
    <row r="1683" spans="1:15">
      <c r="A1683" s="1" t="s">
        <v>83</v>
      </c>
      <c r="B1683" s="1" t="s">
        <v>85</v>
      </c>
      <c r="C1683" s="1" t="s">
        <v>38</v>
      </c>
      <c r="D1683" s="1" t="s">
        <v>39</v>
      </c>
      <c r="E1683" s="1" t="s">
        <v>40</v>
      </c>
      <c r="F1683" s="1" t="s">
        <v>42</v>
      </c>
      <c r="G1683" s="1">
        <v>1239</v>
      </c>
      <c r="H1683" s="1">
        <f>'1_Departamento_n'!C32</f>
        <v>441422</v>
      </c>
      <c r="I1683" s="1">
        <f>'1_Departamento_n'!H32</f>
        <v>1310</v>
      </c>
      <c r="J1683" s="1">
        <f>'0_Parametros'!B7</f>
        <v>10</v>
      </c>
      <c r="K1683" s="3">
        <f>(I1683-SUM($J$1682:$J$1737))*G1683/H1683</f>
        <v>2.1051284258600615</v>
      </c>
      <c r="L1683" s="1">
        <f>INT(K1683)</f>
        <v>2</v>
      </c>
      <c r="M1683" s="3">
        <f>K1683-L1683</f>
        <v>0.10512842586006155</v>
      </c>
      <c r="N1683" s="1">
        <f>COUNTIF($M$1682:$M$1737,"&gt;"&amp;M1683)+COUNTIF($M$1682:M1683,M1683)</f>
        <v>52</v>
      </c>
      <c r="O1683" s="1">
        <f>J1683+L1683+IF(N1683&lt;=I1683-SUM($J$1682:$J$1737)-SUM($L$1682:$L$1737),1,0)</f>
        <v>12</v>
      </c>
    </row>
    <row r="1684" spans="1:15">
      <c r="A1684" s="1" t="s">
        <v>83</v>
      </c>
      <c r="B1684" s="1" t="s">
        <v>85</v>
      </c>
      <c r="C1684" s="1" t="s">
        <v>38</v>
      </c>
      <c r="D1684" s="1" t="s">
        <v>39</v>
      </c>
      <c r="E1684" s="1" t="s">
        <v>43</v>
      </c>
      <c r="F1684" s="1" t="s">
        <v>41</v>
      </c>
      <c r="G1684" s="1">
        <v>2215</v>
      </c>
      <c r="H1684" s="1">
        <f>'1_Departamento_n'!C32</f>
        <v>441422</v>
      </c>
      <c r="I1684" s="1">
        <f>'1_Departamento_n'!H32</f>
        <v>1310</v>
      </c>
      <c r="J1684" s="1">
        <f>'0_Parametros'!B7</f>
        <v>10</v>
      </c>
      <c r="K1684" s="3">
        <f>(I1684-SUM($J$1682:$J$1737))*G1684/H1684</f>
        <v>3.763405539370489</v>
      </c>
      <c r="L1684" s="1">
        <f>INT(K1684)</f>
        <v>3</v>
      </c>
      <c r="M1684" s="3">
        <f>K1684-L1684</f>
        <v>0.7634055393704888</v>
      </c>
      <c r="N1684" s="1">
        <f>COUNTIF($M$1682:$M$1737,"&gt;"&amp;M1684)+COUNTIF($M$1682:M1684,M1684)</f>
        <v>18</v>
      </c>
      <c r="O1684" s="1">
        <f>J1684+L1684+IF(N1684&lt;=I1684-SUM($J$1682:$J$1737)-SUM($L$1682:$L$1737),1,0)</f>
        <v>14</v>
      </c>
    </row>
    <row r="1685" spans="1:15">
      <c r="A1685" s="1" t="s">
        <v>83</v>
      </c>
      <c r="B1685" s="1" t="s">
        <v>85</v>
      </c>
      <c r="C1685" s="1" t="s">
        <v>38</v>
      </c>
      <c r="D1685" s="1" t="s">
        <v>39</v>
      </c>
      <c r="E1685" s="1" t="s">
        <v>43</v>
      </c>
      <c r="F1685" s="1" t="s">
        <v>42</v>
      </c>
      <c r="G1685" s="1">
        <v>772</v>
      </c>
      <c r="H1685" s="1">
        <f>'1_Departamento_n'!C32</f>
        <v>441422</v>
      </c>
      <c r="I1685" s="1">
        <f>'1_Departamento_n'!H32</f>
        <v>1310</v>
      </c>
      <c r="J1685" s="1">
        <f>'0_Parametros'!B7</f>
        <v>10</v>
      </c>
      <c r="K1685" s="3">
        <f>(I1685-SUM($J$1682:$J$1737))*G1685/H1685</f>
        <v>1.311670011916035</v>
      </c>
      <c r="L1685" s="1">
        <f>INT(K1685)</f>
        <v>1</v>
      </c>
      <c r="M1685" s="3">
        <f>K1685-L1685</f>
        <v>0.31167001191603494</v>
      </c>
      <c r="N1685" s="1">
        <f>COUNTIF($M$1682:$M$1737,"&gt;"&amp;M1685)+COUNTIF($M$1682:M1685,M1685)</f>
        <v>42</v>
      </c>
      <c r="O1685" s="1">
        <f>J1685+L1685+IF(N1685&lt;=I1685-SUM($J$1682:$J$1737)-SUM($L$1682:$L$1737),1,0)</f>
        <v>11</v>
      </c>
    </row>
    <row r="1686" spans="1:15">
      <c r="A1686" s="1" t="s">
        <v>83</v>
      </c>
      <c r="B1686" s="1" t="s">
        <v>85</v>
      </c>
      <c r="C1686" s="1" t="s">
        <v>38</v>
      </c>
      <c r="D1686" s="1" t="s">
        <v>39</v>
      </c>
      <c r="E1686" s="1" t="s">
        <v>44</v>
      </c>
      <c r="F1686" s="1" t="s">
        <v>41</v>
      </c>
      <c r="G1686" s="1">
        <v>2935</v>
      </c>
      <c r="H1686" s="1">
        <f>'1_Departamento_n'!C32</f>
        <v>441422</v>
      </c>
      <c r="I1686" s="1">
        <f>'1_Departamento_n'!H32</f>
        <v>1310</v>
      </c>
      <c r="J1686" s="1">
        <f>'0_Parametros'!B7</f>
        <v>10</v>
      </c>
      <c r="K1686" s="3">
        <f>(I1686-SUM($J$1682:$J$1737))*G1686/H1686</f>
        <v>4.986724721468345</v>
      </c>
      <c r="L1686" s="1">
        <f>INT(K1686)</f>
        <v>4</v>
      </c>
      <c r="M1686" s="3">
        <f>K1686-L1686</f>
        <v>0.9867247214683452</v>
      </c>
      <c r="N1686" s="1">
        <f>COUNTIF($M$1682:$M$1737,"&gt;"&amp;M1686)+COUNTIF($M$1682:M1686,M1686)</f>
        <v>2</v>
      </c>
      <c r="O1686" s="1">
        <f>J1686+L1686+IF(N1686&lt;=I1686-SUM($J$1682:$J$1737)-SUM($L$1682:$L$1737),1,0)</f>
        <v>15</v>
      </c>
    </row>
    <row r="1687" spans="1:15">
      <c r="A1687" s="1" t="s">
        <v>83</v>
      </c>
      <c r="B1687" s="1" t="s">
        <v>85</v>
      </c>
      <c r="C1687" s="1" t="s">
        <v>38</v>
      </c>
      <c r="D1687" s="1" t="s">
        <v>39</v>
      </c>
      <c r="E1687" s="1" t="s">
        <v>44</v>
      </c>
      <c r="F1687" s="1" t="s">
        <v>42</v>
      </c>
      <c r="G1687" s="1">
        <v>1195</v>
      </c>
      <c r="H1687" s="1">
        <f>'1_Departamento_n'!C32</f>
        <v>441422</v>
      </c>
      <c r="I1687" s="1">
        <f>'1_Departamento_n'!H32</f>
        <v>1310</v>
      </c>
      <c r="J1687" s="1">
        <f>'0_Parametros'!B7</f>
        <v>10</v>
      </c>
      <c r="K1687" s="3">
        <f>(I1687-SUM($J$1682:$J$1737))*G1687/H1687</f>
        <v>2.0303700313985256</v>
      </c>
      <c r="L1687" s="1">
        <f>INT(K1687)</f>
        <v>2</v>
      </c>
      <c r="M1687" s="3">
        <f>K1687-L1687</f>
        <v>0.030370031398525565</v>
      </c>
      <c r="N1687" s="1">
        <f>COUNTIF($M$1682:$M$1737,"&gt;"&amp;M1687)+COUNTIF($M$1682:M1687,M1687)</f>
        <v>56</v>
      </c>
      <c r="O1687" s="1">
        <f>J1687+L1687+IF(N1687&lt;=I1687-SUM($J$1682:$J$1737)-SUM($L$1682:$L$1737),1,0)</f>
        <v>12</v>
      </c>
    </row>
    <row r="1688" spans="1:15">
      <c r="A1688" s="1" t="s">
        <v>83</v>
      </c>
      <c r="B1688" s="1" t="s">
        <v>85</v>
      </c>
      <c r="C1688" s="1" t="s">
        <v>38</v>
      </c>
      <c r="D1688" s="1" t="s">
        <v>39</v>
      </c>
      <c r="E1688" s="1" t="s">
        <v>45</v>
      </c>
      <c r="F1688" s="1" t="s">
        <v>41</v>
      </c>
      <c r="G1688" s="1">
        <v>4614</v>
      </c>
      <c r="H1688" s="1">
        <f>'1_Departamento_n'!C32</f>
        <v>441422</v>
      </c>
      <c r="I1688" s="1">
        <f>'1_Departamento_n'!H32</f>
        <v>1310</v>
      </c>
      <c r="J1688" s="1">
        <f>'0_Parametros'!B7</f>
        <v>10</v>
      </c>
      <c r="K1688" s="3">
        <f>(I1688-SUM($J$1682:$J$1737))*G1688/H1688</f>
        <v>7.839437091943764</v>
      </c>
      <c r="L1688" s="1">
        <f>INT(K1688)</f>
        <v>7</v>
      </c>
      <c r="M1688" s="3">
        <f>K1688-L1688</f>
        <v>0.8394370919437639</v>
      </c>
      <c r="N1688" s="1">
        <f>COUNTIF($M$1682:$M$1737,"&gt;"&amp;M1688)+COUNTIF($M$1682:M1688,M1688)</f>
        <v>14</v>
      </c>
      <c r="O1688" s="1">
        <f>J1688+L1688+IF(N1688&lt;=I1688-SUM($J$1682:$J$1737)-SUM($L$1682:$L$1737),1,0)</f>
        <v>18</v>
      </c>
    </row>
    <row r="1689" spans="1:15">
      <c r="A1689" s="1" t="s">
        <v>83</v>
      </c>
      <c r="B1689" s="1" t="s">
        <v>85</v>
      </c>
      <c r="C1689" s="1" t="s">
        <v>38</v>
      </c>
      <c r="D1689" s="1" t="s">
        <v>39</v>
      </c>
      <c r="E1689" s="1" t="s">
        <v>45</v>
      </c>
      <c r="F1689" s="1" t="s">
        <v>42</v>
      </c>
      <c r="G1689" s="1">
        <v>1447</v>
      </c>
      <c r="H1689" s="1">
        <f>'1_Departamento_n'!C32</f>
        <v>441422</v>
      </c>
      <c r="I1689" s="1">
        <f>'1_Departamento_n'!H32</f>
        <v>1310</v>
      </c>
      <c r="J1689" s="1">
        <f>'0_Parametros'!B7</f>
        <v>10</v>
      </c>
      <c r="K1689" s="3">
        <f>(I1689-SUM($J$1682:$J$1737))*G1689/H1689</f>
        <v>2.4585317451327753</v>
      </c>
      <c r="L1689" s="1">
        <f>INT(K1689)</f>
        <v>2</v>
      </c>
      <c r="M1689" s="3">
        <f>K1689-L1689</f>
        <v>0.4585317451327753</v>
      </c>
      <c r="N1689" s="1">
        <f>COUNTIF($M$1682:$M$1737,"&gt;"&amp;M1689)+COUNTIF($M$1682:M1689,M1689)</f>
        <v>37</v>
      </c>
      <c r="O1689" s="1">
        <f>J1689+L1689+IF(N1689&lt;=I1689-SUM($J$1682:$J$1737)-SUM($L$1682:$L$1737),1,0)</f>
        <v>12</v>
      </c>
    </row>
    <row r="1690" spans="1:15">
      <c r="A1690" s="1" t="s">
        <v>83</v>
      </c>
      <c r="B1690" s="1" t="s">
        <v>85</v>
      </c>
      <c r="C1690" s="1" t="s">
        <v>38</v>
      </c>
      <c r="D1690" s="1" t="s">
        <v>39</v>
      </c>
      <c r="E1690" s="1" t="s">
        <v>46</v>
      </c>
      <c r="F1690" s="1" t="s">
        <v>41</v>
      </c>
      <c r="G1690" s="1">
        <v>3837</v>
      </c>
      <c r="H1690" s="1">
        <f>'1_Departamento_n'!C32</f>
        <v>441422</v>
      </c>
      <c r="I1690" s="1">
        <f>'1_Departamento_n'!H32</f>
        <v>1310</v>
      </c>
      <c r="J1690" s="1">
        <f>'0_Parametros'!B7</f>
        <v>10</v>
      </c>
      <c r="K1690" s="3">
        <f>(I1690-SUM($J$1682:$J$1737))*G1690/H1690</f>
        <v>6.519271807929827</v>
      </c>
      <c r="L1690" s="1">
        <f>INT(K1690)</f>
        <v>6</v>
      </c>
      <c r="M1690" s="3">
        <f>K1690-L1690</f>
        <v>0.5192718079298269</v>
      </c>
      <c r="N1690" s="1">
        <f>COUNTIF($M$1682:$M$1737,"&gt;"&amp;M1690)+COUNTIF($M$1682:M1690,M1690)</f>
        <v>34</v>
      </c>
      <c r="O1690" s="1">
        <f>J1690+L1690+IF(N1690&lt;=I1690-SUM($J$1682:$J$1737)-SUM($L$1682:$L$1737),1,0)</f>
        <v>16</v>
      </c>
    </row>
    <row r="1691" spans="1:15">
      <c r="A1691" s="1" t="s">
        <v>83</v>
      </c>
      <c r="B1691" s="1" t="s">
        <v>85</v>
      </c>
      <c r="C1691" s="1" t="s">
        <v>38</v>
      </c>
      <c r="D1691" s="1" t="s">
        <v>39</v>
      </c>
      <c r="E1691" s="1" t="s">
        <v>46</v>
      </c>
      <c r="F1691" s="1" t="s">
        <v>42</v>
      </c>
      <c r="G1691" s="1">
        <v>955</v>
      </c>
      <c r="H1691" s="1">
        <f>'1_Departamento_n'!C32</f>
        <v>441422</v>
      </c>
      <c r="I1691" s="1">
        <f>'1_Departamento_n'!H32</f>
        <v>1310</v>
      </c>
      <c r="J1691" s="1">
        <f>'0_Parametros'!B7</f>
        <v>10</v>
      </c>
      <c r="K1691" s="3">
        <f>(I1691-SUM($J$1682:$J$1737))*G1691/H1691</f>
        <v>1.6225969706992402</v>
      </c>
      <c r="L1691" s="1">
        <f>INT(K1691)</f>
        <v>1</v>
      </c>
      <c r="M1691" s="3">
        <f>K1691-L1691</f>
        <v>0.6225969706992402</v>
      </c>
      <c r="N1691" s="1">
        <f>COUNTIF($M$1682:$M$1737,"&gt;"&amp;M1691)+COUNTIF($M$1682:M1691,M1691)</f>
        <v>29</v>
      </c>
      <c r="O1691" s="1">
        <f>J1691+L1691+IF(N1691&lt;=I1691-SUM($J$1682:$J$1737)-SUM($L$1682:$L$1737),1,0)</f>
        <v>12</v>
      </c>
    </row>
    <row r="1692" spans="1:15">
      <c r="A1692" s="1" t="s">
        <v>83</v>
      </c>
      <c r="B1692" s="1" t="s">
        <v>85</v>
      </c>
      <c r="C1692" s="1" t="s">
        <v>38</v>
      </c>
      <c r="D1692" s="1" t="s">
        <v>39</v>
      </c>
      <c r="E1692" s="1" t="s">
        <v>47</v>
      </c>
      <c r="F1692" s="1" t="s">
        <v>41</v>
      </c>
      <c r="G1692" s="1">
        <v>2190</v>
      </c>
      <c r="H1692" s="1">
        <f>'1_Departamento_n'!C32</f>
        <v>441422</v>
      </c>
      <c r="I1692" s="1">
        <f>'1_Departamento_n'!H32</f>
        <v>1310</v>
      </c>
      <c r="J1692" s="1">
        <f>'0_Parametros'!B7</f>
        <v>10</v>
      </c>
      <c r="K1692" s="3">
        <f>(I1692-SUM($J$1682:$J$1737))*G1692/H1692</f>
        <v>3.72092917888098</v>
      </c>
      <c r="L1692" s="1">
        <f>INT(K1692)</f>
        <v>3</v>
      </c>
      <c r="M1692" s="3">
        <f>K1692-L1692</f>
        <v>0.7209291788809802</v>
      </c>
      <c r="N1692" s="1">
        <f>COUNTIF($M$1682:$M$1737,"&gt;"&amp;M1692)+COUNTIF($M$1682:M1692,M1692)</f>
        <v>22</v>
      </c>
      <c r="O1692" s="1">
        <f>J1692+L1692+IF(N1692&lt;=I1692-SUM($J$1682:$J$1737)-SUM($L$1682:$L$1737),1,0)</f>
        <v>14</v>
      </c>
    </row>
    <row r="1693" spans="1:15">
      <c r="A1693" s="1" t="s">
        <v>83</v>
      </c>
      <c r="B1693" s="1" t="s">
        <v>85</v>
      </c>
      <c r="C1693" s="1" t="s">
        <v>38</v>
      </c>
      <c r="D1693" s="1" t="s">
        <v>39</v>
      </c>
      <c r="E1693" s="1" t="s">
        <v>47</v>
      </c>
      <c r="F1693" s="1" t="s">
        <v>42</v>
      </c>
      <c r="G1693" s="1">
        <v>522</v>
      </c>
      <c r="H1693" s="1">
        <f>'1_Departamento_n'!C32</f>
        <v>441422</v>
      </c>
      <c r="I1693" s="1">
        <f>'1_Departamento_n'!H32</f>
        <v>1310</v>
      </c>
      <c r="J1693" s="1">
        <f>'0_Parametros'!B7</f>
        <v>10</v>
      </c>
      <c r="K1693" s="3">
        <f>(I1693-SUM($J$1682:$J$1737))*G1693/H1693</f>
        <v>0.8869064070209459</v>
      </c>
      <c r="L1693" s="1">
        <f>INT(K1693)</f>
        <v>0</v>
      </c>
      <c r="M1693" s="3">
        <f>K1693-L1693</f>
        <v>0.8869064070209459</v>
      </c>
      <c r="N1693" s="1">
        <f>COUNTIF($M$1682:$M$1737,"&gt;"&amp;M1693)+COUNTIF($M$1682:M1693,M1693)</f>
        <v>9</v>
      </c>
      <c r="O1693" s="1">
        <f>J1693+L1693+IF(N1693&lt;=I1693-SUM($J$1682:$J$1737)-SUM($L$1682:$L$1737),1,0)</f>
        <v>11</v>
      </c>
    </row>
    <row r="1694" spans="1:15">
      <c r="A1694" s="1" t="s">
        <v>83</v>
      </c>
      <c r="B1694" s="1" t="s">
        <v>85</v>
      </c>
      <c r="C1694" s="1" t="s">
        <v>38</v>
      </c>
      <c r="D1694" s="1" t="s">
        <v>39</v>
      </c>
      <c r="E1694" s="1" t="s">
        <v>48</v>
      </c>
      <c r="F1694" s="1" t="s">
        <v>41</v>
      </c>
      <c r="G1694" s="1">
        <v>3146</v>
      </c>
      <c r="H1694" s="1">
        <f>'1_Departamento_n'!C32</f>
        <v>441422</v>
      </c>
      <c r="I1694" s="1">
        <f>'1_Departamento_n'!H32</f>
        <v>1310</v>
      </c>
      <c r="J1694" s="1">
        <f>'0_Parametros'!B7</f>
        <v>10</v>
      </c>
      <c r="K1694" s="3">
        <f>(I1694-SUM($J$1682:$J$1737))*G1694/H1694</f>
        <v>5.3452252039998</v>
      </c>
      <c r="L1694" s="1">
        <f>INT(K1694)</f>
        <v>5</v>
      </c>
      <c r="M1694" s="3">
        <f>K1694-L1694</f>
        <v>0.3452252039998003</v>
      </c>
      <c r="N1694" s="1">
        <f>COUNTIF($M$1682:$M$1737,"&gt;"&amp;M1694)+COUNTIF($M$1682:M1694,M1694)</f>
        <v>40</v>
      </c>
      <c r="O1694" s="1">
        <f>J1694+L1694+IF(N1694&lt;=I1694-SUM($J$1682:$J$1737)-SUM($L$1682:$L$1737),1,0)</f>
        <v>15</v>
      </c>
    </row>
    <row r="1695" spans="1:15">
      <c r="A1695" s="1" t="s">
        <v>83</v>
      </c>
      <c r="B1695" s="1" t="s">
        <v>85</v>
      </c>
      <c r="C1695" s="1" t="s">
        <v>38</v>
      </c>
      <c r="D1695" s="1" t="s">
        <v>39</v>
      </c>
      <c r="E1695" s="1" t="s">
        <v>48</v>
      </c>
      <c r="F1695" s="1" t="s">
        <v>42</v>
      </c>
      <c r="G1695" s="1">
        <v>380</v>
      </c>
      <c r="H1695" s="1">
        <f>'1_Departamento_n'!C32</f>
        <v>441422</v>
      </c>
      <c r="I1695" s="1">
        <f>'1_Departamento_n'!H32</f>
        <v>1310</v>
      </c>
      <c r="J1695" s="1">
        <f>'0_Parametros'!B7</f>
        <v>10</v>
      </c>
      <c r="K1695" s="3">
        <f>(I1695-SUM($J$1682:$J$1737))*G1695/H1695</f>
        <v>0.6456406794405354</v>
      </c>
      <c r="L1695" s="1">
        <f>INT(K1695)</f>
        <v>0</v>
      </c>
      <c r="M1695" s="3">
        <f>K1695-L1695</f>
        <v>0.6456406794405354</v>
      </c>
      <c r="N1695" s="1">
        <f>COUNTIF($M$1682:$M$1737,"&gt;"&amp;M1695)+COUNTIF($M$1682:M1695,M1695)</f>
        <v>26</v>
      </c>
      <c r="O1695" s="1">
        <f>J1695+L1695+IF(N1695&lt;=I1695-SUM($J$1682:$J$1737)-SUM($L$1682:$L$1737),1,0)</f>
        <v>11</v>
      </c>
    </row>
    <row r="1696" spans="1:15">
      <c r="A1696" s="1" t="s">
        <v>83</v>
      </c>
      <c r="B1696" s="1" t="s">
        <v>85</v>
      </c>
      <c r="C1696" s="1" t="s">
        <v>38</v>
      </c>
      <c r="D1696" s="1" t="s">
        <v>49</v>
      </c>
      <c r="E1696" s="1" t="s">
        <v>40</v>
      </c>
      <c r="F1696" s="1" t="s">
        <v>41</v>
      </c>
      <c r="G1696" s="1">
        <v>1892</v>
      </c>
      <c r="H1696" s="1">
        <f>'1_Departamento_n'!C32</f>
        <v>441422</v>
      </c>
      <c r="I1696" s="1">
        <f>'1_Departamento_n'!H32</f>
        <v>1310</v>
      </c>
      <c r="J1696" s="1">
        <f>'0_Parametros'!B7</f>
        <v>10</v>
      </c>
      <c r="K1696" s="3">
        <f>(I1696-SUM($J$1682:$J$1737))*G1696/H1696</f>
        <v>3.214610961846034</v>
      </c>
      <c r="L1696" s="1">
        <f>INT(K1696)</f>
        <v>3</v>
      </c>
      <c r="M1696" s="3">
        <f>K1696-L1696</f>
        <v>0.2146109618460339</v>
      </c>
      <c r="N1696" s="1">
        <f>COUNTIF($M$1682:$M$1737,"&gt;"&amp;M1696)+COUNTIF($M$1682:M1696,M1696)</f>
        <v>47</v>
      </c>
      <c r="O1696" s="1">
        <f>J1696+L1696+IF(N1696&lt;=I1696-SUM($J$1682:$J$1737)-SUM($L$1682:$L$1737),1,0)</f>
        <v>13</v>
      </c>
    </row>
    <row r="1697" spans="1:15">
      <c r="A1697" s="1" t="s">
        <v>83</v>
      </c>
      <c r="B1697" s="1" t="s">
        <v>85</v>
      </c>
      <c r="C1697" s="1" t="s">
        <v>38</v>
      </c>
      <c r="D1697" s="1" t="s">
        <v>49</v>
      </c>
      <c r="E1697" s="1" t="s">
        <v>40</v>
      </c>
      <c r="F1697" s="1" t="s">
        <v>42</v>
      </c>
      <c r="G1697" s="1">
        <v>1253</v>
      </c>
      <c r="H1697" s="1">
        <f>'1_Departamento_n'!C32</f>
        <v>441422</v>
      </c>
      <c r="I1697" s="1">
        <f>'1_Departamento_n'!H32</f>
        <v>1310</v>
      </c>
      <c r="J1697" s="1">
        <f>'0_Parametros'!B7</f>
        <v>10</v>
      </c>
      <c r="K1697" s="3">
        <f>(I1697-SUM($J$1682:$J$1737))*G1697/H1697</f>
        <v>2.1289151877341865</v>
      </c>
      <c r="L1697" s="1">
        <f>INT(K1697)</f>
        <v>2</v>
      </c>
      <c r="M1697" s="3">
        <f>K1697-L1697</f>
        <v>0.12891518773418653</v>
      </c>
      <c r="N1697" s="1">
        <f>COUNTIF($M$1682:$M$1737,"&gt;"&amp;M1697)+COUNTIF($M$1682:M1697,M1697)</f>
        <v>51</v>
      </c>
      <c r="O1697" s="1">
        <f>J1697+L1697+IF(N1697&lt;=I1697-SUM($J$1682:$J$1737)-SUM($L$1682:$L$1737),1,0)</f>
        <v>12</v>
      </c>
    </row>
    <row r="1698" spans="1:15">
      <c r="A1698" s="1" t="s">
        <v>83</v>
      </c>
      <c r="B1698" s="1" t="s">
        <v>85</v>
      </c>
      <c r="C1698" s="1" t="s">
        <v>38</v>
      </c>
      <c r="D1698" s="1" t="s">
        <v>49</v>
      </c>
      <c r="E1698" s="1" t="s">
        <v>43</v>
      </c>
      <c r="F1698" s="1" t="s">
        <v>41</v>
      </c>
      <c r="G1698" s="1">
        <v>2289</v>
      </c>
      <c r="H1698" s="1">
        <f>'1_Departamento_n'!C32</f>
        <v>441422</v>
      </c>
      <c r="I1698" s="1">
        <f>'1_Departamento_n'!H32</f>
        <v>1310</v>
      </c>
      <c r="J1698" s="1">
        <f>'0_Parametros'!B7</f>
        <v>10</v>
      </c>
      <c r="K1698" s="3">
        <f>(I1698-SUM($J$1682:$J$1737))*G1698/H1698</f>
        <v>3.8891355664194354</v>
      </c>
      <c r="L1698" s="1">
        <f>INT(K1698)</f>
        <v>3</v>
      </c>
      <c r="M1698" s="3">
        <f>K1698-L1698</f>
        <v>0.8891355664194354</v>
      </c>
      <c r="N1698" s="1">
        <f>COUNTIF($M$1682:$M$1737,"&gt;"&amp;M1698)+COUNTIF($M$1682:M1698,M1698)</f>
        <v>8</v>
      </c>
      <c r="O1698" s="1">
        <f>J1698+L1698+IF(N1698&lt;=I1698-SUM($J$1682:$J$1737)-SUM($L$1682:$L$1737),1,0)</f>
        <v>14</v>
      </c>
    </row>
    <row r="1699" spans="1:15">
      <c r="A1699" s="1" t="s">
        <v>83</v>
      </c>
      <c r="B1699" s="1" t="s">
        <v>85</v>
      </c>
      <c r="C1699" s="1" t="s">
        <v>38</v>
      </c>
      <c r="D1699" s="1" t="s">
        <v>49</v>
      </c>
      <c r="E1699" s="1" t="s">
        <v>43</v>
      </c>
      <c r="F1699" s="1" t="s">
        <v>42</v>
      </c>
      <c r="G1699" s="1">
        <v>822</v>
      </c>
      <c r="H1699" s="1">
        <f>'1_Departamento_n'!C32</f>
        <v>441422</v>
      </c>
      <c r="I1699" s="1">
        <f>'1_Departamento_n'!H32</f>
        <v>1310</v>
      </c>
      <c r="J1699" s="1">
        <f>'0_Parametros'!B7</f>
        <v>10</v>
      </c>
      <c r="K1699" s="3">
        <f>(I1699-SUM($J$1682:$J$1737))*G1699/H1699</f>
        <v>1.396622732895053</v>
      </c>
      <c r="L1699" s="1">
        <f>INT(K1699)</f>
        <v>1</v>
      </c>
      <c r="M1699" s="3">
        <f>K1699-L1699</f>
        <v>0.3966227328950529</v>
      </c>
      <c r="N1699" s="1">
        <f>COUNTIF($M$1682:$M$1737,"&gt;"&amp;M1699)+COUNTIF($M$1682:M1699,M1699)</f>
        <v>39</v>
      </c>
      <c r="O1699" s="1">
        <f>J1699+L1699+IF(N1699&lt;=I1699-SUM($J$1682:$J$1737)-SUM($L$1682:$L$1737),1,0)</f>
        <v>11</v>
      </c>
    </row>
    <row r="1700" spans="1:15">
      <c r="A1700" s="1" t="s">
        <v>83</v>
      </c>
      <c r="B1700" s="1" t="s">
        <v>85</v>
      </c>
      <c r="C1700" s="1" t="s">
        <v>38</v>
      </c>
      <c r="D1700" s="1" t="s">
        <v>49</v>
      </c>
      <c r="E1700" s="1" t="s">
        <v>44</v>
      </c>
      <c r="F1700" s="1" t="s">
        <v>41</v>
      </c>
      <c r="G1700" s="1">
        <v>2725</v>
      </c>
      <c r="H1700" s="1">
        <f>'1_Departamento_n'!C32</f>
        <v>441422</v>
      </c>
      <c r="I1700" s="1">
        <f>'1_Departamento_n'!H32</f>
        <v>1310</v>
      </c>
      <c r="J1700" s="1">
        <f>'0_Parametros'!B7</f>
        <v>10</v>
      </c>
      <c r="K1700" s="3">
        <f>(I1700-SUM($J$1682:$J$1737))*G1700/H1700</f>
        <v>4.6299232933564705</v>
      </c>
      <c r="L1700" s="1">
        <f>INT(K1700)</f>
        <v>4</v>
      </c>
      <c r="M1700" s="3">
        <f>K1700-L1700</f>
        <v>0.6299232933564705</v>
      </c>
      <c r="N1700" s="1">
        <f>COUNTIF($M$1682:$M$1737,"&gt;"&amp;M1700)+COUNTIF($M$1682:M1700,M1700)</f>
        <v>27</v>
      </c>
      <c r="O1700" s="1">
        <f>J1700+L1700+IF(N1700&lt;=I1700-SUM($J$1682:$J$1737)-SUM($L$1682:$L$1737),1,0)</f>
        <v>15</v>
      </c>
    </row>
    <row r="1701" spans="1:15">
      <c r="A1701" s="1" t="s">
        <v>83</v>
      </c>
      <c r="B1701" s="1" t="s">
        <v>85</v>
      </c>
      <c r="C1701" s="1" t="s">
        <v>38</v>
      </c>
      <c r="D1701" s="1" t="s">
        <v>49</v>
      </c>
      <c r="E1701" s="1" t="s">
        <v>44</v>
      </c>
      <c r="F1701" s="1" t="s">
        <v>42</v>
      </c>
      <c r="G1701" s="1">
        <v>1617</v>
      </c>
      <c r="H1701" s="1">
        <f>'1_Departamento_n'!C32</f>
        <v>441422</v>
      </c>
      <c r="I1701" s="1">
        <f>'1_Departamento_n'!H32</f>
        <v>1310</v>
      </c>
      <c r="J1701" s="1">
        <f>'0_Parametros'!B7</f>
        <v>10</v>
      </c>
      <c r="K1701" s="3">
        <f>(I1701-SUM($J$1682:$J$1737))*G1701/H1701</f>
        <v>2.747370996461436</v>
      </c>
      <c r="L1701" s="1">
        <f>INT(K1701)</f>
        <v>2</v>
      </c>
      <c r="M1701" s="3">
        <f>K1701-L1701</f>
        <v>0.7473709964614361</v>
      </c>
      <c r="N1701" s="1">
        <f>COUNTIF($M$1682:$M$1737,"&gt;"&amp;M1701)+COUNTIF($M$1682:M1701,M1701)</f>
        <v>19</v>
      </c>
      <c r="O1701" s="1">
        <f>J1701+L1701+IF(N1701&lt;=I1701-SUM($J$1682:$J$1737)-SUM($L$1682:$L$1737),1,0)</f>
        <v>13</v>
      </c>
    </row>
    <row r="1702" spans="1:15">
      <c r="A1702" s="1" t="s">
        <v>83</v>
      </c>
      <c r="B1702" s="1" t="s">
        <v>85</v>
      </c>
      <c r="C1702" s="1" t="s">
        <v>38</v>
      </c>
      <c r="D1702" s="1" t="s">
        <v>49</v>
      </c>
      <c r="E1702" s="1" t="s">
        <v>45</v>
      </c>
      <c r="F1702" s="1" t="s">
        <v>41</v>
      </c>
      <c r="G1702" s="1">
        <v>3531</v>
      </c>
      <c r="H1702" s="1">
        <f>'1_Departamento_n'!C32</f>
        <v>441422</v>
      </c>
      <c r="I1702" s="1">
        <f>'1_Departamento_n'!H32</f>
        <v>1310</v>
      </c>
      <c r="J1702" s="1">
        <f>'0_Parametros'!B7</f>
        <v>10</v>
      </c>
      <c r="K1702" s="3">
        <f>(I1702-SUM($J$1682:$J$1737))*G1702/H1702</f>
        <v>5.999361155538238</v>
      </c>
      <c r="L1702" s="1">
        <f>INT(K1702)</f>
        <v>5</v>
      </c>
      <c r="M1702" s="3">
        <f>K1702-L1702</f>
        <v>0.9993611555382378</v>
      </c>
      <c r="N1702" s="1">
        <f>COUNTIF($M$1682:$M$1737,"&gt;"&amp;M1702)+COUNTIF($M$1682:M1702,M1702)</f>
        <v>1</v>
      </c>
      <c r="O1702" s="1">
        <f>J1702+L1702+IF(N1702&lt;=I1702-SUM($J$1682:$J$1737)-SUM($L$1682:$L$1737),1,0)</f>
        <v>16</v>
      </c>
    </row>
    <row r="1703" spans="1:15">
      <c r="A1703" s="1" t="s">
        <v>83</v>
      </c>
      <c r="B1703" s="1" t="s">
        <v>85</v>
      </c>
      <c r="C1703" s="1" t="s">
        <v>38</v>
      </c>
      <c r="D1703" s="1" t="s">
        <v>49</v>
      </c>
      <c r="E1703" s="1" t="s">
        <v>45</v>
      </c>
      <c r="F1703" s="1" t="s">
        <v>42</v>
      </c>
      <c r="G1703" s="1">
        <v>1806</v>
      </c>
      <c r="H1703" s="1">
        <f>'1_Departamento_n'!C32</f>
        <v>441422</v>
      </c>
      <c r="I1703" s="1">
        <f>'1_Departamento_n'!H32</f>
        <v>1310</v>
      </c>
      <c r="J1703" s="1">
        <f>'0_Parametros'!B7</f>
        <v>10</v>
      </c>
      <c r="K1703" s="3">
        <f>(I1703-SUM($J$1682:$J$1737))*G1703/H1703</f>
        <v>3.0684922817621234</v>
      </c>
      <c r="L1703" s="1">
        <f>INT(K1703)</f>
        <v>3</v>
      </c>
      <c r="M1703" s="3">
        <f>K1703-L1703</f>
        <v>0.06849228176212341</v>
      </c>
      <c r="N1703" s="1">
        <f>COUNTIF($M$1682:$M$1737,"&gt;"&amp;M1703)+COUNTIF($M$1682:M1703,M1703)</f>
        <v>55</v>
      </c>
      <c r="O1703" s="1">
        <f>J1703+L1703+IF(N1703&lt;=I1703-SUM($J$1682:$J$1737)-SUM($L$1682:$L$1737),1,0)</f>
        <v>13</v>
      </c>
    </row>
    <row r="1704" spans="1:15">
      <c r="A1704" s="1" t="s">
        <v>83</v>
      </c>
      <c r="B1704" s="1" t="s">
        <v>85</v>
      </c>
      <c r="C1704" s="1" t="s">
        <v>38</v>
      </c>
      <c r="D1704" s="1" t="s">
        <v>49</v>
      </c>
      <c r="E1704" s="1" t="s">
        <v>46</v>
      </c>
      <c r="F1704" s="1" t="s">
        <v>41</v>
      </c>
      <c r="G1704" s="1">
        <v>3054</v>
      </c>
      <c r="H1704" s="1">
        <f>'1_Departamento_n'!C32</f>
        <v>441422</v>
      </c>
      <c r="I1704" s="1">
        <f>'1_Departamento_n'!H32</f>
        <v>1310</v>
      </c>
      <c r="J1704" s="1">
        <f>'0_Parametros'!B7</f>
        <v>10</v>
      </c>
      <c r="K1704" s="3">
        <f>(I1704-SUM($J$1682:$J$1737))*G1704/H1704</f>
        <v>5.188912197398408</v>
      </c>
      <c r="L1704" s="1">
        <f>INT(K1704)</f>
        <v>5</v>
      </c>
      <c r="M1704" s="3">
        <f>K1704-L1704</f>
        <v>0.18891219739840803</v>
      </c>
      <c r="N1704" s="1">
        <f>COUNTIF($M$1682:$M$1737,"&gt;"&amp;M1704)+COUNTIF($M$1682:M1704,M1704)</f>
        <v>49</v>
      </c>
      <c r="O1704" s="1">
        <f>J1704+L1704+IF(N1704&lt;=I1704-SUM($J$1682:$J$1737)-SUM($L$1682:$L$1737),1,0)</f>
        <v>15</v>
      </c>
    </row>
    <row r="1705" spans="1:15">
      <c r="A1705" s="1" t="s">
        <v>83</v>
      </c>
      <c r="B1705" s="1" t="s">
        <v>85</v>
      </c>
      <c r="C1705" s="1" t="s">
        <v>38</v>
      </c>
      <c r="D1705" s="1" t="s">
        <v>49</v>
      </c>
      <c r="E1705" s="1" t="s">
        <v>46</v>
      </c>
      <c r="F1705" s="1" t="s">
        <v>42</v>
      </c>
      <c r="G1705" s="1">
        <v>1269</v>
      </c>
      <c r="H1705" s="1">
        <f>'1_Departamento_n'!C32</f>
        <v>441422</v>
      </c>
      <c r="I1705" s="1">
        <f>'1_Departamento_n'!H32</f>
        <v>1310</v>
      </c>
      <c r="J1705" s="1">
        <f>'0_Parametros'!B7</f>
        <v>10</v>
      </c>
      <c r="K1705" s="3">
        <f>(I1705-SUM($J$1682:$J$1737))*G1705/H1705</f>
        <v>2.156100058447472</v>
      </c>
      <c r="L1705" s="1">
        <f>INT(K1705)</f>
        <v>2</v>
      </c>
      <c r="M1705" s="3">
        <f>K1705-L1705</f>
        <v>0.1561000584474721</v>
      </c>
      <c r="N1705" s="1">
        <f>COUNTIF($M$1682:$M$1737,"&gt;"&amp;M1705)+COUNTIF($M$1682:M1705,M1705)</f>
        <v>50</v>
      </c>
      <c r="O1705" s="1">
        <f>J1705+L1705+IF(N1705&lt;=I1705-SUM($J$1682:$J$1737)-SUM($L$1682:$L$1737),1,0)</f>
        <v>12</v>
      </c>
    </row>
    <row r="1706" spans="1:15">
      <c r="A1706" s="1" t="s">
        <v>83</v>
      </c>
      <c r="B1706" s="1" t="s">
        <v>85</v>
      </c>
      <c r="C1706" s="1" t="s">
        <v>38</v>
      </c>
      <c r="D1706" s="1" t="s">
        <v>49</v>
      </c>
      <c r="E1706" s="1" t="s">
        <v>47</v>
      </c>
      <c r="F1706" s="1" t="s">
        <v>41</v>
      </c>
      <c r="G1706" s="1">
        <v>1749</v>
      </c>
      <c r="H1706" s="1">
        <f>'1_Departamento_n'!C32</f>
        <v>441422</v>
      </c>
      <c r="I1706" s="1">
        <f>'1_Departamento_n'!H32</f>
        <v>1310</v>
      </c>
      <c r="J1706" s="1">
        <f>'0_Parametros'!B7</f>
        <v>10</v>
      </c>
      <c r="K1706" s="3">
        <f>(I1706-SUM($J$1682:$J$1737))*G1706/H1706</f>
        <v>2.971646179846043</v>
      </c>
      <c r="L1706" s="1">
        <f>INT(K1706)</f>
        <v>2</v>
      </c>
      <c r="M1706" s="3">
        <f>K1706-L1706</f>
        <v>0.9716461798460432</v>
      </c>
      <c r="N1706" s="1">
        <f>COUNTIF($M$1682:$M$1737,"&gt;"&amp;M1706)+COUNTIF($M$1682:M1706,M1706)</f>
        <v>3</v>
      </c>
      <c r="O1706" s="1">
        <f>J1706+L1706+IF(N1706&lt;=I1706-SUM($J$1682:$J$1737)-SUM($L$1682:$L$1737),1,0)</f>
        <v>13</v>
      </c>
    </row>
    <row r="1707" spans="1:15">
      <c r="A1707" s="1" t="s">
        <v>83</v>
      </c>
      <c r="B1707" s="1" t="s">
        <v>85</v>
      </c>
      <c r="C1707" s="1" t="s">
        <v>38</v>
      </c>
      <c r="D1707" s="1" t="s">
        <v>49</v>
      </c>
      <c r="E1707" s="1" t="s">
        <v>47</v>
      </c>
      <c r="F1707" s="1" t="s">
        <v>42</v>
      </c>
      <c r="G1707" s="1">
        <v>565</v>
      </c>
      <c r="H1707" s="1">
        <f>'1_Departamento_n'!C32</f>
        <v>441422</v>
      </c>
      <c r="I1707" s="1">
        <f>'1_Departamento_n'!H32</f>
        <v>1310</v>
      </c>
      <c r="J1707" s="1">
        <f>'0_Parametros'!B7</f>
        <v>10</v>
      </c>
      <c r="K1707" s="3">
        <f>(I1707-SUM($J$1682:$J$1737))*G1707/H1707</f>
        <v>0.9599657470629013</v>
      </c>
      <c r="L1707" s="1">
        <f>INT(K1707)</f>
        <v>0</v>
      </c>
      <c r="M1707" s="3">
        <f>K1707-L1707</f>
        <v>0.9599657470629013</v>
      </c>
      <c r="N1707" s="1">
        <f>COUNTIF($M$1682:$M$1737,"&gt;"&amp;M1707)+COUNTIF($M$1682:M1707,M1707)</f>
        <v>4</v>
      </c>
      <c r="O1707" s="1">
        <f>J1707+L1707+IF(N1707&lt;=I1707-SUM($J$1682:$J$1737)-SUM($L$1682:$L$1737),1,0)</f>
        <v>11</v>
      </c>
    </row>
    <row r="1708" spans="1:15">
      <c r="A1708" s="1" t="s">
        <v>83</v>
      </c>
      <c r="B1708" s="1" t="s">
        <v>85</v>
      </c>
      <c r="C1708" s="1" t="s">
        <v>38</v>
      </c>
      <c r="D1708" s="1" t="s">
        <v>49</v>
      </c>
      <c r="E1708" s="1" t="s">
        <v>48</v>
      </c>
      <c r="F1708" s="1" t="s">
        <v>41</v>
      </c>
      <c r="G1708" s="1">
        <v>2163</v>
      </c>
      <c r="H1708" s="1">
        <f>'1_Departamento_n'!C32</f>
        <v>441422</v>
      </c>
      <c r="I1708" s="1">
        <f>'1_Departamento_n'!H32</f>
        <v>1310</v>
      </c>
      <c r="J1708" s="1">
        <f>'0_Parametros'!B7</f>
        <v>10</v>
      </c>
      <c r="K1708" s="3">
        <f>(I1708-SUM($J$1682:$J$1737))*G1708/H1708</f>
        <v>3.6750547095523105</v>
      </c>
      <c r="L1708" s="1">
        <f>INT(K1708)</f>
        <v>3</v>
      </c>
      <c r="M1708" s="3">
        <f>K1708-L1708</f>
        <v>0.6750547095523105</v>
      </c>
      <c r="N1708" s="1">
        <f>COUNTIF($M$1682:$M$1737,"&gt;"&amp;M1708)+COUNTIF($M$1682:M1708,M1708)</f>
        <v>24</v>
      </c>
      <c r="O1708" s="1">
        <f>J1708+L1708+IF(N1708&lt;=I1708-SUM($J$1682:$J$1737)-SUM($L$1682:$L$1737),1,0)</f>
        <v>14</v>
      </c>
    </row>
    <row r="1709" spans="1:15">
      <c r="A1709" s="1" t="s">
        <v>83</v>
      </c>
      <c r="B1709" s="1" t="s">
        <v>85</v>
      </c>
      <c r="C1709" s="1" t="s">
        <v>38</v>
      </c>
      <c r="D1709" s="1" t="s">
        <v>49</v>
      </c>
      <c r="E1709" s="1" t="s">
        <v>48</v>
      </c>
      <c r="F1709" s="1" t="s">
        <v>42</v>
      </c>
      <c r="G1709" s="1">
        <v>383</v>
      </c>
      <c r="H1709" s="1">
        <f>'1_Departamento_n'!C32</f>
        <v>441422</v>
      </c>
      <c r="I1709" s="1">
        <f>'1_Departamento_n'!H32</f>
        <v>1310</v>
      </c>
      <c r="J1709" s="1">
        <f>'0_Parametros'!B7</f>
        <v>10</v>
      </c>
      <c r="K1709" s="3">
        <f>(I1709-SUM($J$1682:$J$1737))*G1709/H1709</f>
        <v>0.6507378426992765</v>
      </c>
      <c r="L1709" s="1">
        <f>INT(K1709)</f>
        <v>0</v>
      </c>
      <c r="M1709" s="3">
        <f>K1709-L1709</f>
        <v>0.6507378426992765</v>
      </c>
      <c r="N1709" s="1">
        <f>COUNTIF($M$1682:$M$1737,"&gt;"&amp;M1709)+COUNTIF($M$1682:M1709,M1709)</f>
        <v>25</v>
      </c>
      <c r="O1709" s="1">
        <f>J1709+L1709+IF(N1709&lt;=I1709-SUM($J$1682:$J$1737)-SUM($L$1682:$L$1737),1,0)</f>
        <v>11</v>
      </c>
    </row>
    <row r="1710" spans="1:15">
      <c r="A1710" s="1" t="s">
        <v>83</v>
      </c>
      <c r="B1710" s="1" t="s">
        <v>85</v>
      </c>
      <c r="C1710" s="1" t="s">
        <v>50</v>
      </c>
      <c r="D1710" s="1" t="s">
        <v>39</v>
      </c>
      <c r="E1710" s="1" t="s">
        <v>40</v>
      </c>
      <c r="F1710" s="1" t="s">
        <v>41</v>
      </c>
      <c r="G1710" s="1">
        <v>17434</v>
      </c>
      <c r="H1710" s="1">
        <f>'1_Departamento_n'!C32</f>
        <v>441422</v>
      </c>
      <c r="I1710" s="1">
        <f>'1_Departamento_n'!H32</f>
        <v>1310</v>
      </c>
      <c r="J1710" s="1">
        <f>'0_Parametros'!B7</f>
        <v>10</v>
      </c>
      <c r="K1710" s="3">
        <f>(I1710-SUM($J$1682:$J$1737))*G1710/H1710</f>
        <v>29.62131475096393</v>
      </c>
      <c r="L1710" s="1">
        <f>INT(K1710)</f>
        <v>29</v>
      </c>
      <c r="M1710" s="3">
        <f>K1710-L1710</f>
        <v>0.6213147509639292</v>
      </c>
      <c r="N1710" s="1">
        <f>COUNTIF($M$1682:$M$1737,"&gt;"&amp;M1710)+COUNTIF($M$1682:M1710,M1710)</f>
        <v>30</v>
      </c>
      <c r="O1710" s="1">
        <f>J1710+L1710+IF(N1710&lt;=I1710-SUM($J$1682:$J$1737)-SUM($L$1682:$L$1737),1,0)</f>
        <v>40</v>
      </c>
    </row>
    <row r="1711" spans="1:15">
      <c r="A1711" s="1" t="s">
        <v>83</v>
      </c>
      <c r="B1711" s="1" t="s">
        <v>85</v>
      </c>
      <c r="C1711" s="1" t="s">
        <v>50</v>
      </c>
      <c r="D1711" s="1" t="s">
        <v>39</v>
      </c>
      <c r="E1711" s="1" t="s">
        <v>40</v>
      </c>
      <c r="F1711" s="1" t="s">
        <v>42</v>
      </c>
      <c r="G1711" s="1">
        <v>23203</v>
      </c>
      <c r="H1711" s="1">
        <f>'1_Departamento_n'!C32</f>
        <v>441422</v>
      </c>
      <c r="I1711" s="1">
        <f>'1_Departamento_n'!H32</f>
        <v>1310</v>
      </c>
      <c r="J1711" s="1">
        <f>'0_Parametros'!B7</f>
        <v>10</v>
      </c>
      <c r="K1711" s="3">
        <f>(I1711-SUM($J$1682:$J$1737))*G1711/H1711</f>
        <v>39.423159697523005</v>
      </c>
      <c r="L1711" s="1">
        <f>INT(K1711)</f>
        <v>39</v>
      </c>
      <c r="M1711" s="3">
        <f>K1711-L1711</f>
        <v>0.42315969752300475</v>
      </c>
      <c r="N1711" s="1">
        <f>COUNTIF($M$1682:$M$1737,"&gt;"&amp;M1711)+COUNTIF($M$1682:M1711,M1711)</f>
        <v>38</v>
      </c>
      <c r="O1711" s="1">
        <f>J1711+L1711+IF(N1711&lt;=I1711-SUM($J$1682:$J$1737)-SUM($L$1682:$L$1737),1,0)</f>
        <v>49</v>
      </c>
    </row>
    <row r="1712" spans="1:15">
      <c r="A1712" s="1" t="s">
        <v>83</v>
      </c>
      <c r="B1712" s="1" t="s">
        <v>85</v>
      </c>
      <c r="C1712" s="1" t="s">
        <v>50</v>
      </c>
      <c r="D1712" s="1" t="s">
        <v>39</v>
      </c>
      <c r="E1712" s="1" t="s">
        <v>43</v>
      </c>
      <c r="F1712" s="1" t="s">
        <v>41</v>
      </c>
      <c r="G1712" s="1">
        <v>22206</v>
      </c>
      <c r="H1712" s="1">
        <f>'1_Departamento_n'!C32</f>
        <v>441422</v>
      </c>
      <c r="I1712" s="1">
        <f>'1_Departamento_n'!H32</f>
        <v>1310</v>
      </c>
      <c r="J1712" s="1">
        <f>'0_Parametros'!B7</f>
        <v>10</v>
      </c>
      <c r="K1712" s="3">
        <f>(I1712-SUM($J$1682:$J$1737))*G1712/H1712</f>
        <v>37.72920244120139</v>
      </c>
      <c r="L1712" s="1">
        <f>INT(K1712)</f>
        <v>37</v>
      </c>
      <c r="M1712" s="3">
        <f>K1712-L1712</f>
        <v>0.7292024412013873</v>
      </c>
      <c r="N1712" s="1">
        <f>COUNTIF($M$1682:$M$1737,"&gt;"&amp;M1712)+COUNTIF($M$1682:M1712,M1712)</f>
        <v>21</v>
      </c>
      <c r="O1712" s="1">
        <f>J1712+L1712+IF(N1712&lt;=I1712-SUM($J$1682:$J$1737)-SUM($L$1682:$L$1737),1,0)</f>
        <v>48</v>
      </c>
    </row>
    <row r="1713" spans="1:15">
      <c r="A1713" s="1" t="s">
        <v>83</v>
      </c>
      <c r="B1713" s="1" t="s">
        <v>85</v>
      </c>
      <c r="C1713" s="1" t="s">
        <v>50</v>
      </c>
      <c r="D1713" s="1" t="s">
        <v>39</v>
      </c>
      <c r="E1713" s="1" t="s">
        <v>43</v>
      </c>
      <c r="F1713" s="1" t="s">
        <v>42</v>
      </c>
      <c r="G1713" s="1">
        <v>22642</v>
      </c>
      <c r="H1713" s="1">
        <f>'1_Departamento_n'!C32</f>
        <v>441422</v>
      </c>
      <c r="I1713" s="1">
        <f>'1_Departamento_n'!H32</f>
        <v>1310</v>
      </c>
      <c r="J1713" s="1">
        <f>'0_Parametros'!B7</f>
        <v>10</v>
      </c>
      <c r="K1713" s="3">
        <f>(I1713-SUM($J$1682:$J$1737))*G1713/H1713</f>
        <v>38.46999016813842</v>
      </c>
      <c r="L1713" s="1">
        <f>INT(K1713)</f>
        <v>38</v>
      </c>
      <c r="M1713" s="3">
        <f>K1713-L1713</f>
        <v>0.4699901681384233</v>
      </c>
      <c r="N1713" s="1">
        <f>COUNTIF($M$1682:$M$1737,"&gt;"&amp;M1713)+COUNTIF($M$1682:M1713,M1713)</f>
        <v>36</v>
      </c>
      <c r="O1713" s="1">
        <f>J1713+L1713+IF(N1713&lt;=I1713-SUM($J$1682:$J$1737)-SUM($L$1682:$L$1737),1,0)</f>
        <v>48</v>
      </c>
    </row>
    <row r="1714" spans="1:15">
      <c r="A1714" s="1" t="s">
        <v>83</v>
      </c>
      <c r="B1714" s="1" t="s">
        <v>85</v>
      </c>
      <c r="C1714" s="1" t="s">
        <v>50</v>
      </c>
      <c r="D1714" s="1" t="s">
        <v>39</v>
      </c>
      <c r="E1714" s="1" t="s">
        <v>44</v>
      </c>
      <c r="F1714" s="1" t="s">
        <v>41</v>
      </c>
      <c r="G1714" s="1">
        <v>17239</v>
      </c>
      <c r="H1714" s="1">
        <f>'1_Departamento_n'!C32</f>
        <v>441422</v>
      </c>
      <c r="I1714" s="1">
        <f>'1_Departamento_n'!H32</f>
        <v>1310</v>
      </c>
      <c r="J1714" s="1">
        <f>'0_Parametros'!B7</f>
        <v>10</v>
      </c>
      <c r="K1714" s="3">
        <f>(I1714-SUM($J$1682:$J$1737))*G1714/H1714</f>
        <v>29.28999913914576</v>
      </c>
      <c r="L1714" s="1">
        <f>INT(K1714)</f>
        <v>29</v>
      </c>
      <c r="M1714" s="3">
        <f>K1714-L1714</f>
        <v>0.2899991391457597</v>
      </c>
      <c r="N1714" s="1">
        <f>COUNTIF($M$1682:$M$1737,"&gt;"&amp;M1714)+COUNTIF($M$1682:M1714,M1714)</f>
        <v>45</v>
      </c>
      <c r="O1714" s="1">
        <f>J1714+L1714+IF(N1714&lt;=I1714-SUM($J$1682:$J$1737)-SUM($L$1682:$L$1737),1,0)</f>
        <v>39</v>
      </c>
    </row>
    <row r="1715" spans="1:15">
      <c r="A1715" s="1" t="s">
        <v>83</v>
      </c>
      <c r="B1715" s="1" t="s">
        <v>85</v>
      </c>
      <c r="C1715" s="1" t="s">
        <v>50</v>
      </c>
      <c r="D1715" s="1" t="s">
        <v>39</v>
      </c>
      <c r="E1715" s="1" t="s">
        <v>44</v>
      </c>
      <c r="F1715" s="1" t="s">
        <v>42</v>
      </c>
      <c r="G1715" s="1">
        <v>15940</v>
      </c>
      <c r="H1715" s="1">
        <f>'1_Departamento_n'!C32</f>
        <v>441422</v>
      </c>
      <c r="I1715" s="1">
        <f>'1_Departamento_n'!H32</f>
        <v>1310</v>
      </c>
      <c r="J1715" s="1">
        <f>'0_Parametros'!B7</f>
        <v>10</v>
      </c>
      <c r="K1715" s="3">
        <f>(I1715-SUM($J$1682:$J$1737))*G1715/H1715</f>
        <v>27.08292744811088</v>
      </c>
      <c r="L1715" s="1">
        <f>INT(K1715)</f>
        <v>27</v>
      </c>
      <c r="M1715" s="3">
        <f>K1715-L1715</f>
        <v>0.08292744811087971</v>
      </c>
      <c r="N1715" s="1">
        <f>COUNTIF($M$1682:$M$1737,"&gt;"&amp;M1715)+COUNTIF($M$1682:M1715,M1715)</f>
        <v>54</v>
      </c>
      <c r="O1715" s="1">
        <f>J1715+L1715+IF(N1715&lt;=I1715-SUM($J$1682:$J$1737)-SUM($L$1682:$L$1737),1,0)</f>
        <v>37</v>
      </c>
    </row>
    <row r="1716" spans="1:15">
      <c r="A1716" s="1" t="s">
        <v>83</v>
      </c>
      <c r="B1716" s="1" t="s">
        <v>85</v>
      </c>
      <c r="C1716" s="1" t="s">
        <v>50</v>
      </c>
      <c r="D1716" s="1" t="s">
        <v>39</v>
      </c>
      <c r="E1716" s="1" t="s">
        <v>45</v>
      </c>
      <c r="F1716" s="1" t="s">
        <v>41</v>
      </c>
      <c r="G1716" s="1">
        <v>15202</v>
      </c>
      <c r="H1716" s="1">
        <f>'1_Departamento_n'!C32</f>
        <v>441422</v>
      </c>
      <c r="I1716" s="1">
        <f>'1_Departamento_n'!H32</f>
        <v>1310</v>
      </c>
      <c r="J1716" s="1">
        <f>'0_Parametros'!B7</f>
        <v>10</v>
      </c>
      <c r="K1716" s="3">
        <f>(I1716-SUM($J$1682:$J$1737))*G1716/H1716</f>
        <v>25.829025286460574</v>
      </c>
      <c r="L1716" s="1">
        <f>INT(K1716)</f>
        <v>25</v>
      </c>
      <c r="M1716" s="3">
        <f>K1716-L1716</f>
        <v>0.829025286460574</v>
      </c>
      <c r="N1716" s="1">
        <f>COUNTIF($M$1682:$M$1737,"&gt;"&amp;M1716)+COUNTIF($M$1682:M1716,M1716)</f>
        <v>15</v>
      </c>
      <c r="O1716" s="1">
        <f>J1716+L1716+IF(N1716&lt;=I1716-SUM($J$1682:$J$1737)-SUM($L$1682:$L$1737),1,0)</f>
        <v>36</v>
      </c>
    </row>
    <row r="1717" spans="1:15">
      <c r="A1717" s="1" t="s">
        <v>83</v>
      </c>
      <c r="B1717" s="1" t="s">
        <v>85</v>
      </c>
      <c r="C1717" s="1" t="s">
        <v>50</v>
      </c>
      <c r="D1717" s="1" t="s">
        <v>39</v>
      </c>
      <c r="E1717" s="1" t="s">
        <v>45</v>
      </c>
      <c r="F1717" s="1" t="s">
        <v>42</v>
      </c>
      <c r="G1717" s="1">
        <v>11666</v>
      </c>
      <c r="H1717" s="1">
        <f>'1_Departamento_n'!C32</f>
        <v>441422</v>
      </c>
      <c r="I1717" s="1">
        <f>'1_Departamento_n'!H32</f>
        <v>1310</v>
      </c>
      <c r="J1717" s="1">
        <f>'0_Parametros'!B7</f>
        <v>10</v>
      </c>
      <c r="K1717" s="3">
        <f>(I1717-SUM($J$1682:$J$1737))*G1717/H1717</f>
        <v>19.821168858824436</v>
      </c>
      <c r="L1717" s="1">
        <f>INT(K1717)</f>
        <v>19</v>
      </c>
      <c r="M1717" s="3">
        <f>K1717-L1717</f>
        <v>0.8211688588244357</v>
      </c>
      <c r="N1717" s="1">
        <f>COUNTIF($M$1682:$M$1737,"&gt;"&amp;M1717)+COUNTIF($M$1682:M1717,M1717)</f>
        <v>16</v>
      </c>
      <c r="O1717" s="1">
        <f>J1717+L1717+IF(N1717&lt;=I1717-SUM($J$1682:$J$1737)-SUM($L$1682:$L$1737),1,0)</f>
        <v>30</v>
      </c>
    </row>
    <row r="1718" spans="1:15">
      <c r="A1718" s="1" t="s">
        <v>83</v>
      </c>
      <c r="B1718" s="1" t="s">
        <v>85</v>
      </c>
      <c r="C1718" s="1" t="s">
        <v>50</v>
      </c>
      <c r="D1718" s="1" t="s">
        <v>39</v>
      </c>
      <c r="E1718" s="1" t="s">
        <v>46</v>
      </c>
      <c r="F1718" s="1" t="s">
        <v>41</v>
      </c>
      <c r="G1718" s="1">
        <v>10907</v>
      </c>
      <c r="H1718" s="1">
        <f>'1_Departamento_n'!C32</f>
        <v>441422</v>
      </c>
      <c r="I1718" s="1">
        <f>'1_Departamento_n'!H32</f>
        <v>1310</v>
      </c>
      <c r="J1718" s="1">
        <f>'0_Parametros'!B7</f>
        <v>10</v>
      </c>
      <c r="K1718" s="3">
        <f>(I1718-SUM($J$1682:$J$1737))*G1718/H1718</f>
        <v>18.531586554362946</v>
      </c>
      <c r="L1718" s="1">
        <f>INT(K1718)</f>
        <v>18</v>
      </c>
      <c r="M1718" s="3">
        <f>K1718-L1718</f>
        <v>0.5315865543629457</v>
      </c>
      <c r="N1718" s="1">
        <f>COUNTIF($M$1682:$M$1737,"&gt;"&amp;M1718)+COUNTIF($M$1682:M1718,M1718)</f>
        <v>33</v>
      </c>
      <c r="O1718" s="1">
        <f>J1718+L1718+IF(N1718&lt;=I1718-SUM($J$1682:$J$1737)-SUM($L$1682:$L$1737),1,0)</f>
        <v>28</v>
      </c>
    </row>
    <row r="1719" spans="1:15">
      <c r="A1719" s="1" t="s">
        <v>83</v>
      </c>
      <c r="B1719" s="1" t="s">
        <v>85</v>
      </c>
      <c r="C1719" s="1" t="s">
        <v>50</v>
      </c>
      <c r="D1719" s="1" t="s">
        <v>39</v>
      </c>
      <c r="E1719" s="1" t="s">
        <v>46</v>
      </c>
      <c r="F1719" s="1" t="s">
        <v>42</v>
      </c>
      <c r="G1719" s="1">
        <v>8779</v>
      </c>
      <c r="H1719" s="1">
        <f>'1_Departamento_n'!C32</f>
        <v>441422</v>
      </c>
      <c r="I1719" s="1">
        <f>'1_Departamento_n'!H32</f>
        <v>1310</v>
      </c>
      <c r="J1719" s="1">
        <f>'0_Parametros'!B7</f>
        <v>10</v>
      </c>
      <c r="K1719" s="3">
        <f>(I1719-SUM($J$1682:$J$1737))*G1719/H1719</f>
        <v>14.915998749495948</v>
      </c>
      <c r="L1719" s="1">
        <f>INT(K1719)</f>
        <v>14</v>
      </c>
      <c r="M1719" s="3">
        <f>K1719-L1719</f>
        <v>0.9159987494959481</v>
      </c>
      <c r="N1719" s="1">
        <f>COUNTIF($M$1682:$M$1737,"&gt;"&amp;M1719)+COUNTIF($M$1682:M1719,M1719)</f>
        <v>7</v>
      </c>
      <c r="O1719" s="1">
        <f>J1719+L1719+IF(N1719&lt;=I1719-SUM($J$1682:$J$1737)-SUM($L$1682:$L$1737),1,0)</f>
        <v>25</v>
      </c>
    </row>
    <row r="1720" spans="1:15">
      <c r="A1720" s="1" t="s">
        <v>83</v>
      </c>
      <c r="B1720" s="1" t="s">
        <v>85</v>
      </c>
      <c r="C1720" s="1" t="s">
        <v>50</v>
      </c>
      <c r="D1720" s="1" t="s">
        <v>39</v>
      </c>
      <c r="E1720" s="1" t="s">
        <v>47</v>
      </c>
      <c r="F1720" s="1" t="s">
        <v>41</v>
      </c>
      <c r="G1720" s="1">
        <v>7433</v>
      </c>
      <c r="H1720" s="1">
        <f>'1_Departamento_n'!C32</f>
        <v>441422</v>
      </c>
      <c r="I1720" s="1">
        <f>'1_Departamento_n'!H32</f>
        <v>1310</v>
      </c>
      <c r="J1720" s="1">
        <f>'0_Parametros'!B7</f>
        <v>10</v>
      </c>
      <c r="K1720" s="3">
        <f>(I1720-SUM($J$1682:$J$1737))*G1720/H1720</f>
        <v>12.629071500740787</v>
      </c>
      <c r="L1720" s="1">
        <f>INT(K1720)</f>
        <v>12</v>
      </c>
      <c r="M1720" s="3">
        <f>K1720-L1720</f>
        <v>0.6290715007407872</v>
      </c>
      <c r="N1720" s="1">
        <f>COUNTIF($M$1682:$M$1737,"&gt;"&amp;M1720)+COUNTIF($M$1682:M1720,M1720)</f>
        <v>28</v>
      </c>
      <c r="O1720" s="1">
        <f>J1720+L1720+IF(N1720&lt;=I1720-SUM($J$1682:$J$1737)-SUM($L$1682:$L$1737),1,0)</f>
        <v>23</v>
      </c>
    </row>
    <row r="1721" spans="1:15">
      <c r="A1721" s="1" t="s">
        <v>83</v>
      </c>
      <c r="B1721" s="1" t="s">
        <v>85</v>
      </c>
      <c r="C1721" s="1" t="s">
        <v>50</v>
      </c>
      <c r="D1721" s="1" t="s">
        <v>39</v>
      </c>
      <c r="E1721" s="1" t="s">
        <v>47</v>
      </c>
      <c r="F1721" s="1" t="s">
        <v>42</v>
      </c>
      <c r="G1721" s="1">
        <v>6323</v>
      </c>
      <c r="H1721" s="1">
        <f>'1_Departamento_n'!C32</f>
        <v>441422</v>
      </c>
      <c r="I1721" s="1">
        <f>'1_Departamento_n'!H32</f>
        <v>1310</v>
      </c>
      <c r="J1721" s="1">
        <f>'0_Parametros'!B7</f>
        <v>10</v>
      </c>
      <c r="K1721" s="3">
        <f>(I1721-SUM($J$1682:$J$1737))*G1721/H1721</f>
        <v>10.743121095006593</v>
      </c>
      <c r="L1721" s="1">
        <f>INT(K1721)</f>
        <v>10</v>
      </c>
      <c r="M1721" s="3">
        <f>K1721-L1721</f>
        <v>0.7431210950065932</v>
      </c>
      <c r="N1721" s="1">
        <f>COUNTIF($M$1682:$M$1737,"&gt;"&amp;M1721)+COUNTIF($M$1682:M1721,M1721)</f>
        <v>20</v>
      </c>
      <c r="O1721" s="1">
        <f>J1721+L1721+IF(N1721&lt;=I1721-SUM($J$1682:$J$1737)-SUM($L$1682:$L$1737),1,0)</f>
        <v>21</v>
      </c>
    </row>
    <row r="1722" spans="1:15">
      <c r="A1722" s="1" t="s">
        <v>83</v>
      </c>
      <c r="B1722" s="1" t="s">
        <v>85</v>
      </c>
      <c r="C1722" s="1" t="s">
        <v>50</v>
      </c>
      <c r="D1722" s="1" t="s">
        <v>39</v>
      </c>
      <c r="E1722" s="1" t="s">
        <v>48</v>
      </c>
      <c r="F1722" s="1" t="s">
        <v>41</v>
      </c>
      <c r="G1722" s="1">
        <v>11380</v>
      </c>
      <c r="H1722" s="1">
        <f>'1_Departamento_n'!C32</f>
        <v>441422</v>
      </c>
      <c r="I1722" s="1">
        <f>'1_Departamento_n'!H32</f>
        <v>1310</v>
      </c>
      <c r="J1722" s="1">
        <f>'0_Parametros'!B7</f>
        <v>10</v>
      </c>
      <c r="K1722" s="3">
        <f>(I1722-SUM($J$1682:$J$1737))*G1722/H1722</f>
        <v>19.335239294824454</v>
      </c>
      <c r="L1722" s="1">
        <f>INT(K1722)</f>
        <v>19</v>
      </c>
      <c r="M1722" s="3">
        <f>K1722-L1722</f>
        <v>0.33523929482445425</v>
      </c>
      <c r="N1722" s="1">
        <f>COUNTIF($M$1682:$M$1737,"&gt;"&amp;M1722)+COUNTIF($M$1682:M1722,M1722)</f>
        <v>41</v>
      </c>
      <c r="O1722" s="1">
        <f>J1722+L1722+IF(N1722&lt;=I1722-SUM($J$1682:$J$1737)-SUM($L$1682:$L$1737),1,0)</f>
        <v>29</v>
      </c>
    </row>
    <row r="1723" spans="1:15">
      <c r="A1723" s="1" t="s">
        <v>83</v>
      </c>
      <c r="B1723" s="1" t="s">
        <v>85</v>
      </c>
      <c r="C1723" s="1" t="s">
        <v>50</v>
      </c>
      <c r="D1723" s="1" t="s">
        <v>39</v>
      </c>
      <c r="E1723" s="1" t="s">
        <v>48</v>
      </c>
      <c r="F1723" s="1" t="s">
        <v>42</v>
      </c>
      <c r="G1723" s="1">
        <v>9746</v>
      </c>
      <c r="H1723" s="1">
        <f>'1_Departamento_n'!C32</f>
        <v>441422</v>
      </c>
      <c r="I1723" s="1">
        <f>'1_Departamento_n'!H32</f>
        <v>1310</v>
      </c>
      <c r="J1723" s="1">
        <f>'0_Parametros'!B7</f>
        <v>10</v>
      </c>
      <c r="K1723" s="3">
        <f>(I1723-SUM($J$1682:$J$1737))*G1723/H1723</f>
        <v>16.558984373230153</v>
      </c>
      <c r="L1723" s="1">
        <f>INT(K1723)</f>
        <v>16</v>
      </c>
      <c r="M1723" s="3">
        <f>K1723-L1723</f>
        <v>0.5589843732301532</v>
      </c>
      <c r="N1723" s="1">
        <f>COUNTIF($M$1682:$M$1737,"&gt;"&amp;M1723)+COUNTIF($M$1682:M1723,M1723)</f>
        <v>32</v>
      </c>
      <c r="O1723" s="1">
        <f>J1723+L1723+IF(N1723&lt;=I1723-SUM($J$1682:$J$1737)-SUM($L$1682:$L$1737),1,0)</f>
        <v>27</v>
      </c>
    </row>
    <row r="1724" spans="1:15">
      <c r="A1724" s="1" t="s">
        <v>83</v>
      </c>
      <c r="B1724" s="1" t="s">
        <v>85</v>
      </c>
      <c r="C1724" s="1" t="s">
        <v>50</v>
      </c>
      <c r="D1724" s="1" t="s">
        <v>49</v>
      </c>
      <c r="E1724" s="1" t="s">
        <v>40</v>
      </c>
      <c r="F1724" s="1" t="s">
        <v>41</v>
      </c>
      <c r="G1724" s="1">
        <v>18168</v>
      </c>
      <c r="H1724" s="1">
        <f>'1_Departamento_n'!C32</f>
        <v>441422</v>
      </c>
      <c r="I1724" s="1">
        <f>'1_Departamento_n'!H32</f>
        <v>1310</v>
      </c>
      <c r="J1724" s="1">
        <f>'0_Parametros'!B7</f>
        <v>10</v>
      </c>
      <c r="K1724" s="3">
        <f>(I1724-SUM($J$1682:$J$1737))*G1724/H1724</f>
        <v>30.86842069493591</v>
      </c>
      <c r="L1724" s="1">
        <f>INT(K1724)</f>
        <v>30</v>
      </c>
      <c r="M1724" s="3">
        <f>K1724-L1724</f>
        <v>0.8684206949359101</v>
      </c>
      <c r="N1724" s="1">
        <f>COUNTIF($M$1682:$M$1737,"&gt;"&amp;M1724)+COUNTIF($M$1682:M1724,M1724)</f>
        <v>11</v>
      </c>
      <c r="O1724" s="1">
        <f>J1724+L1724+IF(N1724&lt;=I1724-SUM($J$1682:$J$1737)-SUM($L$1682:$L$1737),1,0)</f>
        <v>41</v>
      </c>
    </row>
    <row r="1725" spans="1:15">
      <c r="A1725" s="1" t="s">
        <v>83</v>
      </c>
      <c r="B1725" s="1" t="s">
        <v>85</v>
      </c>
      <c r="C1725" s="1" t="s">
        <v>50</v>
      </c>
      <c r="D1725" s="1" t="s">
        <v>49</v>
      </c>
      <c r="E1725" s="1" t="s">
        <v>40</v>
      </c>
      <c r="F1725" s="1" t="s">
        <v>42</v>
      </c>
      <c r="G1725" s="1">
        <v>24046</v>
      </c>
      <c r="H1725" s="1">
        <f>'1_Departamento_n'!C32</f>
        <v>441422</v>
      </c>
      <c r="I1725" s="1">
        <f>'1_Departamento_n'!H32</f>
        <v>1310</v>
      </c>
      <c r="J1725" s="1">
        <f>'0_Parametros'!B7</f>
        <v>10</v>
      </c>
      <c r="K1725" s="3">
        <f>(I1725-SUM($J$1682:$J$1737))*G1725/H1725</f>
        <v>40.85546257322925</v>
      </c>
      <c r="L1725" s="1">
        <f>INT(K1725)</f>
        <v>40</v>
      </c>
      <c r="M1725" s="3">
        <f>K1725-L1725</f>
        <v>0.8554625732292465</v>
      </c>
      <c r="N1725" s="1">
        <f>COUNTIF($M$1682:$M$1737,"&gt;"&amp;M1725)+COUNTIF($M$1682:M1725,M1725)</f>
        <v>13</v>
      </c>
      <c r="O1725" s="1">
        <f>J1725+L1725+IF(N1725&lt;=I1725-SUM($J$1682:$J$1737)-SUM($L$1682:$L$1737),1,0)</f>
        <v>51</v>
      </c>
    </row>
    <row r="1726" spans="1:15">
      <c r="A1726" s="1" t="s">
        <v>83</v>
      </c>
      <c r="B1726" s="1" t="s">
        <v>85</v>
      </c>
      <c r="C1726" s="1" t="s">
        <v>50</v>
      </c>
      <c r="D1726" s="1" t="s">
        <v>49</v>
      </c>
      <c r="E1726" s="1" t="s">
        <v>43</v>
      </c>
      <c r="F1726" s="1" t="s">
        <v>41</v>
      </c>
      <c r="G1726" s="1">
        <v>22644</v>
      </c>
      <c r="H1726" s="1">
        <f>'1_Departamento_n'!C32</f>
        <v>441422</v>
      </c>
      <c r="I1726" s="1">
        <f>'1_Departamento_n'!H32</f>
        <v>1310</v>
      </c>
      <c r="J1726" s="1">
        <f>'0_Parametros'!B7</f>
        <v>10</v>
      </c>
      <c r="K1726" s="3">
        <f>(I1726-SUM($J$1682:$J$1737))*G1726/H1726</f>
        <v>38.47338827697759</v>
      </c>
      <c r="L1726" s="1">
        <f>INT(K1726)</f>
        <v>38</v>
      </c>
      <c r="M1726" s="3">
        <f>K1726-L1726</f>
        <v>0.47338827697758745</v>
      </c>
      <c r="N1726" s="1">
        <f>COUNTIF($M$1682:$M$1737,"&gt;"&amp;M1726)+COUNTIF($M$1682:M1726,M1726)</f>
        <v>35</v>
      </c>
      <c r="O1726" s="1">
        <f>J1726+L1726+IF(N1726&lt;=I1726-SUM($J$1682:$J$1737)-SUM($L$1682:$L$1737),1,0)</f>
        <v>48</v>
      </c>
    </row>
    <row r="1727" spans="1:15">
      <c r="A1727" s="1" t="s">
        <v>83</v>
      </c>
      <c r="B1727" s="1" t="s">
        <v>85</v>
      </c>
      <c r="C1727" s="1" t="s">
        <v>50</v>
      </c>
      <c r="D1727" s="1" t="s">
        <v>49</v>
      </c>
      <c r="E1727" s="1" t="s">
        <v>43</v>
      </c>
      <c r="F1727" s="1" t="s">
        <v>42</v>
      </c>
      <c r="G1727" s="1">
        <v>23080</v>
      </c>
      <c r="H1727" s="1">
        <f>'1_Departamento_n'!C32</f>
        <v>441422</v>
      </c>
      <c r="I1727" s="1">
        <f>'1_Departamento_n'!H32</f>
        <v>1310</v>
      </c>
      <c r="J1727" s="1">
        <f>'0_Parametros'!B7</f>
        <v>10</v>
      </c>
      <c r="K1727" s="3">
        <f>(I1727-SUM($J$1682:$J$1737))*G1727/H1727</f>
        <v>39.21417600391462</v>
      </c>
      <c r="L1727" s="1">
        <f>INT(K1727)</f>
        <v>39</v>
      </c>
      <c r="M1727" s="3">
        <f>K1727-L1727</f>
        <v>0.21417600391462344</v>
      </c>
      <c r="N1727" s="1">
        <f>COUNTIF($M$1682:$M$1737,"&gt;"&amp;M1727)+COUNTIF($M$1682:M1727,M1727)</f>
        <v>48</v>
      </c>
      <c r="O1727" s="1">
        <f>J1727+L1727+IF(N1727&lt;=I1727-SUM($J$1682:$J$1737)-SUM($L$1682:$L$1737),1,0)</f>
        <v>49</v>
      </c>
    </row>
    <row r="1728" spans="1:15">
      <c r="A1728" s="1" t="s">
        <v>83</v>
      </c>
      <c r="B1728" s="1" t="s">
        <v>85</v>
      </c>
      <c r="C1728" s="1" t="s">
        <v>50</v>
      </c>
      <c r="D1728" s="1" t="s">
        <v>49</v>
      </c>
      <c r="E1728" s="1" t="s">
        <v>44</v>
      </c>
      <c r="F1728" s="1" t="s">
        <v>41</v>
      </c>
      <c r="G1728" s="1">
        <v>14632</v>
      </c>
      <c r="H1728" s="1">
        <f>'1_Departamento_n'!C32</f>
        <v>441422</v>
      </c>
      <c r="I1728" s="1">
        <f>'1_Departamento_n'!H32</f>
        <v>1310</v>
      </c>
      <c r="J1728" s="1">
        <f>'0_Parametros'!B7</f>
        <v>10</v>
      </c>
      <c r="K1728" s="3">
        <f>(I1728-SUM($J$1682:$J$1737))*G1728/H1728</f>
        <v>24.86056426729977</v>
      </c>
      <c r="L1728" s="1">
        <f>INT(K1728)</f>
        <v>24</v>
      </c>
      <c r="M1728" s="3">
        <f>K1728-L1728</f>
        <v>0.8605642672997718</v>
      </c>
      <c r="N1728" s="1">
        <f>COUNTIF($M$1682:$M$1737,"&gt;"&amp;M1728)+COUNTIF($M$1682:M1728,M1728)</f>
        <v>12</v>
      </c>
      <c r="O1728" s="1">
        <f>J1728+L1728+IF(N1728&lt;=I1728-SUM($J$1682:$J$1737)-SUM($L$1682:$L$1737),1,0)</f>
        <v>35</v>
      </c>
    </row>
    <row r="1729" spans="1:15">
      <c r="A1729" s="1" t="s">
        <v>83</v>
      </c>
      <c r="B1729" s="1" t="s">
        <v>85</v>
      </c>
      <c r="C1729" s="1" t="s">
        <v>50</v>
      </c>
      <c r="D1729" s="1" t="s">
        <v>49</v>
      </c>
      <c r="E1729" s="1" t="s">
        <v>44</v>
      </c>
      <c r="F1729" s="1" t="s">
        <v>42</v>
      </c>
      <c r="G1729" s="1">
        <v>13505</v>
      </c>
      <c r="H1729" s="1">
        <f>'1_Departamento_n'!C32</f>
        <v>441422</v>
      </c>
      <c r="I1729" s="1">
        <f>'1_Departamento_n'!H32</f>
        <v>1310</v>
      </c>
      <c r="J1729" s="1">
        <f>'0_Parametros'!B7</f>
        <v>10</v>
      </c>
      <c r="K1729" s="3">
        <f>(I1729-SUM($J$1682:$J$1737))*G1729/H1729</f>
        <v>22.94572993643271</v>
      </c>
      <c r="L1729" s="1">
        <f>INT(K1729)</f>
        <v>22</v>
      </c>
      <c r="M1729" s="3">
        <f>K1729-L1729</f>
        <v>0.9457299364327092</v>
      </c>
      <c r="N1729" s="1">
        <f>COUNTIF($M$1682:$M$1737,"&gt;"&amp;M1729)+COUNTIF($M$1682:M1729,M1729)</f>
        <v>5</v>
      </c>
      <c r="O1729" s="1">
        <f>J1729+L1729+IF(N1729&lt;=I1729-SUM($J$1682:$J$1737)-SUM($L$1682:$L$1737),1,0)</f>
        <v>33</v>
      </c>
    </row>
    <row r="1730" spans="1:15">
      <c r="A1730" s="1" t="s">
        <v>83</v>
      </c>
      <c r="B1730" s="1" t="s">
        <v>85</v>
      </c>
      <c r="C1730" s="1" t="s">
        <v>50</v>
      </c>
      <c r="D1730" s="1" t="s">
        <v>49</v>
      </c>
      <c r="E1730" s="1" t="s">
        <v>45</v>
      </c>
      <c r="F1730" s="1" t="s">
        <v>41</v>
      </c>
      <c r="G1730" s="1">
        <v>12254</v>
      </c>
      <c r="H1730" s="1">
        <f>'1_Departamento_n'!C32</f>
        <v>441422</v>
      </c>
      <c r="I1730" s="1">
        <f>'1_Departamento_n'!H32</f>
        <v>1310</v>
      </c>
      <c r="J1730" s="1">
        <f>'0_Parametros'!B7</f>
        <v>10</v>
      </c>
      <c r="K1730" s="3">
        <f>(I1730-SUM($J$1682:$J$1737))*G1730/H1730</f>
        <v>20.820212857537687</v>
      </c>
      <c r="L1730" s="1">
        <f>INT(K1730)</f>
        <v>20</v>
      </c>
      <c r="M1730" s="3">
        <f>K1730-L1730</f>
        <v>0.8202128575376868</v>
      </c>
      <c r="N1730" s="1">
        <f>COUNTIF($M$1682:$M$1737,"&gt;"&amp;M1730)+COUNTIF($M$1682:M1730,M1730)</f>
        <v>17</v>
      </c>
      <c r="O1730" s="1">
        <f>J1730+L1730+IF(N1730&lt;=I1730-SUM($J$1682:$J$1737)-SUM($L$1682:$L$1737),1,0)</f>
        <v>31</v>
      </c>
    </row>
    <row r="1731" spans="1:15">
      <c r="A1731" s="1" t="s">
        <v>83</v>
      </c>
      <c r="B1731" s="1" t="s">
        <v>85</v>
      </c>
      <c r="C1731" s="1" t="s">
        <v>50</v>
      </c>
      <c r="D1731" s="1" t="s">
        <v>49</v>
      </c>
      <c r="E1731" s="1" t="s">
        <v>45</v>
      </c>
      <c r="F1731" s="1" t="s">
        <v>42</v>
      </c>
      <c r="G1731" s="1">
        <v>10369</v>
      </c>
      <c r="H1731" s="1">
        <f>'1_Departamento_n'!C32</f>
        <v>441422</v>
      </c>
      <c r="I1731" s="1">
        <f>'1_Departamento_n'!H32</f>
        <v>1310</v>
      </c>
      <c r="J1731" s="1">
        <f>'0_Parametros'!B7</f>
        <v>10</v>
      </c>
      <c r="K1731" s="3">
        <f>(I1731-SUM($J$1682:$J$1737))*G1731/H1731</f>
        <v>17.617495276628713</v>
      </c>
      <c r="L1731" s="1">
        <f>INT(K1731)</f>
        <v>17</v>
      </c>
      <c r="M1731" s="3">
        <f>K1731-L1731</f>
        <v>0.6174952766287127</v>
      </c>
      <c r="N1731" s="1">
        <f>COUNTIF($M$1682:$M$1737,"&gt;"&amp;M1731)+COUNTIF($M$1682:M1731,M1731)</f>
        <v>31</v>
      </c>
      <c r="O1731" s="1">
        <f>J1731+L1731+IF(N1731&lt;=I1731-SUM($J$1682:$J$1737)-SUM($L$1682:$L$1737),1,0)</f>
        <v>28</v>
      </c>
    </row>
    <row r="1732" spans="1:15">
      <c r="A1732" s="1" t="s">
        <v>83</v>
      </c>
      <c r="B1732" s="1" t="s">
        <v>85</v>
      </c>
      <c r="C1732" s="1" t="s">
        <v>50</v>
      </c>
      <c r="D1732" s="1" t="s">
        <v>49</v>
      </c>
      <c r="E1732" s="1" t="s">
        <v>46</v>
      </c>
      <c r="F1732" s="1" t="s">
        <v>41</v>
      </c>
      <c r="G1732" s="1">
        <v>9590</v>
      </c>
      <c r="H1732" s="1">
        <f>'1_Departamento_n'!C32</f>
        <v>441422</v>
      </c>
      <c r="I1732" s="1">
        <f>'1_Departamento_n'!H32</f>
        <v>1310</v>
      </c>
      <c r="J1732" s="1">
        <f>'0_Parametros'!B7</f>
        <v>10</v>
      </c>
      <c r="K1732" s="3">
        <f>(I1732-SUM($J$1682:$J$1737))*G1732/H1732</f>
        <v>16.293931883775617</v>
      </c>
      <c r="L1732" s="1">
        <f>INT(K1732)</f>
        <v>16</v>
      </c>
      <c r="M1732" s="3">
        <f>K1732-L1732</f>
        <v>0.29393188377561685</v>
      </c>
      <c r="N1732" s="1">
        <f>COUNTIF($M$1682:$M$1737,"&gt;"&amp;M1732)+COUNTIF($M$1682:M1732,M1732)</f>
        <v>43</v>
      </c>
      <c r="O1732" s="1">
        <f>J1732+L1732+IF(N1732&lt;=I1732-SUM($J$1682:$J$1737)-SUM($L$1682:$L$1737),1,0)</f>
        <v>26</v>
      </c>
    </row>
    <row r="1733" spans="1:15">
      <c r="A1733" s="1" t="s">
        <v>83</v>
      </c>
      <c r="B1733" s="1" t="s">
        <v>85</v>
      </c>
      <c r="C1733" s="1" t="s">
        <v>50</v>
      </c>
      <c r="D1733" s="1" t="s">
        <v>49</v>
      </c>
      <c r="E1733" s="1" t="s">
        <v>46</v>
      </c>
      <c r="F1733" s="1" t="s">
        <v>42</v>
      </c>
      <c r="G1733" s="1">
        <v>8065</v>
      </c>
      <c r="H1733" s="1">
        <f>'1_Departamento_n'!C32</f>
        <v>441422</v>
      </c>
      <c r="I1733" s="1">
        <f>'1_Departamento_n'!H32</f>
        <v>1310</v>
      </c>
      <c r="J1733" s="1">
        <f>'0_Parametros'!B7</f>
        <v>10</v>
      </c>
      <c r="K1733" s="3">
        <f>(I1733-SUM($J$1682:$J$1737))*G1733/H1733</f>
        <v>13.702873893915573</v>
      </c>
      <c r="L1733" s="1">
        <f>INT(K1733)</f>
        <v>13</v>
      </c>
      <c r="M1733" s="3">
        <f>K1733-L1733</f>
        <v>0.702873893915573</v>
      </c>
      <c r="N1733" s="1">
        <f>COUNTIF($M$1682:$M$1737,"&gt;"&amp;M1733)+COUNTIF($M$1682:M1733,M1733)</f>
        <v>23</v>
      </c>
      <c r="O1733" s="1">
        <f>J1733+L1733+IF(N1733&lt;=I1733-SUM($J$1682:$J$1737)-SUM($L$1682:$L$1737),1,0)</f>
        <v>24</v>
      </c>
    </row>
    <row r="1734" spans="1:15">
      <c r="A1734" s="1" t="s">
        <v>83</v>
      </c>
      <c r="B1734" s="1" t="s">
        <v>85</v>
      </c>
      <c r="C1734" s="1" t="s">
        <v>50</v>
      </c>
      <c r="D1734" s="1" t="s">
        <v>49</v>
      </c>
      <c r="E1734" s="1" t="s">
        <v>47</v>
      </c>
      <c r="F1734" s="1" t="s">
        <v>41</v>
      </c>
      <c r="G1734" s="1">
        <v>6646</v>
      </c>
      <c r="H1734" s="1">
        <f>'1_Departamento_n'!C32</f>
        <v>441422</v>
      </c>
      <c r="I1734" s="1">
        <f>'1_Departamento_n'!H32</f>
        <v>1310</v>
      </c>
      <c r="J1734" s="1">
        <f>'0_Parametros'!B7</f>
        <v>10</v>
      </c>
      <c r="K1734" s="3">
        <f>(I1734-SUM($J$1682:$J$1737))*G1734/H1734</f>
        <v>11.291915672531047</v>
      </c>
      <c r="L1734" s="1">
        <f>INT(K1734)</f>
        <v>11</v>
      </c>
      <c r="M1734" s="3">
        <f>K1734-L1734</f>
        <v>0.2919156725310472</v>
      </c>
      <c r="N1734" s="1">
        <f>COUNTIF($M$1682:$M$1737,"&gt;"&amp;M1734)+COUNTIF($M$1682:M1734,M1734)</f>
        <v>44</v>
      </c>
      <c r="O1734" s="1">
        <f>J1734+L1734+IF(N1734&lt;=I1734-SUM($J$1682:$J$1737)-SUM($L$1682:$L$1737),1,0)</f>
        <v>21</v>
      </c>
    </row>
    <row r="1735" spans="1:15">
      <c r="A1735" s="1" t="s">
        <v>83</v>
      </c>
      <c r="B1735" s="1" t="s">
        <v>85</v>
      </c>
      <c r="C1735" s="1" t="s">
        <v>50</v>
      </c>
      <c r="D1735" s="1" t="s">
        <v>49</v>
      </c>
      <c r="E1735" s="1" t="s">
        <v>47</v>
      </c>
      <c r="F1735" s="1" t="s">
        <v>42</v>
      </c>
      <c r="G1735" s="1">
        <v>6403</v>
      </c>
      <c r="H1735" s="1">
        <f>'1_Departamento_n'!C32</f>
        <v>441422</v>
      </c>
      <c r="I1735" s="1">
        <f>'1_Departamento_n'!H32</f>
        <v>1310</v>
      </c>
      <c r="J1735" s="1">
        <f>'0_Parametros'!B7</f>
        <v>10</v>
      </c>
      <c r="K1735" s="3">
        <f>(I1735-SUM($J$1682:$J$1737))*G1735/H1735</f>
        <v>10.87904544857302</v>
      </c>
      <c r="L1735" s="1">
        <f>INT(K1735)</f>
        <v>10</v>
      </c>
      <c r="M1735" s="3">
        <f>K1735-L1735</f>
        <v>0.8790454485730201</v>
      </c>
      <c r="N1735" s="1">
        <f>COUNTIF($M$1682:$M$1737,"&gt;"&amp;M1735)+COUNTIF($M$1682:M1735,M1735)</f>
        <v>10</v>
      </c>
      <c r="O1735" s="1">
        <f>J1735+L1735+IF(N1735&lt;=I1735-SUM($J$1682:$J$1737)-SUM($L$1682:$L$1737),1,0)</f>
        <v>21</v>
      </c>
    </row>
    <row r="1736" spans="1:15">
      <c r="A1736" s="1" t="s">
        <v>83</v>
      </c>
      <c r="B1736" s="1" t="s">
        <v>85</v>
      </c>
      <c r="C1736" s="1" t="s">
        <v>50</v>
      </c>
      <c r="D1736" s="1" t="s">
        <v>49</v>
      </c>
      <c r="E1736" s="1" t="s">
        <v>48</v>
      </c>
      <c r="F1736" s="1" t="s">
        <v>41</v>
      </c>
      <c r="G1736" s="1">
        <v>9385</v>
      </c>
      <c r="H1736" s="1">
        <f>'1_Departamento_n'!C32</f>
        <v>441422</v>
      </c>
      <c r="I1736" s="1">
        <f>'1_Departamento_n'!H32</f>
        <v>1310</v>
      </c>
      <c r="J1736" s="1">
        <f>'0_Parametros'!B7</f>
        <v>10</v>
      </c>
      <c r="K1736" s="3">
        <f>(I1736-SUM($J$1682:$J$1737))*G1736/H1736</f>
        <v>15.945625727761643</v>
      </c>
      <c r="L1736" s="1">
        <f>INT(K1736)</f>
        <v>15</v>
      </c>
      <c r="M1736" s="3">
        <f>K1736-L1736</f>
        <v>0.9456257277616427</v>
      </c>
      <c r="N1736" s="1">
        <f>COUNTIF($M$1682:$M$1737,"&gt;"&amp;M1736)+COUNTIF($M$1682:M1736,M1736)</f>
        <v>6</v>
      </c>
      <c r="O1736" s="1">
        <f>J1736+L1736+IF(N1736&lt;=I1736-SUM($J$1682:$J$1737)-SUM($L$1682:$L$1737),1,0)</f>
        <v>26</v>
      </c>
    </row>
    <row r="1737" spans="1:15">
      <c r="A1737" s="1" t="s">
        <v>83</v>
      </c>
      <c r="B1737" s="1" t="s">
        <v>85</v>
      </c>
      <c r="C1737" s="1" t="s">
        <v>50</v>
      </c>
      <c r="D1737" s="1" t="s">
        <v>49</v>
      </c>
      <c r="E1737" s="1" t="s">
        <v>48</v>
      </c>
      <c r="F1737" s="1" t="s">
        <v>42</v>
      </c>
      <c r="G1737" s="1">
        <v>10057</v>
      </c>
      <c r="H1737" s="1">
        <f>'1_Departamento_n'!C32</f>
        <v>441422</v>
      </c>
      <c r="I1737" s="1">
        <f>'1_Departamento_n'!H32</f>
        <v>1310</v>
      </c>
      <c r="J1737" s="1">
        <f>'0_Parametros'!B7</f>
        <v>10</v>
      </c>
      <c r="K1737" s="3">
        <f>(I1737-SUM($J$1682:$J$1737))*G1737/H1737</f>
        <v>17.087390297719644</v>
      </c>
      <c r="L1737" s="1">
        <f>INT(K1737)</f>
        <v>17</v>
      </c>
      <c r="M1737" s="3">
        <f>K1737-L1737</f>
        <v>0.08739029771964368</v>
      </c>
      <c r="N1737" s="1">
        <f>COUNTIF($M$1682:$M$1737,"&gt;"&amp;M1737)+COUNTIF($M$1682:M1737,M1737)</f>
        <v>53</v>
      </c>
      <c r="O1737" s="1">
        <f>J1737+L1737+IF(N1737&lt;=I1737-SUM($J$1682:$J$1737)-SUM($L$1682:$L$1737),1,0)</f>
        <v>27</v>
      </c>
    </row>
    <row r="1738" spans="1:15">
      <c r="A1738" s="1" t="s">
        <v>83</v>
      </c>
      <c r="B1738" s="1" t="s">
        <v>86</v>
      </c>
      <c r="C1738" s="1" t="s">
        <v>38</v>
      </c>
      <c r="D1738" s="1" t="s">
        <v>39</v>
      </c>
      <c r="E1738" s="1" t="s">
        <v>40</v>
      </c>
      <c r="F1738" s="1" t="s">
        <v>41</v>
      </c>
      <c r="G1738" s="1">
        <v>8316</v>
      </c>
      <c r="H1738" s="1">
        <f>'1_Departamento_n'!C33</f>
        <v>1447016</v>
      </c>
      <c r="I1738" s="1">
        <f>'1_Departamento_n'!H33</f>
        <v>1312</v>
      </c>
      <c r="J1738" s="1">
        <f>'0_Parametros'!B7</f>
        <v>10</v>
      </c>
      <c r="K1738" s="3">
        <f>(I1738-SUM($J$1738:$J$1793))*G1738/H1738</f>
        <v>4.321743505254952</v>
      </c>
      <c r="L1738" s="1">
        <f>INT(K1738)</f>
        <v>4</v>
      </c>
      <c r="M1738" s="3">
        <f>K1738-L1738</f>
        <v>0.3217435052549522</v>
      </c>
      <c r="N1738" s="1">
        <f>COUNTIF($M$1738:$M$1793,"&gt;"&amp;M1738)+COUNTIF($M$1738:M1738,M1738)</f>
        <v>41</v>
      </c>
      <c r="O1738" s="1">
        <f>J1738+L1738+IF(N1738&lt;=I1738-SUM($J$1738:$J$1793)-SUM($L$1738:$L$1793),1,0)</f>
        <v>14</v>
      </c>
    </row>
    <row r="1739" spans="1:15">
      <c r="A1739" s="1" t="s">
        <v>83</v>
      </c>
      <c r="B1739" s="1" t="s">
        <v>86</v>
      </c>
      <c r="C1739" s="1" t="s">
        <v>38</v>
      </c>
      <c r="D1739" s="1" t="s">
        <v>39</v>
      </c>
      <c r="E1739" s="1" t="s">
        <v>40</v>
      </c>
      <c r="F1739" s="1" t="s">
        <v>42</v>
      </c>
      <c r="G1739" s="1">
        <v>1464</v>
      </c>
      <c r="H1739" s="1">
        <f>'1_Departamento_n'!C33</f>
        <v>1447016</v>
      </c>
      <c r="I1739" s="1">
        <f>'1_Departamento_n'!H33</f>
        <v>1312</v>
      </c>
      <c r="J1739" s="1">
        <f>'0_Parametros'!B7</f>
        <v>10</v>
      </c>
      <c r="K1739" s="3">
        <f>(I1739-SUM($J$1738:$J$1793))*G1739/H1739</f>
        <v>0.7608264179525313</v>
      </c>
      <c r="L1739" s="1">
        <f>INT(K1739)</f>
        <v>0</v>
      </c>
      <c r="M1739" s="3">
        <f>K1739-L1739</f>
        <v>0.7608264179525313</v>
      </c>
      <c r="N1739" s="1">
        <f>COUNTIF($M$1738:$M$1793,"&gt;"&amp;M1739)+COUNTIF($M$1738:M1739,M1739)</f>
        <v>15</v>
      </c>
      <c r="O1739" s="1">
        <f>J1739+L1739+IF(N1739&lt;=I1739-SUM($J$1738:$J$1793)-SUM($L$1738:$L$1793),1,0)</f>
        <v>11</v>
      </c>
    </row>
    <row r="1740" spans="1:15">
      <c r="A1740" s="1" t="s">
        <v>83</v>
      </c>
      <c r="B1740" s="1" t="s">
        <v>86</v>
      </c>
      <c r="C1740" s="1" t="s">
        <v>38</v>
      </c>
      <c r="D1740" s="1" t="s">
        <v>39</v>
      </c>
      <c r="E1740" s="1" t="s">
        <v>43</v>
      </c>
      <c r="F1740" s="1" t="s">
        <v>41</v>
      </c>
      <c r="G1740" s="1">
        <v>10939</v>
      </c>
      <c r="H1740" s="1">
        <f>'1_Departamento_n'!C33</f>
        <v>1447016</v>
      </c>
      <c r="I1740" s="1">
        <f>'1_Departamento_n'!H33</f>
        <v>1312</v>
      </c>
      <c r="J1740" s="1">
        <f>'0_Parametros'!B7</f>
        <v>10</v>
      </c>
      <c r="K1740" s="3">
        <f>(I1740-SUM($J$1738:$J$1793))*G1740/H1740</f>
        <v>5.684890837419904</v>
      </c>
      <c r="L1740" s="1">
        <f>INT(K1740)</f>
        <v>5</v>
      </c>
      <c r="M1740" s="3">
        <f>K1740-L1740</f>
        <v>0.6848908374199043</v>
      </c>
      <c r="N1740" s="1">
        <f>COUNTIF($M$1738:$M$1793,"&gt;"&amp;M1740)+COUNTIF($M$1738:M1740,M1740)</f>
        <v>26</v>
      </c>
      <c r="O1740" s="1">
        <f>J1740+L1740+IF(N1740&lt;=I1740-SUM($J$1738:$J$1793)-SUM($L$1738:$L$1793),1,0)</f>
        <v>16</v>
      </c>
    </row>
    <row r="1741" spans="1:15">
      <c r="A1741" s="1" t="s">
        <v>83</v>
      </c>
      <c r="B1741" s="1" t="s">
        <v>86</v>
      </c>
      <c r="C1741" s="1" t="s">
        <v>38</v>
      </c>
      <c r="D1741" s="1" t="s">
        <v>39</v>
      </c>
      <c r="E1741" s="1" t="s">
        <v>43</v>
      </c>
      <c r="F1741" s="1" t="s">
        <v>42</v>
      </c>
      <c r="G1741" s="1">
        <v>1424</v>
      </c>
      <c r="H1741" s="1">
        <f>'1_Departamento_n'!C33</f>
        <v>1447016</v>
      </c>
      <c r="I1741" s="1">
        <f>'1_Departamento_n'!H33</f>
        <v>1312</v>
      </c>
      <c r="J1741" s="1">
        <f>'0_Parametros'!B7</f>
        <v>10</v>
      </c>
      <c r="K1741" s="3">
        <f>(I1741-SUM($J$1738:$J$1793))*G1741/H1741</f>
        <v>0.740038810904648</v>
      </c>
      <c r="L1741" s="1">
        <f>INT(K1741)</f>
        <v>0</v>
      </c>
      <c r="M1741" s="3">
        <f>K1741-L1741</f>
        <v>0.740038810904648</v>
      </c>
      <c r="N1741" s="1">
        <f>COUNTIF($M$1738:$M$1793,"&gt;"&amp;M1741)+COUNTIF($M$1738:M1741,M1741)</f>
        <v>19</v>
      </c>
      <c r="O1741" s="1">
        <f>J1741+L1741+IF(N1741&lt;=I1741-SUM($J$1738:$J$1793)-SUM($L$1738:$L$1793),1,0)</f>
        <v>11</v>
      </c>
    </row>
    <row r="1742" spans="1:15">
      <c r="A1742" s="1" t="s">
        <v>83</v>
      </c>
      <c r="B1742" s="1" t="s">
        <v>86</v>
      </c>
      <c r="C1742" s="1" t="s">
        <v>38</v>
      </c>
      <c r="D1742" s="1" t="s">
        <v>39</v>
      </c>
      <c r="E1742" s="1" t="s">
        <v>44</v>
      </c>
      <c r="F1742" s="1" t="s">
        <v>41</v>
      </c>
      <c r="G1742" s="1">
        <v>17189</v>
      </c>
      <c r="H1742" s="1">
        <f>'1_Departamento_n'!C33</f>
        <v>1447016</v>
      </c>
      <c r="I1742" s="1">
        <f>'1_Departamento_n'!H33</f>
        <v>1312</v>
      </c>
      <c r="J1742" s="1">
        <f>'0_Parametros'!B7</f>
        <v>10</v>
      </c>
      <c r="K1742" s="3">
        <f>(I1742-SUM($J$1738:$J$1793))*G1742/H1742</f>
        <v>8.93295443865168</v>
      </c>
      <c r="L1742" s="1">
        <f>INT(K1742)</f>
        <v>8</v>
      </c>
      <c r="M1742" s="3">
        <f>K1742-L1742</f>
        <v>0.9329544386516808</v>
      </c>
      <c r="N1742" s="1">
        <f>COUNTIF($M$1738:$M$1793,"&gt;"&amp;M1742)+COUNTIF($M$1738:M1742,M1742)</f>
        <v>3</v>
      </c>
      <c r="O1742" s="1">
        <f>J1742+L1742+IF(N1742&lt;=I1742-SUM($J$1738:$J$1793)-SUM($L$1738:$L$1793),1,0)</f>
        <v>19</v>
      </c>
    </row>
    <row r="1743" spans="1:15">
      <c r="A1743" s="1" t="s">
        <v>83</v>
      </c>
      <c r="B1743" s="1" t="s">
        <v>86</v>
      </c>
      <c r="C1743" s="1" t="s">
        <v>38</v>
      </c>
      <c r="D1743" s="1" t="s">
        <v>39</v>
      </c>
      <c r="E1743" s="1" t="s">
        <v>44</v>
      </c>
      <c r="F1743" s="1" t="s">
        <v>42</v>
      </c>
      <c r="G1743" s="1">
        <v>5588</v>
      </c>
      <c r="H1743" s="1">
        <f>'1_Departamento_n'!C33</f>
        <v>1447016</v>
      </c>
      <c r="I1743" s="1">
        <f>'1_Departamento_n'!H33</f>
        <v>1312</v>
      </c>
      <c r="J1743" s="1">
        <f>'0_Parametros'!B7</f>
        <v>10</v>
      </c>
      <c r="K1743" s="3">
        <f>(I1743-SUM($J$1738:$J$1793))*G1743/H1743</f>
        <v>2.9040287045893067</v>
      </c>
      <c r="L1743" s="1">
        <f>INT(K1743)</f>
        <v>2</v>
      </c>
      <c r="M1743" s="3">
        <f>K1743-L1743</f>
        <v>0.9040287045893067</v>
      </c>
      <c r="N1743" s="1">
        <f>COUNTIF($M$1738:$M$1793,"&gt;"&amp;M1743)+COUNTIF($M$1738:M1743,M1743)</f>
        <v>5</v>
      </c>
      <c r="O1743" s="1">
        <f>J1743+L1743+IF(N1743&lt;=I1743-SUM($J$1738:$J$1793)-SUM($L$1738:$L$1793),1,0)</f>
        <v>13</v>
      </c>
    </row>
    <row r="1744" spans="1:15">
      <c r="A1744" s="1" t="s">
        <v>83</v>
      </c>
      <c r="B1744" s="1" t="s">
        <v>86</v>
      </c>
      <c r="C1744" s="1" t="s">
        <v>38</v>
      </c>
      <c r="D1744" s="1" t="s">
        <v>39</v>
      </c>
      <c r="E1744" s="1" t="s">
        <v>45</v>
      </c>
      <c r="F1744" s="1" t="s">
        <v>41</v>
      </c>
      <c r="G1744" s="1">
        <v>24209</v>
      </c>
      <c r="H1744" s="1">
        <f>'1_Departamento_n'!C33</f>
        <v>1447016</v>
      </c>
      <c r="I1744" s="1">
        <f>'1_Departamento_n'!H33</f>
        <v>1312</v>
      </c>
      <c r="J1744" s="1">
        <f>'0_Parametros'!B7</f>
        <v>10</v>
      </c>
      <c r="K1744" s="3">
        <f>(I1744-SUM($J$1738:$J$1793))*G1744/H1744</f>
        <v>12.581179475555212</v>
      </c>
      <c r="L1744" s="1">
        <f>INT(K1744)</f>
        <v>12</v>
      </c>
      <c r="M1744" s="3">
        <f>K1744-L1744</f>
        <v>0.5811794755552118</v>
      </c>
      <c r="N1744" s="1">
        <f>COUNTIF($M$1738:$M$1793,"&gt;"&amp;M1744)+COUNTIF($M$1738:M1744,M1744)</f>
        <v>31</v>
      </c>
      <c r="O1744" s="1">
        <f>J1744+L1744+IF(N1744&lt;=I1744-SUM($J$1738:$J$1793)-SUM($L$1738:$L$1793),1,0)</f>
        <v>23</v>
      </c>
    </row>
    <row r="1745" spans="1:15">
      <c r="A1745" s="1" t="s">
        <v>83</v>
      </c>
      <c r="B1745" s="1" t="s">
        <v>86</v>
      </c>
      <c r="C1745" s="1" t="s">
        <v>38</v>
      </c>
      <c r="D1745" s="1" t="s">
        <v>39</v>
      </c>
      <c r="E1745" s="1" t="s">
        <v>45</v>
      </c>
      <c r="F1745" s="1" t="s">
        <v>42</v>
      </c>
      <c r="G1745" s="1">
        <v>4983</v>
      </c>
      <c r="H1745" s="1">
        <f>'1_Departamento_n'!C33</f>
        <v>1447016</v>
      </c>
      <c r="I1745" s="1">
        <f>'1_Departamento_n'!H33</f>
        <v>1312</v>
      </c>
      <c r="J1745" s="1">
        <f>'0_Parametros'!B7</f>
        <v>10</v>
      </c>
      <c r="K1745" s="3">
        <f>(I1745-SUM($J$1738:$J$1793))*G1745/H1745</f>
        <v>2.589616147990071</v>
      </c>
      <c r="L1745" s="1">
        <f>INT(K1745)</f>
        <v>2</v>
      </c>
      <c r="M1745" s="3">
        <f>K1745-L1745</f>
        <v>0.5896161479900708</v>
      </c>
      <c r="N1745" s="1">
        <f>COUNTIF($M$1738:$M$1793,"&gt;"&amp;M1745)+COUNTIF($M$1738:M1745,M1745)</f>
        <v>29</v>
      </c>
      <c r="O1745" s="1">
        <f>J1745+L1745+IF(N1745&lt;=I1745-SUM($J$1738:$J$1793)-SUM($L$1738:$L$1793),1,0)</f>
        <v>13</v>
      </c>
    </row>
    <row r="1746" spans="1:15">
      <c r="A1746" s="1" t="s">
        <v>83</v>
      </c>
      <c r="B1746" s="1" t="s">
        <v>86</v>
      </c>
      <c r="C1746" s="1" t="s">
        <v>38</v>
      </c>
      <c r="D1746" s="1" t="s">
        <v>39</v>
      </c>
      <c r="E1746" s="1" t="s">
        <v>46</v>
      </c>
      <c r="F1746" s="1" t="s">
        <v>41</v>
      </c>
      <c r="G1746" s="1">
        <v>22134</v>
      </c>
      <c r="H1746" s="1">
        <f>'1_Departamento_n'!C33</f>
        <v>1447016</v>
      </c>
      <c r="I1746" s="1">
        <f>'1_Departamento_n'!H33</f>
        <v>1312</v>
      </c>
      <c r="J1746" s="1">
        <f>'0_Parametros'!B7</f>
        <v>10</v>
      </c>
      <c r="K1746" s="3">
        <f>(I1746-SUM($J$1738:$J$1793))*G1746/H1746</f>
        <v>11.502822359946261</v>
      </c>
      <c r="L1746" s="1">
        <f>INT(K1746)</f>
        <v>11</v>
      </c>
      <c r="M1746" s="3">
        <f>K1746-L1746</f>
        <v>0.5028223599462613</v>
      </c>
      <c r="N1746" s="1">
        <f>COUNTIF($M$1738:$M$1793,"&gt;"&amp;M1746)+COUNTIF($M$1738:M1746,M1746)</f>
        <v>35</v>
      </c>
      <c r="O1746" s="1">
        <f>J1746+L1746+IF(N1746&lt;=I1746-SUM($J$1738:$J$1793)-SUM($L$1738:$L$1793),1,0)</f>
        <v>21</v>
      </c>
    </row>
    <row r="1747" spans="1:15">
      <c r="A1747" s="1" t="s">
        <v>83</v>
      </c>
      <c r="B1747" s="1" t="s">
        <v>86</v>
      </c>
      <c r="C1747" s="1" t="s">
        <v>38</v>
      </c>
      <c r="D1747" s="1" t="s">
        <v>39</v>
      </c>
      <c r="E1747" s="1" t="s">
        <v>46</v>
      </c>
      <c r="F1747" s="1" t="s">
        <v>42</v>
      </c>
      <c r="G1747" s="1">
        <v>2687</v>
      </c>
      <c r="H1747" s="1">
        <f>'1_Departamento_n'!C33</f>
        <v>1447016</v>
      </c>
      <c r="I1747" s="1">
        <f>'1_Departamento_n'!H33</f>
        <v>1312</v>
      </c>
      <c r="J1747" s="1">
        <f>'0_Parametros'!B7</f>
        <v>10</v>
      </c>
      <c r="K1747" s="3">
        <f>(I1747-SUM($J$1738:$J$1793))*G1747/H1747</f>
        <v>1.3964075034415653</v>
      </c>
      <c r="L1747" s="1">
        <f>INT(K1747)</f>
        <v>1</v>
      </c>
      <c r="M1747" s="3">
        <f>K1747-L1747</f>
        <v>0.3964075034415653</v>
      </c>
      <c r="N1747" s="1">
        <f>COUNTIF($M$1738:$M$1793,"&gt;"&amp;M1747)+COUNTIF($M$1738:M1747,M1747)</f>
        <v>39</v>
      </c>
      <c r="O1747" s="1">
        <f>J1747+L1747+IF(N1747&lt;=I1747-SUM($J$1738:$J$1793)-SUM($L$1738:$L$1793),1,0)</f>
        <v>11</v>
      </c>
    </row>
    <row r="1748" spans="1:15">
      <c r="A1748" s="1" t="s">
        <v>83</v>
      </c>
      <c r="B1748" s="1" t="s">
        <v>86</v>
      </c>
      <c r="C1748" s="1" t="s">
        <v>38</v>
      </c>
      <c r="D1748" s="1" t="s">
        <v>39</v>
      </c>
      <c r="E1748" s="1" t="s">
        <v>47</v>
      </c>
      <c r="F1748" s="1" t="s">
        <v>41</v>
      </c>
      <c r="G1748" s="1">
        <v>16725</v>
      </c>
      <c r="H1748" s="1">
        <f>'1_Departamento_n'!C33</f>
        <v>1447016</v>
      </c>
      <c r="I1748" s="1">
        <f>'1_Departamento_n'!H33</f>
        <v>1312</v>
      </c>
      <c r="J1748" s="1">
        <f>'0_Parametros'!B7</f>
        <v>10</v>
      </c>
      <c r="K1748" s="3">
        <f>(I1748-SUM($J$1738:$J$1793))*G1748/H1748</f>
        <v>8.691818196896234</v>
      </c>
      <c r="L1748" s="1">
        <f>INT(K1748)</f>
        <v>8</v>
      </c>
      <c r="M1748" s="3">
        <f>K1748-L1748</f>
        <v>0.691818196896234</v>
      </c>
      <c r="N1748" s="1">
        <f>COUNTIF($M$1738:$M$1793,"&gt;"&amp;M1748)+COUNTIF($M$1738:M1748,M1748)</f>
        <v>24</v>
      </c>
      <c r="O1748" s="1">
        <f>J1748+L1748+IF(N1748&lt;=I1748-SUM($J$1738:$J$1793)-SUM($L$1738:$L$1793),1,0)</f>
        <v>19</v>
      </c>
    </row>
    <row r="1749" spans="1:15">
      <c r="A1749" s="1" t="s">
        <v>83</v>
      </c>
      <c r="B1749" s="1" t="s">
        <v>86</v>
      </c>
      <c r="C1749" s="1" t="s">
        <v>38</v>
      </c>
      <c r="D1749" s="1" t="s">
        <v>39</v>
      </c>
      <c r="E1749" s="1" t="s">
        <v>47</v>
      </c>
      <c r="F1749" s="1" t="s">
        <v>42</v>
      </c>
      <c r="G1749" s="1">
        <v>1350</v>
      </c>
      <c r="H1749" s="1">
        <f>'1_Departamento_n'!C33</f>
        <v>1447016</v>
      </c>
      <c r="I1749" s="1">
        <f>'1_Departamento_n'!H33</f>
        <v>1312</v>
      </c>
      <c r="J1749" s="1">
        <f>'0_Parametros'!B7</f>
        <v>10</v>
      </c>
      <c r="K1749" s="3">
        <f>(I1749-SUM($J$1738:$J$1793))*G1749/H1749</f>
        <v>0.7015817378660637</v>
      </c>
      <c r="L1749" s="1">
        <f>INT(K1749)</f>
        <v>0</v>
      </c>
      <c r="M1749" s="3">
        <f>K1749-L1749</f>
        <v>0.7015817378660637</v>
      </c>
      <c r="N1749" s="1">
        <f>COUNTIF($M$1738:$M$1793,"&gt;"&amp;M1749)+COUNTIF($M$1738:M1749,M1749)</f>
        <v>22</v>
      </c>
      <c r="O1749" s="1">
        <f>J1749+L1749+IF(N1749&lt;=I1749-SUM($J$1738:$J$1793)-SUM($L$1738:$L$1793),1,0)</f>
        <v>11</v>
      </c>
    </row>
    <row r="1750" spans="1:15">
      <c r="A1750" s="1" t="s">
        <v>83</v>
      </c>
      <c r="B1750" s="1" t="s">
        <v>86</v>
      </c>
      <c r="C1750" s="1" t="s">
        <v>38</v>
      </c>
      <c r="D1750" s="1" t="s">
        <v>39</v>
      </c>
      <c r="E1750" s="1" t="s">
        <v>48</v>
      </c>
      <c r="F1750" s="1" t="s">
        <v>41</v>
      </c>
      <c r="G1750" s="1">
        <v>25921</v>
      </c>
      <c r="H1750" s="1">
        <f>'1_Departamento_n'!C33</f>
        <v>1447016</v>
      </c>
      <c r="I1750" s="1">
        <f>'1_Departamento_n'!H33</f>
        <v>1312</v>
      </c>
      <c r="J1750" s="1">
        <f>'0_Parametros'!B7</f>
        <v>10</v>
      </c>
      <c r="K1750" s="3">
        <f>(I1750-SUM($J$1738:$J$1793))*G1750/H1750</f>
        <v>13.47088905720462</v>
      </c>
      <c r="L1750" s="1">
        <f>INT(K1750)</f>
        <v>13</v>
      </c>
      <c r="M1750" s="3">
        <f>K1750-L1750</f>
        <v>0.4708890572046194</v>
      </c>
      <c r="N1750" s="1">
        <f>COUNTIF($M$1738:$M$1793,"&gt;"&amp;M1750)+COUNTIF($M$1738:M1750,M1750)</f>
        <v>36</v>
      </c>
      <c r="O1750" s="1">
        <f>J1750+L1750+IF(N1750&lt;=I1750-SUM($J$1738:$J$1793)-SUM($L$1738:$L$1793),1,0)</f>
        <v>23</v>
      </c>
    </row>
    <row r="1751" spans="1:15">
      <c r="A1751" s="1" t="s">
        <v>83</v>
      </c>
      <c r="B1751" s="1" t="s">
        <v>86</v>
      </c>
      <c r="C1751" s="1" t="s">
        <v>38</v>
      </c>
      <c r="D1751" s="1" t="s">
        <v>39</v>
      </c>
      <c r="E1751" s="1" t="s">
        <v>48</v>
      </c>
      <c r="F1751" s="1" t="s">
        <v>42</v>
      </c>
      <c r="G1751" s="1">
        <v>1133</v>
      </c>
      <c r="H1751" s="1">
        <f>'1_Departamento_n'!C33</f>
        <v>1447016</v>
      </c>
      <c r="I1751" s="1">
        <f>'1_Departamento_n'!H33</f>
        <v>1312</v>
      </c>
      <c r="J1751" s="1">
        <f>'0_Parametros'!B7</f>
        <v>10</v>
      </c>
      <c r="K1751" s="3">
        <f>(I1751-SUM($J$1738:$J$1793))*G1751/H1751</f>
        <v>0.5888089696312964</v>
      </c>
      <c r="L1751" s="1">
        <f>INT(K1751)</f>
        <v>0</v>
      </c>
      <c r="M1751" s="3">
        <f>K1751-L1751</f>
        <v>0.5888089696312964</v>
      </c>
      <c r="N1751" s="1">
        <f>COUNTIF($M$1738:$M$1793,"&gt;"&amp;M1751)+COUNTIF($M$1738:M1751,M1751)</f>
        <v>30</v>
      </c>
      <c r="O1751" s="1">
        <f>J1751+L1751+IF(N1751&lt;=I1751-SUM($J$1738:$J$1793)-SUM($L$1738:$L$1793),1,0)</f>
        <v>11</v>
      </c>
    </row>
    <row r="1752" spans="1:15">
      <c r="A1752" s="1" t="s">
        <v>83</v>
      </c>
      <c r="B1752" s="1" t="s">
        <v>86</v>
      </c>
      <c r="C1752" s="1" t="s">
        <v>38</v>
      </c>
      <c r="D1752" s="1" t="s">
        <v>49</v>
      </c>
      <c r="E1752" s="1" t="s">
        <v>40</v>
      </c>
      <c r="F1752" s="1" t="s">
        <v>41</v>
      </c>
      <c r="G1752" s="1">
        <v>8805</v>
      </c>
      <c r="H1752" s="1">
        <f>'1_Departamento_n'!C33</f>
        <v>1447016</v>
      </c>
      <c r="I1752" s="1">
        <f>'1_Departamento_n'!H33</f>
        <v>1312</v>
      </c>
      <c r="J1752" s="1">
        <f>'0_Parametros'!B7</f>
        <v>10</v>
      </c>
      <c r="K1752" s="3">
        <f>(I1752-SUM($J$1738:$J$1793))*G1752/H1752</f>
        <v>4.575872001415326</v>
      </c>
      <c r="L1752" s="1">
        <f>INT(K1752)</f>
        <v>4</v>
      </c>
      <c r="M1752" s="3">
        <f>K1752-L1752</f>
        <v>0.575872001415326</v>
      </c>
      <c r="N1752" s="1">
        <f>COUNTIF($M$1738:$M$1793,"&gt;"&amp;M1752)+COUNTIF($M$1738:M1752,M1752)</f>
        <v>32</v>
      </c>
      <c r="O1752" s="1">
        <f>J1752+L1752+IF(N1752&lt;=I1752-SUM($J$1738:$J$1793)-SUM($L$1738:$L$1793),1,0)</f>
        <v>14</v>
      </c>
    </row>
    <row r="1753" spans="1:15">
      <c r="A1753" s="1" t="s">
        <v>83</v>
      </c>
      <c r="B1753" s="1" t="s">
        <v>86</v>
      </c>
      <c r="C1753" s="1" t="s">
        <v>38</v>
      </c>
      <c r="D1753" s="1" t="s">
        <v>49</v>
      </c>
      <c r="E1753" s="1" t="s">
        <v>40</v>
      </c>
      <c r="F1753" s="1" t="s">
        <v>42</v>
      </c>
      <c r="G1753" s="1">
        <v>1486</v>
      </c>
      <c r="H1753" s="1">
        <f>'1_Departamento_n'!C33</f>
        <v>1447016</v>
      </c>
      <c r="I1753" s="1">
        <f>'1_Departamento_n'!H33</f>
        <v>1312</v>
      </c>
      <c r="J1753" s="1">
        <f>'0_Parametros'!B7</f>
        <v>10</v>
      </c>
      <c r="K1753" s="3">
        <f>(I1753-SUM($J$1738:$J$1793))*G1753/H1753</f>
        <v>0.7722596018288671</v>
      </c>
      <c r="L1753" s="1">
        <f>INT(K1753)</f>
        <v>0</v>
      </c>
      <c r="M1753" s="3">
        <f>K1753-L1753</f>
        <v>0.7722596018288671</v>
      </c>
      <c r="N1753" s="1">
        <f>COUNTIF($M$1738:$M$1793,"&gt;"&amp;M1753)+COUNTIF($M$1738:M1753,M1753)</f>
        <v>14</v>
      </c>
      <c r="O1753" s="1">
        <f>J1753+L1753+IF(N1753&lt;=I1753-SUM($J$1738:$J$1793)-SUM($L$1738:$L$1793),1,0)</f>
        <v>11</v>
      </c>
    </row>
    <row r="1754" spans="1:15">
      <c r="A1754" s="1" t="s">
        <v>83</v>
      </c>
      <c r="B1754" s="1" t="s">
        <v>86</v>
      </c>
      <c r="C1754" s="1" t="s">
        <v>38</v>
      </c>
      <c r="D1754" s="1" t="s">
        <v>49</v>
      </c>
      <c r="E1754" s="1" t="s">
        <v>43</v>
      </c>
      <c r="F1754" s="1" t="s">
        <v>41</v>
      </c>
      <c r="G1754" s="1">
        <v>11621</v>
      </c>
      <c r="H1754" s="1">
        <f>'1_Departamento_n'!C33</f>
        <v>1447016</v>
      </c>
      <c r="I1754" s="1">
        <f>'1_Departamento_n'!H33</f>
        <v>1312</v>
      </c>
      <c r="J1754" s="1">
        <f>'0_Parametros'!B7</f>
        <v>10</v>
      </c>
      <c r="K1754" s="3">
        <f>(I1754-SUM($J$1738:$J$1793))*G1754/H1754</f>
        <v>6.039319537586316</v>
      </c>
      <c r="L1754" s="1">
        <f>INT(K1754)</f>
        <v>6</v>
      </c>
      <c r="M1754" s="3">
        <f>K1754-L1754</f>
        <v>0.03931953758631579</v>
      </c>
      <c r="N1754" s="1">
        <f>COUNTIF($M$1738:$M$1793,"&gt;"&amp;M1754)+COUNTIF($M$1738:M1754,M1754)</f>
        <v>53</v>
      </c>
      <c r="O1754" s="1">
        <f>J1754+L1754+IF(N1754&lt;=I1754-SUM($J$1738:$J$1793)-SUM($L$1738:$L$1793),1,0)</f>
        <v>16</v>
      </c>
    </row>
    <row r="1755" spans="1:15">
      <c r="A1755" s="1" t="s">
        <v>83</v>
      </c>
      <c r="B1755" s="1" t="s">
        <v>86</v>
      </c>
      <c r="C1755" s="1" t="s">
        <v>38</v>
      </c>
      <c r="D1755" s="1" t="s">
        <v>49</v>
      </c>
      <c r="E1755" s="1" t="s">
        <v>43</v>
      </c>
      <c r="F1755" s="1" t="s">
        <v>42</v>
      </c>
      <c r="G1755" s="1">
        <v>1450</v>
      </c>
      <c r="H1755" s="1">
        <f>'1_Departamento_n'!C33</f>
        <v>1447016</v>
      </c>
      <c r="I1755" s="1">
        <f>'1_Departamento_n'!H33</f>
        <v>1312</v>
      </c>
      <c r="J1755" s="1">
        <f>'0_Parametros'!B7</f>
        <v>10</v>
      </c>
      <c r="K1755" s="3">
        <f>(I1755-SUM($J$1738:$J$1793))*G1755/H1755</f>
        <v>0.7535507554857721</v>
      </c>
      <c r="L1755" s="1">
        <f>INT(K1755)</f>
        <v>0</v>
      </c>
      <c r="M1755" s="3">
        <f>K1755-L1755</f>
        <v>0.7535507554857721</v>
      </c>
      <c r="N1755" s="1">
        <f>COUNTIF($M$1738:$M$1793,"&gt;"&amp;M1755)+COUNTIF($M$1738:M1755,M1755)</f>
        <v>17</v>
      </c>
      <c r="O1755" s="1">
        <f>J1755+L1755+IF(N1755&lt;=I1755-SUM($J$1738:$J$1793)-SUM($L$1738:$L$1793),1,0)</f>
        <v>11</v>
      </c>
    </row>
    <row r="1756" spans="1:15">
      <c r="A1756" s="1" t="s">
        <v>83</v>
      </c>
      <c r="B1756" s="1" t="s">
        <v>86</v>
      </c>
      <c r="C1756" s="1" t="s">
        <v>38</v>
      </c>
      <c r="D1756" s="1" t="s">
        <v>49</v>
      </c>
      <c r="E1756" s="1" t="s">
        <v>44</v>
      </c>
      <c r="F1756" s="1" t="s">
        <v>41</v>
      </c>
      <c r="G1756" s="1">
        <v>16852</v>
      </c>
      <c r="H1756" s="1">
        <f>'1_Departamento_n'!C33</f>
        <v>1447016</v>
      </c>
      <c r="I1756" s="1">
        <f>'1_Departamento_n'!H33</f>
        <v>1312</v>
      </c>
      <c r="J1756" s="1">
        <f>'0_Parametros'!B7</f>
        <v>10</v>
      </c>
      <c r="K1756" s="3">
        <f>(I1756-SUM($J$1738:$J$1793))*G1756/H1756</f>
        <v>8.757818849273264</v>
      </c>
      <c r="L1756" s="1">
        <f>INT(K1756)</f>
        <v>8</v>
      </c>
      <c r="M1756" s="3">
        <f>K1756-L1756</f>
        <v>0.7578188492732636</v>
      </c>
      <c r="N1756" s="1">
        <f>COUNTIF($M$1738:$M$1793,"&gt;"&amp;M1756)+COUNTIF($M$1738:M1756,M1756)</f>
        <v>16</v>
      </c>
      <c r="O1756" s="1">
        <f>J1756+L1756+IF(N1756&lt;=I1756-SUM($J$1738:$J$1793)-SUM($L$1738:$L$1793),1,0)</f>
        <v>19</v>
      </c>
    </row>
    <row r="1757" spans="1:15">
      <c r="A1757" s="1" t="s">
        <v>83</v>
      </c>
      <c r="B1757" s="1" t="s">
        <v>86</v>
      </c>
      <c r="C1757" s="1" t="s">
        <v>38</v>
      </c>
      <c r="D1757" s="1" t="s">
        <v>49</v>
      </c>
      <c r="E1757" s="1" t="s">
        <v>44</v>
      </c>
      <c r="F1757" s="1" t="s">
        <v>42</v>
      </c>
      <c r="G1757" s="1">
        <v>6066</v>
      </c>
      <c r="H1757" s="1">
        <f>'1_Departamento_n'!C33</f>
        <v>1447016</v>
      </c>
      <c r="I1757" s="1">
        <f>'1_Departamento_n'!H33</f>
        <v>1312</v>
      </c>
      <c r="J1757" s="1">
        <f>'0_Parametros'!B7</f>
        <v>10</v>
      </c>
      <c r="K1757" s="3">
        <f>(I1757-SUM($J$1738:$J$1793))*G1757/H1757</f>
        <v>3.1524406088115127</v>
      </c>
      <c r="L1757" s="1">
        <f>INT(K1757)</f>
        <v>3</v>
      </c>
      <c r="M1757" s="3">
        <f>K1757-L1757</f>
        <v>0.15244060881151267</v>
      </c>
      <c r="N1757" s="1">
        <f>COUNTIF($M$1738:$M$1793,"&gt;"&amp;M1757)+COUNTIF($M$1738:M1757,M1757)</f>
        <v>51</v>
      </c>
      <c r="O1757" s="1">
        <f>J1757+L1757+IF(N1757&lt;=I1757-SUM($J$1738:$J$1793)-SUM($L$1738:$L$1793),1,0)</f>
        <v>13</v>
      </c>
    </row>
    <row r="1758" spans="1:15">
      <c r="A1758" s="1" t="s">
        <v>83</v>
      </c>
      <c r="B1758" s="1" t="s">
        <v>86</v>
      </c>
      <c r="C1758" s="1" t="s">
        <v>38</v>
      </c>
      <c r="D1758" s="1" t="s">
        <v>49</v>
      </c>
      <c r="E1758" s="1" t="s">
        <v>45</v>
      </c>
      <c r="F1758" s="1" t="s">
        <v>41</v>
      </c>
      <c r="G1758" s="1">
        <v>22526</v>
      </c>
      <c r="H1758" s="1">
        <f>'1_Departamento_n'!C33</f>
        <v>1447016</v>
      </c>
      <c r="I1758" s="1">
        <f>'1_Departamento_n'!H33</f>
        <v>1312</v>
      </c>
      <c r="J1758" s="1">
        <f>'0_Parametros'!B7</f>
        <v>10</v>
      </c>
      <c r="K1758" s="3">
        <f>(I1758-SUM($J$1738:$J$1793))*G1758/H1758</f>
        <v>11.70654090901552</v>
      </c>
      <c r="L1758" s="1">
        <f>INT(K1758)</f>
        <v>11</v>
      </c>
      <c r="M1758" s="3">
        <f>K1758-L1758</f>
        <v>0.7065409090155192</v>
      </c>
      <c r="N1758" s="1">
        <f>COUNTIF($M$1738:$M$1793,"&gt;"&amp;M1758)+COUNTIF($M$1738:M1758,M1758)</f>
        <v>21</v>
      </c>
      <c r="O1758" s="1">
        <f>J1758+L1758+IF(N1758&lt;=I1758-SUM($J$1738:$J$1793)-SUM($L$1738:$L$1793),1,0)</f>
        <v>22</v>
      </c>
    </row>
    <row r="1759" spans="1:15">
      <c r="A1759" s="1" t="s">
        <v>83</v>
      </c>
      <c r="B1759" s="1" t="s">
        <v>86</v>
      </c>
      <c r="C1759" s="1" t="s">
        <v>38</v>
      </c>
      <c r="D1759" s="1" t="s">
        <v>49</v>
      </c>
      <c r="E1759" s="1" t="s">
        <v>45</v>
      </c>
      <c r="F1759" s="1" t="s">
        <v>42</v>
      </c>
      <c r="G1759" s="1">
        <v>5781</v>
      </c>
      <c r="H1759" s="1">
        <f>'1_Departamento_n'!C33</f>
        <v>1447016</v>
      </c>
      <c r="I1759" s="1">
        <f>'1_Departamento_n'!H33</f>
        <v>1312</v>
      </c>
      <c r="J1759" s="1">
        <f>'0_Parametros'!B7</f>
        <v>10</v>
      </c>
      <c r="K1759" s="3">
        <f>(I1759-SUM($J$1738:$J$1793))*G1759/H1759</f>
        <v>3.004328908595344</v>
      </c>
      <c r="L1759" s="1">
        <f>INT(K1759)</f>
        <v>3</v>
      </c>
      <c r="M1759" s="3">
        <f>K1759-L1759</f>
        <v>0.004328908595343961</v>
      </c>
      <c r="N1759" s="1">
        <f>COUNTIF($M$1738:$M$1793,"&gt;"&amp;M1759)+COUNTIF($M$1738:M1759,M1759)</f>
        <v>56</v>
      </c>
      <c r="O1759" s="1">
        <f>J1759+L1759+IF(N1759&lt;=I1759-SUM($J$1738:$J$1793)-SUM($L$1738:$L$1793),1,0)</f>
        <v>13</v>
      </c>
    </row>
    <row r="1760" spans="1:15">
      <c r="A1760" s="1" t="s">
        <v>83</v>
      </c>
      <c r="B1760" s="1" t="s">
        <v>86</v>
      </c>
      <c r="C1760" s="1" t="s">
        <v>38</v>
      </c>
      <c r="D1760" s="1" t="s">
        <v>49</v>
      </c>
      <c r="E1760" s="1" t="s">
        <v>46</v>
      </c>
      <c r="F1760" s="1" t="s">
        <v>41</v>
      </c>
      <c r="G1760" s="1">
        <v>20547</v>
      </c>
      <c r="H1760" s="1">
        <f>'1_Departamento_n'!C33</f>
        <v>1447016</v>
      </c>
      <c r="I1760" s="1">
        <f>'1_Departamento_n'!H33</f>
        <v>1312</v>
      </c>
      <c r="J1760" s="1">
        <f>'0_Parametros'!B7</f>
        <v>10</v>
      </c>
      <c r="K1760" s="3">
        <f>(I1760-SUM($J$1738:$J$1793))*G1760/H1760</f>
        <v>10.67807405032149</v>
      </c>
      <c r="L1760" s="1">
        <f>INT(K1760)</f>
        <v>10</v>
      </c>
      <c r="M1760" s="3">
        <f>K1760-L1760</f>
        <v>0.6780740503214897</v>
      </c>
      <c r="N1760" s="1">
        <f>COUNTIF($M$1738:$M$1793,"&gt;"&amp;M1760)+COUNTIF($M$1738:M1760,M1760)</f>
        <v>27</v>
      </c>
      <c r="O1760" s="1">
        <f>J1760+L1760+IF(N1760&lt;=I1760-SUM($J$1738:$J$1793)-SUM($L$1738:$L$1793),1,0)</f>
        <v>21</v>
      </c>
    </row>
    <row r="1761" spans="1:15">
      <c r="A1761" s="1" t="s">
        <v>83</v>
      </c>
      <c r="B1761" s="1" t="s">
        <v>86</v>
      </c>
      <c r="C1761" s="1" t="s">
        <v>38</v>
      </c>
      <c r="D1761" s="1" t="s">
        <v>49</v>
      </c>
      <c r="E1761" s="1" t="s">
        <v>46</v>
      </c>
      <c r="F1761" s="1" t="s">
        <v>42</v>
      </c>
      <c r="G1761" s="1">
        <v>3595</v>
      </c>
      <c r="H1761" s="1">
        <f>'1_Departamento_n'!C33</f>
        <v>1447016</v>
      </c>
      <c r="I1761" s="1">
        <f>'1_Departamento_n'!H33</f>
        <v>1312</v>
      </c>
      <c r="J1761" s="1">
        <f>'0_Parametros'!B7</f>
        <v>10</v>
      </c>
      <c r="K1761" s="3">
        <f>(I1761-SUM($J$1738:$J$1793))*G1761/H1761</f>
        <v>1.8682861834285178</v>
      </c>
      <c r="L1761" s="1">
        <f>INT(K1761)</f>
        <v>1</v>
      </c>
      <c r="M1761" s="3">
        <f>K1761-L1761</f>
        <v>0.8682861834285178</v>
      </c>
      <c r="N1761" s="1">
        <f>COUNTIF($M$1738:$M$1793,"&gt;"&amp;M1761)+COUNTIF($M$1738:M1761,M1761)</f>
        <v>7</v>
      </c>
      <c r="O1761" s="1">
        <f>J1761+L1761+IF(N1761&lt;=I1761-SUM($J$1738:$J$1793)-SUM($L$1738:$L$1793),1,0)</f>
        <v>12</v>
      </c>
    </row>
    <row r="1762" spans="1:15">
      <c r="A1762" s="1" t="s">
        <v>83</v>
      </c>
      <c r="B1762" s="1" t="s">
        <v>86</v>
      </c>
      <c r="C1762" s="1" t="s">
        <v>38</v>
      </c>
      <c r="D1762" s="1" t="s">
        <v>49</v>
      </c>
      <c r="E1762" s="1" t="s">
        <v>47</v>
      </c>
      <c r="F1762" s="1" t="s">
        <v>41</v>
      </c>
      <c r="G1762" s="1">
        <v>14983</v>
      </c>
      <c r="H1762" s="1">
        <f>'1_Departamento_n'!C33</f>
        <v>1447016</v>
      </c>
      <c r="I1762" s="1">
        <f>'1_Departamento_n'!H33</f>
        <v>1312</v>
      </c>
      <c r="J1762" s="1">
        <f>'0_Parametros'!B7</f>
        <v>10</v>
      </c>
      <c r="K1762" s="3">
        <f>(I1762-SUM($J$1738:$J$1793))*G1762/H1762</f>
        <v>7.786517909960913</v>
      </c>
      <c r="L1762" s="1">
        <f>INT(K1762)</f>
        <v>7</v>
      </c>
      <c r="M1762" s="3">
        <f>K1762-L1762</f>
        <v>0.7865179099609128</v>
      </c>
      <c r="N1762" s="1">
        <f>COUNTIF($M$1738:$M$1793,"&gt;"&amp;M1762)+COUNTIF($M$1738:M1762,M1762)</f>
        <v>12</v>
      </c>
      <c r="O1762" s="1">
        <f>J1762+L1762+IF(N1762&lt;=I1762-SUM($J$1738:$J$1793)-SUM($L$1738:$L$1793),1,0)</f>
        <v>18</v>
      </c>
    </row>
    <row r="1763" spans="1:15">
      <c r="A1763" s="1" t="s">
        <v>83</v>
      </c>
      <c r="B1763" s="1" t="s">
        <v>86</v>
      </c>
      <c r="C1763" s="1" t="s">
        <v>38</v>
      </c>
      <c r="D1763" s="1" t="s">
        <v>49</v>
      </c>
      <c r="E1763" s="1" t="s">
        <v>47</v>
      </c>
      <c r="F1763" s="1" t="s">
        <v>42</v>
      </c>
      <c r="G1763" s="1">
        <v>1969</v>
      </c>
      <c r="H1763" s="1">
        <f>'1_Departamento_n'!C33</f>
        <v>1447016</v>
      </c>
      <c r="I1763" s="1">
        <f>'1_Departamento_n'!H33</f>
        <v>1312</v>
      </c>
      <c r="J1763" s="1">
        <f>'0_Parametros'!B7</f>
        <v>10</v>
      </c>
      <c r="K1763" s="3">
        <f>(I1763-SUM($J$1738:$J$1793))*G1763/H1763</f>
        <v>1.023269956932059</v>
      </c>
      <c r="L1763" s="1">
        <f>INT(K1763)</f>
        <v>1</v>
      </c>
      <c r="M1763" s="3">
        <f>K1763-L1763</f>
        <v>0.02326995693205891</v>
      </c>
      <c r="N1763" s="1">
        <f>COUNTIF($M$1738:$M$1793,"&gt;"&amp;M1763)+COUNTIF($M$1738:M1763,M1763)</f>
        <v>55</v>
      </c>
      <c r="O1763" s="1">
        <f>J1763+L1763+IF(N1763&lt;=I1763-SUM($J$1738:$J$1793)-SUM($L$1738:$L$1793),1,0)</f>
        <v>11</v>
      </c>
    </row>
    <row r="1764" spans="1:15">
      <c r="A1764" s="1" t="s">
        <v>83</v>
      </c>
      <c r="B1764" s="1" t="s">
        <v>86</v>
      </c>
      <c r="C1764" s="1" t="s">
        <v>38</v>
      </c>
      <c r="D1764" s="1" t="s">
        <v>49</v>
      </c>
      <c r="E1764" s="1" t="s">
        <v>48</v>
      </c>
      <c r="F1764" s="1" t="s">
        <v>41</v>
      </c>
      <c r="G1764" s="1">
        <v>20887</v>
      </c>
      <c r="H1764" s="1">
        <f>'1_Departamento_n'!C33</f>
        <v>1447016</v>
      </c>
      <c r="I1764" s="1">
        <f>'1_Departamento_n'!H33</f>
        <v>1312</v>
      </c>
      <c r="J1764" s="1">
        <f>'0_Parametros'!B7</f>
        <v>10</v>
      </c>
      <c r="K1764" s="3">
        <f>(I1764-SUM($J$1738:$J$1793))*G1764/H1764</f>
        <v>10.854768710228498</v>
      </c>
      <c r="L1764" s="1">
        <f>INT(K1764)</f>
        <v>10</v>
      </c>
      <c r="M1764" s="3">
        <f>K1764-L1764</f>
        <v>0.8547687102284982</v>
      </c>
      <c r="N1764" s="1">
        <f>COUNTIF($M$1738:$M$1793,"&gt;"&amp;M1764)+COUNTIF($M$1738:M1764,M1764)</f>
        <v>9</v>
      </c>
      <c r="O1764" s="1">
        <f>J1764+L1764+IF(N1764&lt;=I1764-SUM($J$1738:$J$1793)-SUM($L$1738:$L$1793),1,0)</f>
        <v>21</v>
      </c>
    </row>
    <row r="1765" spans="1:15">
      <c r="A1765" s="1" t="s">
        <v>83</v>
      </c>
      <c r="B1765" s="1" t="s">
        <v>86</v>
      </c>
      <c r="C1765" s="1" t="s">
        <v>38</v>
      </c>
      <c r="D1765" s="1" t="s">
        <v>49</v>
      </c>
      <c r="E1765" s="1" t="s">
        <v>48</v>
      </c>
      <c r="F1765" s="1" t="s">
        <v>42</v>
      </c>
      <c r="G1765" s="1">
        <v>1511</v>
      </c>
      <c r="H1765" s="1">
        <f>'1_Departamento_n'!C33</f>
        <v>1447016</v>
      </c>
      <c r="I1765" s="1">
        <f>'1_Departamento_n'!H33</f>
        <v>1312</v>
      </c>
      <c r="J1765" s="1">
        <f>'0_Parametros'!B7</f>
        <v>10</v>
      </c>
      <c r="K1765" s="3">
        <f>(I1765-SUM($J$1738:$J$1793))*G1765/H1765</f>
        <v>0.7852518562337942</v>
      </c>
      <c r="L1765" s="1">
        <f>INT(K1765)</f>
        <v>0</v>
      </c>
      <c r="M1765" s="3">
        <f>K1765-L1765</f>
        <v>0.7852518562337942</v>
      </c>
      <c r="N1765" s="1">
        <f>COUNTIF($M$1738:$M$1793,"&gt;"&amp;M1765)+COUNTIF($M$1738:M1765,M1765)</f>
        <v>13</v>
      </c>
      <c r="O1765" s="1">
        <f>J1765+L1765+IF(N1765&lt;=I1765-SUM($J$1738:$J$1793)-SUM($L$1738:$L$1793),1,0)</f>
        <v>11</v>
      </c>
    </row>
    <row r="1766" spans="1:15">
      <c r="A1766" s="1" t="s">
        <v>83</v>
      </c>
      <c r="B1766" s="1" t="s">
        <v>86</v>
      </c>
      <c r="C1766" s="1" t="s">
        <v>50</v>
      </c>
      <c r="D1766" s="1" t="s">
        <v>39</v>
      </c>
      <c r="E1766" s="1" t="s">
        <v>40</v>
      </c>
      <c r="F1766" s="1" t="s">
        <v>41</v>
      </c>
      <c r="G1766" s="1">
        <v>31227</v>
      </c>
      <c r="H1766" s="1">
        <f>'1_Departamento_n'!C33</f>
        <v>1447016</v>
      </c>
      <c r="I1766" s="1">
        <f>'1_Departamento_n'!H33</f>
        <v>1312</v>
      </c>
      <c r="J1766" s="1">
        <f>'0_Parametros'!B7</f>
        <v>10</v>
      </c>
      <c r="K1766" s="3">
        <f>(I1766-SUM($J$1738:$J$1793))*G1766/H1766</f>
        <v>16.228365132106347</v>
      </c>
      <c r="L1766" s="1">
        <f>INT(K1766)</f>
        <v>16</v>
      </c>
      <c r="M1766" s="3">
        <f>K1766-L1766</f>
        <v>0.22836513210634735</v>
      </c>
      <c r="N1766" s="1">
        <f>COUNTIF($M$1738:$M$1793,"&gt;"&amp;M1766)+COUNTIF($M$1738:M1766,M1766)</f>
        <v>46</v>
      </c>
      <c r="O1766" s="1">
        <f>J1766+L1766+IF(N1766&lt;=I1766-SUM($J$1738:$J$1793)-SUM($L$1738:$L$1793),1,0)</f>
        <v>26</v>
      </c>
    </row>
    <row r="1767" spans="1:15">
      <c r="A1767" s="1" t="s">
        <v>83</v>
      </c>
      <c r="B1767" s="1" t="s">
        <v>86</v>
      </c>
      <c r="C1767" s="1" t="s">
        <v>50</v>
      </c>
      <c r="D1767" s="1" t="s">
        <v>39</v>
      </c>
      <c r="E1767" s="1" t="s">
        <v>40</v>
      </c>
      <c r="F1767" s="1" t="s">
        <v>42</v>
      </c>
      <c r="G1767" s="1">
        <v>34371</v>
      </c>
      <c r="H1767" s="1">
        <f>'1_Departamento_n'!C33</f>
        <v>1447016</v>
      </c>
      <c r="I1767" s="1">
        <f>'1_Departamento_n'!H33</f>
        <v>1312</v>
      </c>
      <c r="J1767" s="1">
        <f>'0_Parametros'!B7</f>
        <v>10</v>
      </c>
      <c r="K1767" s="3">
        <f>(I1767-SUM($J$1738:$J$1793))*G1767/H1767</f>
        <v>17.86227104606998</v>
      </c>
      <c r="L1767" s="1">
        <f>INT(K1767)</f>
        <v>17</v>
      </c>
      <c r="M1767" s="3">
        <f>K1767-L1767</f>
        <v>0.8622710460699814</v>
      </c>
      <c r="N1767" s="1">
        <f>COUNTIF($M$1738:$M$1793,"&gt;"&amp;M1767)+COUNTIF($M$1738:M1767,M1767)</f>
        <v>8</v>
      </c>
      <c r="O1767" s="1">
        <f>J1767+L1767+IF(N1767&lt;=I1767-SUM($J$1738:$J$1793)-SUM($L$1738:$L$1793),1,0)</f>
        <v>28</v>
      </c>
    </row>
    <row r="1768" spans="1:15">
      <c r="A1768" s="1" t="s">
        <v>83</v>
      </c>
      <c r="B1768" s="1" t="s">
        <v>86</v>
      </c>
      <c r="C1768" s="1" t="s">
        <v>50</v>
      </c>
      <c r="D1768" s="1" t="s">
        <v>39</v>
      </c>
      <c r="E1768" s="1" t="s">
        <v>43</v>
      </c>
      <c r="F1768" s="1" t="s">
        <v>41</v>
      </c>
      <c r="G1768" s="1">
        <v>40983</v>
      </c>
      <c r="H1768" s="1">
        <f>'1_Departamento_n'!C33</f>
        <v>1447016</v>
      </c>
      <c r="I1768" s="1">
        <f>'1_Departamento_n'!H33</f>
        <v>1312</v>
      </c>
      <c r="J1768" s="1">
        <f>'0_Parametros'!B7</f>
        <v>10</v>
      </c>
      <c r="K1768" s="3">
        <f>(I1768-SUM($J$1738:$J$1793))*G1768/H1768</f>
        <v>21.2984624910851</v>
      </c>
      <c r="L1768" s="1">
        <f>INT(K1768)</f>
        <v>21</v>
      </c>
      <c r="M1768" s="3">
        <f>K1768-L1768</f>
        <v>0.29846249108510037</v>
      </c>
      <c r="N1768" s="1">
        <f>COUNTIF($M$1738:$M$1793,"&gt;"&amp;M1768)+COUNTIF($M$1738:M1768,M1768)</f>
        <v>44</v>
      </c>
      <c r="O1768" s="1">
        <f>J1768+L1768+IF(N1768&lt;=I1768-SUM($J$1738:$J$1793)-SUM($L$1738:$L$1793),1,0)</f>
        <v>31</v>
      </c>
    </row>
    <row r="1769" spans="1:15">
      <c r="A1769" s="1" t="s">
        <v>83</v>
      </c>
      <c r="B1769" s="1" t="s">
        <v>86</v>
      </c>
      <c r="C1769" s="1" t="s">
        <v>50</v>
      </c>
      <c r="D1769" s="1" t="s">
        <v>39</v>
      </c>
      <c r="E1769" s="1" t="s">
        <v>43</v>
      </c>
      <c r="F1769" s="1" t="s">
        <v>42</v>
      </c>
      <c r="G1769" s="1">
        <v>49649</v>
      </c>
      <c r="H1769" s="1">
        <f>'1_Departamento_n'!C33</f>
        <v>1447016</v>
      </c>
      <c r="I1769" s="1">
        <f>'1_Departamento_n'!H33</f>
        <v>1312</v>
      </c>
      <c r="J1769" s="1">
        <f>'0_Parametros'!B7</f>
        <v>10</v>
      </c>
      <c r="K1769" s="3">
        <f>(I1769-SUM($J$1738:$J$1793))*G1769/H1769</f>
        <v>25.802097558009034</v>
      </c>
      <c r="L1769" s="1">
        <f>INT(K1769)</f>
        <v>25</v>
      </c>
      <c r="M1769" s="3">
        <f>K1769-L1769</f>
        <v>0.8020975580090344</v>
      </c>
      <c r="N1769" s="1">
        <f>COUNTIF($M$1738:$M$1793,"&gt;"&amp;M1769)+COUNTIF($M$1738:M1769,M1769)</f>
        <v>11</v>
      </c>
      <c r="O1769" s="1">
        <f>J1769+L1769+IF(N1769&lt;=I1769-SUM($J$1738:$J$1793)-SUM($L$1738:$L$1793),1,0)</f>
        <v>36</v>
      </c>
    </row>
    <row r="1770" spans="1:15">
      <c r="A1770" s="1" t="s">
        <v>83</v>
      </c>
      <c r="B1770" s="1" t="s">
        <v>86</v>
      </c>
      <c r="C1770" s="1" t="s">
        <v>50</v>
      </c>
      <c r="D1770" s="1" t="s">
        <v>39</v>
      </c>
      <c r="E1770" s="1" t="s">
        <v>44</v>
      </c>
      <c r="F1770" s="1" t="s">
        <v>41</v>
      </c>
      <c r="G1770" s="1">
        <v>46782</v>
      </c>
      <c r="H1770" s="1">
        <f>'1_Departamento_n'!C33</f>
        <v>1447016</v>
      </c>
      <c r="I1770" s="1">
        <f>'1_Departamento_n'!H33</f>
        <v>1312</v>
      </c>
      <c r="J1770" s="1">
        <f>'0_Parametros'!B7</f>
        <v>10</v>
      </c>
      <c r="K1770" s="3">
        <f>(I1770-SUM($J$1738:$J$1793))*G1770/H1770</f>
        <v>24.312145822851992</v>
      </c>
      <c r="L1770" s="1">
        <f>INT(K1770)</f>
        <v>24</v>
      </c>
      <c r="M1770" s="3">
        <f>K1770-L1770</f>
        <v>0.312145822851992</v>
      </c>
      <c r="N1770" s="1">
        <f>COUNTIF($M$1738:$M$1793,"&gt;"&amp;M1770)+COUNTIF($M$1738:M1770,M1770)</f>
        <v>43</v>
      </c>
      <c r="O1770" s="1">
        <f>J1770+L1770+IF(N1770&lt;=I1770-SUM($J$1738:$J$1793)-SUM($L$1738:$L$1793),1,0)</f>
        <v>34</v>
      </c>
    </row>
    <row r="1771" spans="1:15">
      <c r="A1771" s="1" t="s">
        <v>83</v>
      </c>
      <c r="B1771" s="1" t="s">
        <v>86</v>
      </c>
      <c r="C1771" s="1" t="s">
        <v>50</v>
      </c>
      <c r="D1771" s="1" t="s">
        <v>39</v>
      </c>
      <c r="E1771" s="1" t="s">
        <v>44</v>
      </c>
      <c r="F1771" s="1" t="s">
        <v>42</v>
      </c>
      <c r="G1771" s="1">
        <v>50346</v>
      </c>
      <c r="H1771" s="1">
        <f>'1_Departamento_n'!C33</f>
        <v>1447016</v>
      </c>
      <c r="I1771" s="1">
        <f>'1_Departamento_n'!H33</f>
        <v>1312</v>
      </c>
      <c r="J1771" s="1">
        <f>'0_Parametros'!B7</f>
        <v>10</v>
      </c>
      <c r="K1771" s="3">
        <f>(I1771-SUM($J$1738:$J$1793))*G1771/H1771</f>
        <v>26.1643216108184</v>
      </c>
      <c r="L1771" s="1">
        <f>INT(K1771)</f>
        <v>26</v>
      </c>
      <c r="M1771" s="3">
        <f>K1771-L1771</f>
        <v>0.16432161081840135</v>
      </c>
      <c r="N1771" s="1">
        <f>COUNTIF($M$1738:$M$1793,"&gt;"&amp;M1771)+COUNTIF($M$1738:M1771,M1771)</f>
        <v>50</v>
      </c>
      <c r="O1771" s="1">
        <f>J1771+L1771+IF(N1771&lt;=I1771-SUM($J$1738:$J$1793)-SUM($L$1738:$L$1793),1,0)</f>
        <v>36</v>
      </c>
    </row>
    <row r="1772" spans="1:15">
      <c r="A1772" s="1" t="s">
        <v>83</v>
      </c>
      <c r="B1772" s="1" t="s">
        <v>86</v>
      </c>
      <c r="C1772" s="1" t="s">
        <v>50</v>
      </c>
      <c r="D1772" s="1" t="s">
        <v>39</v>
      </c>
      <c r="E1772" s="1" t="s">
        <v>45</v>
      </c>
      <c r="F1772" s="1" t="s">
        <v>41</v>
      </c>
      <c r="G1772" s="1">
        <v>42740</v>
      </c>
      <c r="H1772" s="1">
        <f>'1_Departamento_n'!C33</f>
        <v>1447016</v>
      </c>
      <c r="I1772" s="1">
        <f>'1_Departamento_n'!H33</f>
        <v>1312</v>
      </c>
      <c r="J1772" s="1">
        <f>'0_Parametros'!B7</f>
        <v>10</v>
      </c>
      <c r="K1772" s="3">
        <f>(I1772-SUM($J$1738:$J$1793))*G1772/H1772</f>
        <v>22.21155813066338</v>
      </c>
      <c r="L1772" s="1">
        <f>INT(K1772)</f>
        <v>22</v>
      </c>
      <c r="M1772" s="3">
        <f>K1772-L1772</f>
        <v>0.2115581306633807</v>
      </c>
      <c r="N1772" s="1">
        <f>COUNTIF($M$1738:$M$1793,"&gt;"&amp;M1772)+COUNTIF($M$1738:M1772,M1772)</f>
        <v>48</v>
      </c>
      <c r="O1772" s="1">
        <f>J1772+L1772+IF(N1772&lt;=I1772-SUM($J$1738:$J$1793)-SUM($L$1738:$L$1793),1,0)</f>
        <v>32</v>
      </c>
    </row>
    <row r="1773" spans="1:15">
      <c r="A1773" s="1" t="s">
        <v>83</v>
      </c>
      <c r="B1773" s="1" t="s">
        <v>86</v>
      </c>
      <c r="C1773" s="1" t="s">
        <v>50</v>
      </c>
      <c r="D1773" s="1" t="s">
        <v>39</v>
      </c>
      <c r="E1773" s="1" t="s">
        <v>45</v>
      </c>
      <c r="F1773" s="1" t="s">
        <v>42</v>
      </c>
      <c r="G1773" s="1">
        <v>46251</v>
      </c>
      <c r="H1773" s="1">
        <f>'1_Departamento_n'!C33</f>
        <v>1447016</v>
      </c>
      <c r="I1773" s="1">
        <f>'1_Departamento_n'!H33</f>
        <v>1312</v>
      </c>
      <c r="J1773" s="1">
        <f>'0_Parametros'!B7</f>
        <v>10</v>
      </c>
      <c r="K1773" s="3">
        <f>(I1773-SUM($J$1738:$J$1793))*G1773/H1773</f>
        <v>24.03619033929134</v>
      </c>
      <c r="L1773" s="1">
        <f>INT(K1773)</f>
        <v>24</v>
      </c>
      <c r="M1773" s="3">
        <f>K1773-L1773</f>
        <v>0.03619033929134119</v>
      </c>
      <c r="N1773" s="1">
        <f>COUNTIF($M$1738:$M$1793,"&gt;"&amp;M1773)+COUNTIF($M$1738:M1773,M1773)</f>
        <v>54</v>
      </c>
      <c r="O1773" s="1">
        <f>J1773+L1773+IF(N1773&lt;=I1773-SUM($J$1738:$J$1793)-SUM($L$1738:$L$1793),1,0)</f>
        <v>34</v>
      </c>
    </row>
    <row r="1774" spans="1:15">
      <c r="A1774" s="1" t="s">
        <v>83</v>
      </c>
      <c r="B1774" s="1" t="s">
        <v>86</v>
      </c>
      <c r="C1774" s="1" t="s">
        <v>50</v>
      </c>
      <c r="D1774" s="1" t="s">
        <v>39</v>
      </c>
      <c r="E1774" s="1" t="s">
        <v>46</v>
      </c>
      <c r="F1774" s="1" t="s">
        <v>41</v>
      </c>
      <c r="G1774" s="1">
        <v>39814</v>
      </c>
      <c r="H1774" s="1">
        <f>'1_Departamento_n'!C33</f>
        <v>1447016</v>
      </c>
      <c r="I1774" s="1">
        <f>'1_Departamento_n'!H33</f>
        <v>1312</v>
      </c>
      <c r="J1774" s="1">
        <f>'0_Parametros'!B7</f>
        <v>10</v>
      </c>
      <c r="K1774" s="3">
        <f>(I1774-SUM($J$1738:$J$1793))*G1774/H1774</f>
        <v>20.69094467511071</v>
      </c>
      <c r="L1774" s="1">
        <f>INT(K1774)</f>
        <v>20</v>
      </c>
      <c r="M1774" s="3">
        <f>K1774-L1774</f>
        <v>0.6909446751107104</v>
      </c>
      <c r="N1774" s="1">
        <f>COUNTIF($M$1738:$M$1793,"&gt;"&amp;M1774)+COUNTIF($M$1738:M1774,M1774)</f>
        <v>25</v>
      </c>
      <c r="O1774" s="1">
        <f>J1774+L1774+IF(N1774&lt;=I1774-SUM($J$1738:$J$1793)-SUM($L$1738:$L$1793),1,0)</f>
        <v>31</v>
      </c>
    </row>
    <row r="1775" spans="1:15">
      <c r="A1775" s="1" t="s">
        <v>83</v>
      </c>
      <c r="B1775" s="1" t="s">
        <v>86</v>
      </c>
      <c r="C1775" s="1" t="s">
        <v>50</v>
      </c>
      <c r="D1775" s="1" t="s">
        <v>39</v>
      </c>
      <c r="E1775" s="1" t="s">
        <v>46</v>
      </c>
      <c r="F1775" s="1" t="s">
        <v>42</v>
      </c>
      <c r="G1775" s="1">
        <v>43085</v>
      </c>
      <c r="H1775" s="1">
        <f>'1_Departamento_n'!C33</f>
        <v>1447016</v>
      </c>
      <c r="I1775" s="1">
        <f>'1_Departamento_n'!H33</f>
        <v>1312</v>
      </c>
      <c r="J1775" s="1">
        <f>'0_Parametros'!B7</f>
        <v>10</v>
      </c>
      <c r="K1775" s="3">
        <f>(I1775-SUM($J$1738:$J$1793))*G1775/H1775</f>
        <v>22.390851241451372</v>
      </c>
      <c r="L1775" s="1">
        <f>INT(K1775)</f>
        <v>22</v>
      </c>
      <c r="M1775" s="3">
        <f>K1775-L1775</f>
        <v>0.3908512414513723</v>
      </c>
      <c r="N1775" s="1">
        <f>COUNTIF($M$1738:$M$1793,"&gt;"&amp;M1775)+COUNTIF($M$1738:M1775,M1775)</f>
        <v>40</v>
      </c>
      <c r="O1775" s="1">
        <f>J1775+L1775+IF(N1775&lt;=I1775-SUM($J$1738:$J$1793)-SUM($L$1738:$L$1793),1,0)</f>
        <v>32</v>
      </c>
    </row>
    <row r="1776" spans="1:15">
      <c r="A1776" s="1" t="s">
        <v>83</v>
      </c>
      <c r="B1776" s="1" t="s">
        <v>86</v>
      </c>
      <c r="C1776" s="1" t="s">
        <v>50</v>
      </c>
      <c r="D1776" s="1" t="s">
        <v>39</v>
      </c>
      <c r="E1776" s="1" t="s">
        <v>47</v>
      </c>
      <c r="F1776" s="1" t="s">
        <v>41</v>
      </c>
      <c r="G1776" s="1">
        <v>33317</v>
      </c>
      <c r="H1776" s="1">
        <f>'1_Departamento_n'!C33</f>
        <v>1447016</v>
      </c>
      <c r="I1776" s="1">
        <f>'1_Departamento_n'!H33</f>
        <v>1312</v>
      </c>
      <c r="J1776" s="1">
        <f>'0_Parametros'!B7</f>
        <v>10</v>
      </c>
      <c r="K1776" s="3">
        <f>(I1776-SUM($J$1738:$J$1793))*G1776/H1776</f>
        <v>17.314517600358254</v>
      </c>
      <c r="L1776" s="1">
        <f>INT(K1776)</f>
        <v>17</v>
      </c>
      <c r="M1776" s="3">
        <f>K1776-L1776</f>
        <v>0.31451760035825416</v>
      </c>
      <c r="N1776" s="1">
        <f>COUNTIF($M$1738:$M$1793,"&gt;"&amp;M1776)+COUNTIF($M$1738:M1776,M1776)</f>
        <v>42</v>
      </c>
      <c r="O1776" s="1">
        <f>J1776+L1776+IF(N1776&lt;=I1776-SUM($J$1738:$J$1793)-SUM($L$1738:$L$1793),1,0)</f>
        <v>27</v>
      </c>
    </row>
    <row r="1777" spans="1:15">
      <c r="A1777" s="1" t="s">
        <v>83</v>
      </c>
      <c r="B1777" s="1" t="s">
        <v>86</v>
      </c>
      <c r="C1777" s="1" t="s">
        <v>50</v>
      </c>
      <c r="D1777" s="1" t="s">
        <v>39</v>
      </c>
      <c r="E1777" s="1" t="s">
        <v>47</v>
      </c>
      <c r="F1777" s="1" t="s">
        <v>42</v>
      </c>
      <c r="G1777" s="1">
        <v>34602</v>
      </c>
      <c r="H1777" s="1">
        <f>'1_Departamento_n'!C33</f>
        <v>1447016</v>
      </c>
      <c r="I1777" s="1">
        <f>'1_Departamento_n'!H33</f>
        <v>1312</v>
      </c>
      <c r="J1777" s="1">
        <f>'0_Parametros'!B7</f>
        <v>10</v>
      </c>
      <c r="K1777" s="3">
        <f>(I1777-SUM($J$1738:$J$1793))*G1777/H1777</f>
        <v>17.982319476771508</v>
      </c>
      <c r="L1777" s="1">
        <f>INT(K1777)</f>
        <v>17</v>
      </c>
      <c r="M1777" s="3">
        <f>K1777-L1777</f>
        <v>0.982319476771508</v>
      </c>
      <c r="N1777" s="1">
        <f>COUNTIF($M$1738:$M$1793,"&gt;"&amp;M1777)+COUNTIF($M$1738:M1777,M1777)</f>
        <v>1</v>
      </c>
      <c r="O1777" s="1">
        <f>J1777+L1777+IF(N1777&lt;=I1777-SUM($J$1738:$J$1793)-SUM($L$1738:$L$1793),1,0)</f>
        <v>28</v>
      </c>
    </row>
    <row r="1778" spans="1:15">
      <c r="A1778" s="1" t="s">
        <v>83</v>
      </c>
      <c r="B1778" s="1" t="s">
        <v>86</v>
      </c>
      <c r="C1778" s="1" t="s">
        <v>50</v>
      </c>
      <c r="D1778" s="1" t="s">
        <v>39</v>
      </c>
      <c r="E1778" s="1" t="s">
        <v>48</v>
      </c>
      <c r="F1778" s="1" t="s">
        <v>41</v>
      </c>
      <c r="G1778" s="1">
        <v>47521</v>
      </c>
      <c r="H1778" s="1">
        <f>'1_Departamento_n'!C33</f>
        <v>1447016</v>
      </c>
      <c r="I1778" s="1">
        <f>'1_Departamento_n'!H33</f>
        <v>1312</v>
      </c>
      <c r="J1778" s="1">
        <f>'0_Parametros'!B7</f>
        <v>10</v>
      </c>
      <c r="K1778" s="3">
        <f>(I1778-SUM($J$1738:$J$1793))*G1778/H1778</f>
        <v>24.696196863061637</v>
      </c>
      <c r="L1778" s="1">
        <f>INT(K1778)</f>
        <v>24</v>
      </c>
      <c r="M1778" s="3">
        <f>K1778-L1778</f>
        <v>0.6961968630616369</v>
      </c>
      <c r="N1778" s="1">
        <f>COUNTIF($M$1738:$M$1793,"&gt;"&amp;M1778)+COUNTIF($M$1738:M1778,M1778)</f>
        <v>23</v>
      </c>
      <c r="O1778" s="1">
        <f>J1778+L1778+IF(N1778&lt;=I1778-SUM($J$1738:$J$1793)-SUM($L$1738:$L$1793),1,0)</f>
        <v>35</v>
      </c>
    </row>
    <row r="1779" spans="1:15">
      <c r="A1779" s="1" t="s">
        <v>83</v>
      </c>
      <c r="B1779" s="1" t="s">
        <v>86</v>
      </c>
      <c r="C1779" s="1" t="s">
        <v>50</v>
      </c>
      <c r="D1779" s="1" t="s">
        <v>39</v>
      </c>
      <c r="E1779" s="1" t="s">
        <v>48</v>
      </c>
      <c r="F1779" s="1" t="s">
        <v>42</v>
      </c>
      <c r="G1779" s="1">
        <v>55762</v>
      </c>
      <c r="H1779" s="1">
        <f>'1_Departamento_n'!C33</f>
        <v>1447016</v>
      </c>
      <c r="I1779" s="1">
        <f>'1_Departamento_n'!H33</f>
        <v>1312</v>
      </c>
      <c r="J1779" s="1">
        <f>'0_Parametros'!B7</f>
        <v>10</v>
      </c>
      <c r="K1779" s="3">
        <f>(I1779-SUM($J$1738:$J$1793))*G1779/H1779</f>
        <v>28.97896360510181</v>
      </c>
      <c r="L1779" s="1">
        <f>INT(K1779)</f>
        <v>28</v>
      </c>
      <c r="M1779" s="3">
        <f>K1779-L1779</f>
        <v>0.9789636051018107</v>
      </c>
      <c r="N1779" s="1">
        <f>COUNTIF($M$1738:$M$1793,"&gt;"&amp;M1779)+COUNTIF($M$1738:M1779,M1779)</f>
        <v>2</v>
      </c>
      <c r="O1779" s="1">
        <f>J1779+L1779+IF(N1779&lt;=I1779-SUM($J$1738:$J$1793)-SUM($L$1738:$L$1793),1,0)</f>
        <v>39</v>
      </c>
    </row>
    <row r="1780" spans="1:15">
      <c r="A1780" s="1" t="s">
        <v>83</v>
      </c>
      <c r="B1780" s="1" t="s">
        <v>86</v>
      </c>
      <c r="C1780" s="1" t="s">
        <v>50</v>
      </c>
      <c r="D1780" s="1" t="s">
        <v>49</v>
      </c>
      <c r="E1780" s="1" t="s">
        <v>40</v>
      </c>
      <c r="F1780" s="1" t="s">
        <v>41</v>
      </c>
      <c r="G1780" s="1">
        <v>31992</v>
      </c>
      <c r="H1780" s="1">
        <f>'1_Departamento_n'!C33</f>
        <v>1447016</v>
      </c>
      <c r="I1780" s="1">
        <f>'1_Departamento_n'!H33</f>
        <v>1312</v>
      </c>
      <c r="J1780" s="1">
        <f>'0_Parametros'!B7</f>
        <v>10</v>
      </c>
      <c r="K1780" s="3">
        <f>(I1780-SUM($J$1738:$J$1793))*G1780/H1780</f>
        <v>16.625928116897118</v>
      </c>
      <c r="L1780" s="1">
        <f>INT(K1780)</f>
        <v>16</v>
      </c>
      <c r="M1780" s="3">
        <f>K1780-L1780</f>
        <v>0.6259281168971178</v>
      </c>
      <c r="N1780" s="1">
        <f>COUNTIF($M$1738:$M$1793,"&gt;"&amp;M1780)+COUNTIF($M$1738:M1780,M1780)</f>
        <v>28</v>
      </c>
      <c r="O1780" s="1">
        <f>J1780+L1780+IF(N1780&lt;=I1780-SUM($J$1738:$J$1793)-SUM($L$1738:$L$1793),1,0)</f>
        <v>27</v>
      </c>
    </row>
    <row r="1781" spans="1:15">
      <c r="A1781" s="1" t="s">
        <v>83</v>
      </c>
      <c r="B1781" s="1" t="s">
        <v>86</v>
      </c>
      <c r="C1781" s="1" t="s">
        <v>50</v>
      </c>
      <c r="D1781" s="1" t="s">
        <v>49</v>
      </c>
      <c r="E1781" s="1" t="s">
        <v>40</v>
      </c>
      <c r="F1781" s="1" t="s">
        <v>42</v>
      </c>
      <c r="G1781" s="1">
        <v>35696</v>
      </c>
      <c r="H1781" s="1">
        <f>'1_Departamento_n'!C33</f>
        <v>1447016</v>
      </c>
      <c r="I1781" s="1">
        <f>'1_Departamento_n'!H33</f>
        <v>1312</v>
      </c>
      <c r="J1781" s="1">
        <f>'0_Parametros'!B7</f>
        <v>10</v>
      </c>
      <c r="K1781" s="3">
        <f>(I1781-SUM($J$1738:$J$1793))*G1781/H1781</f>
        <v>18.550860529531118</v>
      </c>
      <c r="L1781" s="1">
        <f>INT(K1781)</f>
        <v>18</v>
      </c>
      <c r="M1781" s="3">
        <f>K1781-L1781</f>
        <v>0.5508605295311177</v>
      </c>
      <c r="N1781" s="1">
        <f>COUNTIF($M$1738:$M$1793,"&gt;"&amp;M1781)+COUNTIF($M$1738:M1781,M1781)</f>
        <v>33</v>
      </c>
      <c r="O1781" s="1">
        <f>J1781+L1781+IF(N1781&lt;=I1781-SUM($J$1738:$J$1793)-SUM($L$1738:$L$1793),1,0)</f>
        <v>28</v>
      </c>
    </row>
    <row r="1782" spans="1:15">
      <c r="A1782" s="1" t="s">
        <v>83</v>
      </c>
      <c r="B1782" s="1" t="s">
        <v>86</v>
      </c>
      <c r="C1782" s="1" t="s">
        <v>50</v>
      </c>
      <c r="D1782" s="1" t="s">
        <v>49</v>
      </c>
      <c r="E1782" s="1" t="s">
        <v>43</v>
      </c>
      <c r="F1782" s="1" t="s">
        <v>41</v>
      </c>
      <c r="G1782" s="1">
        <v>41823</v>
      </c>
      <c r="H1782" s="1">
        <f>'1_Departamento_n'!C33</f>
        <v>1447016</v>
      </c>
      <c r="I1782" s="1">
        <f>'1_Departamento_n'!H33</f>
        <v>1312</v>
      </c>
      <c r="J1782" s="1">
        <f>'0_Parametros'!B7</f>
        <v>10</v>
      </c>
      <c r="K1782" s="3">
        <f>(I1782-SUM($J$1738:$J$1793))*G1782/H1782</f>
        <v>21.73500223909065</v>
      </c>
      <c r="L1782" s="1">
        <f>INT(K1782)</f>
        <v>21</v>
      </c>
      <c r="M1782" s="3">
        <f>K1782-L1782</f>
        <v>0.735002239090651</v>
      </c>
      <c r="N1782" s="1">
        <f>COUNTIF($M$1738:$M$1793,"&gt;"&amp;M1782)+COUNTIF($M$1738:M1782,M1782)</f>
        <v>20</v>
      </c>
      <c r="O1782" s="1">
        <f>J1782+L1782+IF(N1782&lt;=I1782-SUM($J$1738:$J$1793)-SUM($L$1738:$L$1793),1,0)</f>
        <v>32</v>
      </c>
    </row>
    <row r="1783" spans="1:15">
      <c r="A1783" s="1" t="s">
        <v>83</v>
      </c>
      <c r="B1783" s="1" t="s">
        <v>86</v>
      </c>
      <c r="C1783" s="1" t="s">
        <v>50</v>
      </c>
      <c r="D1783" s="1" t="s">
        <v>49</v>
      </c>
      <c r="E1783" s="1" t="s">
        <v>43</v>
      </c>
      <c r="F1783" s="1" t="s">
        <v>42</v>
      </c>
      <c r="G1783" s="1">
        <v>51476</v>
      </c>
      <c r="H1783" s="1">
        <f>'1_Departamento_n'!C33</f>
        <v>1447016</v>
      </c>
      <c r="I1783" s="1">
        <f>'1_Departamento_n'!H33</f>
        <v>1312</v>
      </c>
      <c r="J1783" s="1">
        <f>'0_Parametros'!B7</f>
        <v>10</v>
      </c>
      <c r="K1783" s="3">
        <f>(I1783-SUM($J$1738:$J$1793))*G1783/H1783</f>
        <v>26.751571509921106</v>
      </c>
      <c r="L1783" s="1">
        <f>INT(K1783)</f>
        <v>26</v>
      </c>
      <c r="M1783" s="3">
        <f>K1783-L1783</f>
        <v>0.7515715099211064</v>
      </c>
      <c r="N1783" s="1">
        <f>COUNTIF($M$1738:$M$1793,"&gt;"&amp;M1783)+COUNTIF($M$1738:M1783,M1783)</f>
        <v>18</v>
      </c>
      <c r="O1783" s="1">
        <f>J1783+L1783+IF(N1783&lt;=I1783-SUM($J$1738:$J$1793)-SUM($L$1738:$L$1793),1,0)</f>
        <v>37</v>
      </c>
    </row>
    <row r="1784" spans="1:15">
      <c r="A1784" s="1" t="s">
        <v>83</v>
      </c>
      <c r="B1784" s="1" t="s">
        <v>86</v>
      </c>
      <c r="C1784" s="1" t="s">
        <v>50</v>
      </c>
      <c r="D1784" s="1" t="s">
        <v>49</v>
      </c>
      <c r="E1784" s="1" t="s">
        <v>44</v>
      </c>
      <c r="F1784" s="1" t="s">
        <v>41</v>
      </c>
      <c r="G1784" s="1">
        <v>44678</v>
      </c>
      <c r="H1784" s="1">
        <f>'1_Departamento_n'!C33</f>
        <v>1447016</v>
      </c>
      <c r="I1784" s="1">
        <f>'1_Departamento_n'!H33</f>
        <v>1312</v>
      </c>
      <c r="J1784" s="1">
        <f>'0_Parametros'!B7</f>
        <v>10</v>
      </c>
      <c r="K1784" s="3">
        <f>(I1784-SUM($J$1738:$J$1793))*G1784/H1784</f>
        <v>23.21871769213333</v>
      </c>
      <c r="L1784" s="1">
        <f>INT(K1784)</f>
        <v>23</v>
      </c>
      <c r="M1784" s="3">
        <f>K1784-L1784</f>
        <v>0.21871769213332826</v>
      </c>
      <c r="N1784" s="1">
        <f>COUNTIF($M$1738:$M$1793,"&gt;"&amp;M1784)+COUNTIF($M$1738:M1784,M1784)</f>
        <v>47</v>
      </c>
      <c r="O1784" s="1">
        <f>J1784+L1784+IF(N1784&lt;=I1784-SUM($J$1738:$J$1793)-SUM($L$1738:$L$1793),1,0)</f>
        <v>33</v>
      </c>
    </row>
    <row r="1785" spans="1:15">
      <c r="A1785" s="1" t="s">
        <v>83</v>
      </c>
      <c r="B1785" s="1" t="s">
        <v>86</v>
      </c>
      <c r="C1785" s="1" t="s">
        <v>50</v>
      </c>
      <c r="D1785" s="1" t="s">
        <v>49</v>
      </c>
      <c r="E1785" s="1" t="s">
        <v>44</v>
      </c>
      <c r="F1785" s="1" t="s">
        <v>42</v>
      </c>
      <c r="G1785" s="1">
        <v>47942</v>
      </c>
      <c r="H1785" s="1">
        <f>'1_Departamento_n'!C33</f>
        <v>1447016</v>
      </c>
      <c r="I1785" s="1">
        <f>'1_Departamento_n'!H33</f>
        <v>1312</v>
      </c>
      <c r="J1785" s="1">
        <f>'0_Parametros'!B7</f>
        <v>10</v>
      </c>
      <c r="K1785" s="3">
        <f>(I1785-SUM($J$1738:$J$1793))*G1785/H1785</f>
        <v>24.91498642724061</v>
      </c>
      <c r="L1785" s="1">
        <f>INT(K1785)</f>
        <v>24</v>
      </c>
      <c r="M1785" s="3">
        <f>K1785-L1785</f>
        <v>0.9149864272406099</v>
      </c>
      <c r="N1785" s="1">
        <f>COUNTIF($M$1738:$M$1793,"&gt;"&amp;M1785)+COUNTIF($M$1738:M1785,M1785)</f>
        <v>4</v>
      </c>
      <c r="O1785" s="1">
        <f>J1785+L1785+IF(N1785&lt;=I1785-SUM($J$1738:$J$1793)-SUM($L$1738:$L$1793),1,0)</f>
        <v>35</v>
      </c>
    </row>
    <row r="1786" spans="1:15">
      <c r="A1786" s="1" t="s">
        <v>83</v>
      </c>
      <c r="B1786" s="1" t="s">
        <v>86</v>
      </c>
      <c r="C1786" s="1" t="s">
        <v>50</v>
      </c>
      <c r="D1786" s="1" t="s">
        <v>49</v>
      </c>
      <c r="E1786" s="1" t="s">
        <v>45</v>
      </c>
      <c r="F1786" s="1" t="s">
        <v>41</v>
      </c>
      <c r="G1786" s="1">
        <v>40171</v>
      </c>
      <c r="H1786" s="1">
        <f>'1_Departamento_n'!C33</f>
        <v>1447016</v>
      </c>
      <c r="I1786" s="1">
        <f>'1_Departamento_n'!H33</f>
        <v>1312</v>
      </c>
      <c r="J1786" s="1">
        <f>'0_Parametros'!B7</f>
        <v>10</v>
      </c>
      <c r="K1786" s="3">
        <f>(I1786-SUM($J$1738:$J$1793))*G1786/H1786</f>
        <v>20.87647406801307</v>
      </c>
      <c r="L1786" s="1">
        <f>INT(K1786)</f>
        <v>20</v>
      </c>
      <c r="M1786" s="3">
        <f>K1786-L1786</f>
        <v>0.8764740680130707</v>
      </c>
      <c r="N1786" s="1">
        <f>COUNTIF($M$1738:$M$1793,"&gt;"&amp;M1786)+COUNTIF($M$1738:M1786,M1786)</f>
        <v>6</v>
      </c>
      <c r="O1786" s="1">
        <f>J1786+L1786+IF(N1786&lt;=I1786-SUM($J$1738:$J$1793)-SUM($L$1738:$L$1793),1,0)</f>
        <v>31</v>
      </c>
    </row>
    <row r="1787" spans="1:15">
      <c r="A1787" s="1" t="s">
        <v>83</v>
      </c>
      <c r="B1787" s="1" t="s">
        <v>86</v>
      </c>
      <c r="C1787" s="1" t="s">
        <v>50</v>
      </c>
      <c r="D1787" s="1" t="s">
        <v>49</v>
      </c>
      <c r="E1787" s="1" t="s">
        <v>45</v>
      </c>
      <c r="F1787" s="1" t="s">
        <v>42</v>
      </c>
      <c r="G1787" s="1">
        <v>42901</v>
      </c>
      <c r="H1787" s="1">
        <f>'1_Departamento_n'!C33</f>
        <v>1447016</v>
      </c>
      <c r="I1787" s="1">
        <f>'1_Departamento_n'!H33</f>
        <v>1312</v>
      </c>
      <c r="J1787" s="1">
        <f>'0_Parametros'!B7</f>
        <v>10</v>
      </c>
      <c r="K1787" s="3">
        <f>(I1787-SUM($J$1738:$J$1793))*G1787/H1787</f>
        <v>22.29522824903111</v>
      </c>
      <c r="L1787" s="1">
        <f>INT(K1787)</f>
        <v>22</v>
      </c>
      <c r="M1787" s="3">
        <f>K1787-L1787</f>
        <v>0.29522824903110845</v>
      </c>
      <c r="N1787" s="1">
        <f>COUNTIF($M$1738:$M$1793,"&gt;"&amp;M1787)+COUNTIF($M$1738:M1787,M1787)</f>
        <v>45</v>
      </c>
      <c r="O1787" s="1">
        <f>J1787+L1787+IF(N1787&lt;=I1787-SUM($J$1738:$J$1793)-SUM($L$1738:$L$1793),1,0)</f>
        <v>32</v>
      </c>
    </row>
    <row r="1788" spans="1:15">
      <c r="A1788" s="1" t="s">
        <v>83</v>
      </c>
      <c r="B1788" s="1" t="s">
        <v>86</v>
      </c>
      <c r="C1788" s="1" t="s">
        <v>50</v>
      </c>
      <c r="D1788" s="1" t="s">
        <v>49</v>
      </c>
      <c r="E1788" s="1" t="s">
        <v>46</v>
      </c>
      <c r="F1788" s="1" t="s">
        <v>41</v>
      </c>
      <c r="G1788" s="1">
        <v>36269</v>
      </c>
      <c r="H1788" s="1">
        <f>'1_Departamento_n'!C33</f>
        <v>1447016</v>
      </c>
      <c r="I1788" s="1">
        <f>'1_Departamento_n'!H33</f>
        <v>1312</v>
      </c>
      <c r="J1788" s="1">
        <f>'0_Parametros'!B7</f>
        <v>10</v>
      </c>
      <c r="K1788" s="3">
        <f>(I1788-SUM($J$1738:$J$1793))*G1788/H1788</f>
        <v>18.848643000492046</v>
      </c>
      <c r="L1788" s="1">
        <f>INT(K1788)</f>
        <v>18</v>
      </c>
      <c r="M1788" s="3">
        <f>K1788-L1788</f>
        <v>0.8486430004920464</v>
      </c>
      <c r="N1788" s="1">
        <f>COUNTIF($M$1738:$M$1793,"&gt;"&amp;M1788)+COUNTIF($M$1738:M1788,M1788)</f>
        <v>10</v>
      </c>
      <c r="O1788" s="1">
        <f>J1788+L1788+IF(N1788&lt;=I1788-SUM($J$1738:$J$1793)-SUM($L$1738:$L$1793),1,0)</f>
        <v>29</v>
      </c>
    </row>
    <row r="1789" spans="1:15">
      <c r="A1789" s="1" t="s">
        <v>83</v>
      </c>
      <c r="B1789" s="1" t="s">
        <v>86</v>
      </c>
      <c r="C1789" s="1" t="s">
        <v>50</v>
      </c>
      <c r="D1789" s="1" t="s">
        <v>49</v>
      </c>
      <c r="E1789" s="1" t="s">
        <v>46</v>
      </c>
      <c r="F1789" s="1" t="s">
        <v>42</v>
      </c>
      <c r="G1789" s="1">
        <v>41410</v>
      </c>
      <c r="H1789" s="1">
        <f>'1_Departamento_n'!C33</f>
        <v>1447016</v>
      </c>
      <c r="I1789" s="1">
        <f>'1_Departamento_n'!H33</f>
        <v>1312</v>
      </c>
      <c r="J1789" s="1">
        <f>'0_Parametros'!B7</f>
        <v>10</v>
      </c>
      <c r="K1789" s="3">
        <f>(I1789-SUM($J$1738:$J$1793))*G1789/H1789</f>
        <v>21.520370196321256</v>
      </c>
      <c r="L1789" s="1">
        <f>INT(K1789)</f>
        <v>21</v>
      </c>
      <c r="M1789" s="3">
        <f>K1789-L1789</f>
        <v>0.5203701963212559</v>
      </c>
      <c r="N1789" s="1">
        <f>COUNTIF($M$1738:$M$1793,"&gt;"&amp;M1789)+COUNTIF($M$1738:M1789,M1789)</f>
        <v>34</v>
      </c>
      <c r="O1789" s="1">
        <f>J1789+L1789+IF(N1789&lt;=I1789-SUM($J$1738:$J$1793)-SUM($L$1738:$L$1793),1,0)</f>
        <v>31</v>
      </c>
    </row>
    <row r="1790" spans="1:15">
      <c r="A1790" s="1" t="s">
        <v>83</v>
      </c>
      <c r="B1790" s="1" t="s">
        <v>86</v>
      </c>
      <c r="C1790" s="1" t="s">
        <v>50</v>
      </c>
      <c r="D1790" s="1" t="s">
        <v>49</v>
      </c>
      <c r="E1790" s="1" t="s">
        <v>47</v>
      </c>
      <c r="F1790" s="1" t="s">
        <v>41</v>
      </c>
      <c r="G1790" s="1">
        <v>29191</v>
      </c>
      <c r="H1790" s="1">
        <f>'1_Departamento_n'!C33</f>
        <v>1447016</v>
      </c>
      <c r="I1790" s="1">
        <f>'1_Departamento_n'!H33</f>
        <v>1312</v>
      </c>
      <c r="J1790" s="1">
        <f>'0_Parametros'!B7</f>
        <v>10</v>
      </c>
      <c r="K1790" s="3">
        <f>(I1790-SUM($J$1738:$J$1793))*G1790/H1790</f>
        <v>15.170275933369085</v>
      </c>
      <c r="L1790" s="1">
        <f>INT(K1790)</f>
        <v>15</v>
      </c>
      <c r="M1790" s="3">
        <f>K1790-L1790</f>
        <v>0.1702759333690853</v>
      </c>
      <c r="N1790" s="1">
        <f>COUNTIF($M$1738:$M$1793,"&gt;"&amp;M1790)+COUNTIF($M$1738:M1790,M1790)</f>
        <v>49</v>
      </c>
      <c r="O1790" s="1">
        <f>J1790+L1790+IF(N1790&lt;=I1790-SUM($J$1738:$J$1793)-SUM($L$1738:$L$1793),1,0)</f>
        <v>25</v>
      </c>
    </row>
    <row r="1791" spans="1:15">
      <c r="A1791" s="1" t="s">
        <v>83</v>
      </c>
      <c r="B1791" s="1" t="s">
        <v>86</v>
      </c>
      <c r="C1791" s="1" t="s">
        <v>50</v>
      </c>
      <c r="D1791" s="1" t="s">
        <v>49</v>
      </c>
      <c r="E1791" s="1" t="s">
        <v>47</v>
      </c>
      <c r="F1791" s="1" t="s">
        <v>42</v>
      </c>
      <c r="G1791" s="1">
        <v>33562</v>
      </c>
      <c r="H1791" s="1">
        <f>'1_Departamento_n'!C33</f>
        <v>1447016</v>
      </c>
      <c r="I1791" s="1">
        <f>'1_Departamento_n'!H33</f>
        <v>1312</v>
      </c>
      <c r="J1791" s="1">
        <f>'0_Parametros'!B7</f>
        <v>10</v>
      </c>
      <c r="K1791" s="3">
        <f>(I1791-SUM($J$1738:$J$1793))*G1791/H1791</f>
        <v>17.44184169352654</v>
      </c>
      <c r="L1791" s="1">
        <f>INT(K1791)</f>
        <v>17</v>
      </c>
      <c r="M1791" s="3">
        <f>K1791-L1791</f>
        <v>0.44184169352654123</v>
      </c>
      <c r="N1791" s="1">
        <f>COUNTIF($M$1738:$M$1793,"&gt;"&amp;M1791)+COUNTIF($M$1738:M1791,M1791)</f>
        <v>37</v>
      </c>
      <c r="O1791" s="1">
        <f>J1791+L1791+IF(N1791&lt;=I1791-SUM($J$1738:$J$1793)-SUM($L$1738:$L$1793),1,0)</f>
        <v>27</v>
      </c>
    </row>
    <row r="1792" spans="1:15">
      <c r="A1792" s="1" t="s">
        <v>83</v>
      </c>
      <c r="B1792" s="1" t="s">
        <v>86</v>
      </c>
      <c r="C1792" s="1" t="s">
        <v>50</v>
      </c>
      <c r="D1792" s="1" t="s">
        <v>49</v>
      </c>
      <c r="E1792" s="1" t="s">
        <v>48</v>
      </c>
      <c r="F1792" s="1" t="s">
        <v>41</v>
      </c>
      <c r="G1792" s="1">
        <v>38581</v>
      </c>
      <c r="H1792" s="1">
        <f>'1_Departamento_n'!C33</f>
        <v>1447016</v>
      </c>
      <c r="I1792" s="1">
        <f>'1_Departamento_n'!H33</f>
        <v>1312</v>
      </c>
      <c r="J1792" s="1">
        <f>'0_Parametros'!B7</f>
        <v>10</v>
      </c>
      <c r="K1792" s="3">
        <f>(I1792-SUM($J$1738:$J$1793))*G1792/H1792</f>
        <v>20.050166687859704</v>
      </c>
      <c r="L1792" s="1">
        <f>INT(K1792)</f>
        <v>20</v>
      </c>
      <c r="M1792" s="3">
        <f>K1792-L1792</f>
        <v>0.05016668785970424</v>
      </c>
      <c r="N1792" s="1">
        <f>COUNTIF($M$1738:$M$1793,"&gt;"&amp;M1792)+COUNTIF($M$1738:M1792,M1792)</f>
        <v>52</v>
      </c>
      <c r="O1792" s="1">
        <f>J1792+L1792+IF(N1792&lt;=I1792-SUM($J$1738:$J$1793)-SUM($L$1738:$L$1793),1,0)</f>
        <v>30</v>
      </c>
    </row>
    <row r="1793" spans="1:15">
      <c r="A1793" s="1" t="s">
        <v>83</v>
      </c>
      <c r="B1793" s="1" t="s">
        <v>86</v>
      </c>
      <c r="C1793" s="1" t="s">
        <v>50</v>
      </c>
      <c r="D1793" s="1" t="s">
        <v>49</v>
      </c>
      <c r="E1793" s="1" t="s">
        <v>48</v>
      </c>
      <c r="F1793" s="1" t="s">
        <v>42</v>
      </c>
      <c r="G1793" s="1">
        <v>52733</v>
      </c>
      <c r="H1793" s="1">
        <f>'1_Departamento_n'!C33</f>
        <v>1447016</v>
      </c>
      <c r="I1793" s="1">
        <f>'1_Departamento_n'!H33</f>
        <v>1312</v>
      </c>
      <c r="J1793" s="1">
        <f>'0_Parametros'!B7</f>
        <v>10</v>
      </c>
      <c r="K1793" s="3">
        <f>(I1793-SUM($J$1738:$J$1793))*G1793/H1793</f>
        <v>27.404822061400843</v>
      </c>
      <c r="L1793" s="1">
        <f>INT(K1793)</f>
        <v>27</v>
      </c>
      <c r="M1793" s="3">
        <f>K1793-L1793</f>
        <v>0.40482206140084287</v>
      </c>
      <c r="N1793" s="1">
        <f>COUNTIF($M$1738:$M$1793,"&gt;"&amp;M1793)+COUNTIF($M$1738:M1793,M1793)</f>
        <v>38</v>
      </c>
      <c r="O1793" s="1">
        <f>J1793+L1793+IF(N1793&lt;=I1793-SUM($J$1738:$J$1793)-SUM($L$1738:$L$1793),1,0)</f>
        <v>37</v>
      </c>
    </row>
    <row r="1794" spans="1:15">
      <c r="A1794" s="1" t="s">
        <v>83</v>
      </c>
      <c r="B1794" s="1" t="s">
        <v>87</v>
      </c>
      <c r="C1794" s="1" t="s">
        <v>38</v>
      </c>
      <c r="D1794" s="1" t="s">
        <v>39</v>
      </c>
      <c r="E1794" s="1" t="s">
        <v>40</v>
      </c>
      <c r="F1794" s="1" t="s">
        <v>41</v>
      </c>
      <c r="G1794" s="1">
        <v>89438</v>
      </c>
      <c r="H1794" s="1">
        <f>'1_Departamento_n'!C34</f>
        <v>4628732</v>
      </c>
      <c r="I1794" s="1">
        <f>'1_Departamento_n'!H34</f>
        <v>1313</v>
      </c>
      <c r="J1794" s="1">
        <f>'0_Parametros'!B7</f>
        <v>10</v>
      </c>
      <c r="K1794" s="3">
        <f>(I1794-SUM($J$1794:$J$1849))*G1794/H1794</f>
        <v>14.549732842601387</v>
      </c>
      <c r="L1794" s="1">
        <f>INT(K1794)</f>
        <v>14</v>
      </c>
      <c r="M1794" s="3">
        <f>K1794-L1794</f>
        <v>0.5497328426013866</v>
      </c>
      <c r="N1794" s="1">
        <f>COUNTIF($M$1794:$M$1849,"&gt;"&amp;M1794)+COUNTIF($M$1794:M1794,M1794)</f>
        <v>29</v>
      </c>
      <c r="O1794" s="1">
        <f>J1794+L1794+IF(N1794&lt;=I1794-SUM($J$1794:$J$1849)-SUM($L$1794:$L$1849),1,0)</f>
        <v>25</v>
      </c>
    </row>
    <row r="1795" spans="1:15">
      <c r="A1795" s="1" t="s">
        <v>83</v>
      </c>
      <c r="B1795" s="1" t="s">
        <v>87</v>
      </c>
      <c r="C1795" s="1" t="s">
        <v>38</v>
      </c>
      <c r="D1795" s="1" t="s">
        <v>39</v>
      </c>
      <c r="E1795" s="1" t="s">
        <v>40</v>
      </c>
      <c r="F1795" s="1" t="s">
        <v>42</v>
      </c>
      <c r="G1795" s="1">
        <v>4653</v>
      </c>
      <c r="H1795" s="1">
        <f>'1_Departamento_n'!C34</f>
        <v>4628732</v>
      </c>
      <c r="I1795" s="1">
        <f>'1_Departamento_n'!H34</f>
        <v>1313</v>
      </c>
      <c r="J1795" s="1">
        <f>'0_Parametros'!B7</f>
        <v>10</v>
      </c>
      <c r="K1795" s="3">
        <f>(I1795-SUM($J$1794:$J$1849))*G1795/H1795</f>
        <v>0.7569479071158148</v>
      </c>
      <c r="L1795" s="1">
        <f>INT(K1795)</f>
        <v>0</v>
      </c>
      <c r="M1795" s="3">
        <f>K1795-L1795</f>
        <v>0.7569479071158148</v>
      </c>
      <c r="N1795" s="1">
        <f>COUNTIF($M$1794:$M$1849,"&gt;"&amp;M1795)+COUNTIF($M$1794:M1795,M1795)</f>
        <v>21</v>
      </c>
      <c r="O1795" s="1">
        <f>J1795+L1795+IF(N1795&lt;=I1795-SUM($J$1794:$J$1849)-SUM($L$1794:$L$1849),1,0)</f>
        <v>11</v>
      </c>
    </row>
    <row r="1796" spans="1:15">
      <c r="A1796" s="1" t="s">
        <v>83</v>
      </c>
      <c r="B1796" s="1" t="s">
        <v>87</v>
      </c>
      <c r="C1796" s="1" t="s">
        <v>38</v>
      </c>
      <c r="D1796" s="1" t="s">
        <v>39</v>
      </c>
      <c r="E1796" s="1" t="s">
        <v>43</v>
      </c>
      <c r="F1796" s="1" t="s">
        <v>41</v>
      </c>
      <c r="G1796" s="1">
        <v>128225</v>
      </c>
      <c r="H1796" s="1">
        <f>'1_Departamento_n'!C34</f>
        <v>4628732</v>
      </c>
      <c r="I1796" s="1">
        <f>'1_Departamento_n'!H34</f>
        <v>1313</v>
      </c>
      <c r="J1796" s="1">
        <f>'0_Parametros'!B7</f>
        <v>10</v>
      </c>
      <c r="K1796" s="3">
        <f>(I1796-SUM($J$1794:$J$1849))*G1796/H1796</f>
        <v>20.85958422306584</v>
      </c>
      <c r="L1796" s="1">
        <f>INT(K1796)</f>
        <v>20</v>
      </c>
      <c r="M1796" s="3">
        <f>K1796-L1796</f>
        <v>0.8595842230658413</v>
      </c>
      <c r="N1796" s="1">
        <f>COUNTIF($M$1794:$M$1849,"&gt;"&amp;M1796)+COUNTIF($M$1794:M1796,M1796)</f>
        <v>6</v>
      </c>
      <c r="O1796" s="1">
        <f>J1796+L1796+IF(N1796&lt;=I1796-SUM($J$1794:$J$1849)-SUM($L$1794:$L$1849),1,0)</f>
        <v>31</v>
      </c>
    </row>
    <row r="1797" spans="1:15">
      <c r="A1797" s="1" t="s">
        <v>83</v>
      </c>
      <c r="B1797" s="1" t="s">
        <v>87</v>
      </c>
      <c r="C1797" s="1" t="s">
        <v>38</v>
      </c>
      <c r="D1797" s="1" t="s">
        <v>39</v>
      </c>
      <c r="E1797" s="1" t="s">
        <v>43</v>
      </c>
      <c r="F1797" s="1" t="s">
        <v>42</v>
      </c>
      <c r="G1797" s="1">
        <v>5104</v>
      </c>
      <c r="H1797" s="1">
        <f>'1_Departamento_n'!C34</f>
        <v>4628732</v>
      </c>
      <c r="I1797" s="1">
        <f>'1_Departamento_n'!H34</f>
        <v>1313</v>
      </c>
      <c r="J1797" s="1">
        <f>'0_Parametros'!B7</f>
        <v>10</v>
      </c>
      <c r="K1797" s="3">
        <f>(I1797-SUM($J$1794:$J$1849))*G1797/H1797</f>
        <v>0.8303163803823596</v>
      </c>
      <c r="L1797" s="1">
        <f>INT(K1797)</f>
        <v>0</v>
      </c>
      <c r="M1797" s="3">
        <f>K1797-L1797</f>
        <v>0.8303163803823596</v>
      </c>
      <c r="N1797" s="1">
        <f>COUNTIF($M$1794:$M$1849,"&gt;"&amp;M1797)+COUNTIF($M$1794:M1797,M1797)</f>
        <v>11</v>
      </c>
      <c r="O1797" s="1">
        <f>J1797+L1797+IF(N1797&lt;=I1797-SUM($J$1794:$J$1849)-SUM($L$1794:$L$1849),1,0)</f>
        <v>11</v>
      </c>
    </row>
    <row r="1798" spans="1:15">
      <c r="A1798" s="1" t="s">
        <v>83</v>
      </c>
      <c r="B1798" s="1" t="s">
        <v>87</v>
      </c>
      <c r="C1798" s="1" t="s">
        <v>38</v>
      </c>
      <c r="D1798" s="1" t="s">
        <v>39</v>
      </c>
      <c r="E1798" s="1" t="s">
        <v>44</v>
      </c>
      <c r="F1798" s="1" t="s">
        <v>41</v>
      </c>
      <c r="G1798" s="1">
        <v>169285</v>
      </c>
      <c r="H1798" s="1">
        <f>'1_Departamento_n'!C34</f>
        <v>4628732</v>
      </c>
      <c r="I1798" s="1">
        <f>'1_Departamento_n'!H34</f>
        <v>1313</v>
      </c>
      <c r="J1798" s="1">
        <f>'0_Parametros'!B7</f>
        <v>10</v>
      </c>
      <c r="K1798" s="3">
        <f>(I1798-SUM($J$1794:$J$1849))*G1798/H1798</f>
        <v>27.539206201612018</v>
      </c>
      <c r="L1798" s="1">
        <f>INT(K1798)</f>
        <v>27</v>
      </c>
      <c r="M1798" s="3">
        <f>K1798-L1798</f>
        <v>0.5392062016120178</v>
      </c>
      <c r="N1798" s="1">
        <f>COUNTIF($M$1794:$M$1849,"&gt;"&amp;M1798)+COUNTIF($M$1794:M1798,M1798)</f>
        <v>30</v>
      </c>
      <c r="O1798" s="1">
        <f>J1798+L1798+IF(N1798&lt;=I1798-SUM($J$1794:$J$1849)-SUM($L$1794:$L$1849),1,0)</f>
        <v>38</v>
      </c>
    </row>
    <row r="1799" spans="1:15">
      <c r="A1799" s="1" t="s">
        <v>83</v>
      </c>
      <c r="B1799" s="1" t="s">
        <v>87</v>
      </c>
      <c r="C1799" s="1" t="s">
        <v>38</v>
      </c>
      <c r="D1799" s="1" t="s">
        <v>39</v>
      </c>
      <c r="E1799" s="1" t="s">
        <v>44</v>
      </c>
      <c r="F1799" s="1" t="s">
        <v>42</v>
      </c>
      <c r="G1799" s="1">
        <v>10688</v>
      </c>
      <c r="H1799" s="1">
        <f>'1_Departamento_n'!C34</f>
        <v>4628732</v>
      </c>
      <c r="I1799" s="1">
        <f>'1_Departamento_n'!H34</f>
        <v>1313</v>
      </c>
      <c r="J1799" s="1">
        <f>'0_Parametros'!B7</f>
        <v>10</v>
      </c>
      <c r="K1799" s="3">
        <f>(I1799-SUM($J$1794:$J$1849))*G1799/H1799</f>
        <v>1.7387189407379817</v>
      </c>
      <c r="L1799" s="1">
        <f>INT(K1799)</f>
        <v>1</v>
      </c>
      <c r="M1799" s="3">
        <f>K1799-L1799</f>
        <v>0.7387189407379817</v>
      </c>
      <c r="N1799" s="1">
        <f>COUNTIF($M$1794:$M$1849,"&gt;"&amp;M1799)+COUNTIF($M$1794:M1799,M1799)</f>
        <v>22</v>
      </c>
      <c r="O1799" s="1">
        <f>J1799+L1799+IF(N1799&lt;=I1799-SUM($J$1794:$J$1849)-SUM($L$1794:$L$1849),1,0)</f>
        <v>12</v>
      </c>
    </row>
    <row r="1800" spans="1:15">
      <c r="A1800" s="1" t="s">
        <v>83</v>
      </c>
      <c r="B1800" s="1" t="s">
        <v>87</v>
      </c>
      <c r="C1800" s="1" t="s">
        <v>38</v>
      </c>
      <c r="D1800" s="1" t="s">
        <v>39</v>
      </c>
      <c r="E1800" s="1" t="s">
        <v>45</v>
      </c>
      <c r="F1800" s="1" t="s">
        <v>41</v>
      </c>
      <c r="G1800" s="1">
        <v>199232</v>
      </c>
      <c r="H1800" s="1">
        <f>'1_Departamento_n'!C34</f>
        <v>4628732</v>
      </c>
      <c r="I1800" s="1">
        <f>'1_Departamento_n'!H34</f>
        <v>1313</v>
      </c>
      <c r="J1800" s="1">
        <f>'0_Parametros'!B7</f>
        <v>10</v>
      </c>
      <c r="K1800" s="3">
        <f>(I1800-SUM($J$1794:$J$1849))*G1800/H1800</f>
        <v>32.41097043423555</v>
      </c>
      <c r="L1800" s="1">
        <f>INT(K1800)</f>
        <v>32</v>
      </c>
      <c r="M1800" s="3">
        <f>K1800-L1800</f>
        <v>0.41097043423555135</v>
      </c>
      <c r="N1800" s="1">
        <f>COUNTIF($M$1794:$M$1849,"&gt;"&amp;M1800)+COUNTIF($M$1794:M1800,M1800)</f>
        <v>38</v>
      </c>
      <c r="O1800" s="1">
        <f>J1800+L1800+IF(N1800&lt;=I1800-SUM($J$1794:$J$1849)-SUM($L$1794:$L$1849),1,0)</f>
        <v>42</v>
      </c>
    </row>
    <row r="1801" spans="1:15">
      <c r="A1801" s="1" t="s">
        <v>83</v>
      </c>
      <c r="B1801" s="1" t="s">
        <v>87</v>
      </c>
      <c r="C1801" s="1" t="s">
        <v>38</v>
      </c>
      <c r="D1801" s="1" t="s">
        <v>39</v>
      </c>
      <c r="E1801" s="1" t="s">
        <v>45</v>
      </c>
      <c r="F1801" s="1" t="s">
        <v>42</v>
      </c>
      <c r="G1801" s="1">
        <v>9072</v>
      </c>
      <c r="H1801" s="1">
        <f>'1_Departamento_n'!C34</f>
        <v>4628732</v>
      </c>
      <c r="I1801" s="1">
        <f>'1_Departamento_n'!H34</f>
        <v>1313</v>
      </c>
      <c r="J1801" s="1">
        <f>'0_Parametros'!B7</f>
        <v>10</v>
      </c>
      <c r="K1801" s="3">
        <f>(I1801-SUM($J$1794:$J$1849))*G1801/H1801</f>
        <v>1.475828801494664</v>
      </c>
      <c r="L1801" s="1">
        <f>INT(K1801)</f>
        <v>1</v>
      </c>
      <c r="M1801" s="3">
        <f>K1801-L1801</f>
        <v>0.4758288014946641</v>
      </c>
      <c r="N1801" s="1">
        <f>COUNTIF($M$1794:$M$1849,"&gt;"&amp;M1801)+COUNTIF($M$1794:M1801,M1801)</f>
        <v>34</v>
      </c>
      <c r="O1801" s="1">
        <f>J1801+L1801+IF(N1801&lt;=I1801-SUM($J$1794:$J$1849)-SUM($L$1794:$L$1849),1,0)</f>
        <v>11</v>
      </c>
    </row>
    <row r="1802" spans="1:15">
      <c r="A1802" s="1" t="s">
        <v>83</v>
      </c>
      <c r="B1802" s="1" t="s">
        <v>87</v>
      </c>
      <c r="C1802" s="1" t="s">
        <v>38</v>
      </c>
      <c r="D1802" s="1" t="s">
        <v>39</v>
      </c>
      <c r="E1802" s="1" t="s">
        <v>46</v>
      </c>
      <c r="F1802" s="1" t="s">
        <v>41</v>
      </c>
      <c r="G1802" s="1">
        <v>181001</v>
      </c>
      <c r="H1802" s="1">
        <f>'1_Departamento_n'!C34</f>
        <v>4628732</v>
      </c>
      <c r="I1802" s="1">
        <f>'1_Departamento_n'!H34</f>
        <v>1313</v>
      </c>
      <c r="J1802" s="1">
        <f>'0_Parametros'!B7</f>
        <v>10</v>
      </c>
      <c r="K1802" s="3">
        <f>(I1802-SUM($J$1794:$J$1849))*G1802/H1802</f>
        <v>29.44515971112607</v>
      </c>
      <c r="L1802" s="1">
        <f>INT(K1802)</f>
        <v>29</v>
      </c>
      <c r="M1802" s="3">
        <f>K1802-L1802</f>
        <v>0.44515971112607033</v>
      </c>
      <c r="N1802" s="1">
        <f>COUNTIF($M$1794:$M$1849,"&gt;"&amp;M1802)+COUNTIF($M$1794:M1802,M1802)</f>
        <v>36</v>
      </c>
      <c r="O1802" s="1">
        <f>J1802+L1802+IF(N1802&lt;=I1802-SUM($J$1794:$J$1849)-SUM($L$1794:$L$1849),1,0)</f>
        <v>39</v>
      </c>
    </row>
    <row r="1803" spans="1:15">
      <c r="A1803" s="1" t="s">
        <v>83</v>
      </c>
      <c r="B1803" s="1" t="s">
        <v>87</v>
      </c>
      <c r="C1803" s="1" t="s">
        <v>38</v>
      </c>
      <c r="D1803" s="1" t="s">
        <v>39</v>
      </c>
      <c r="E1803" s="1" t="s">
        <v>46</v>
      </c>
      <c r="F1803" s="1" t="s">
        <v>42</v>
      </c>
      <c r="G1803" s="1">
        <v>5954</v>
      </c>
      <c r="H1803" s="1">
        <f>'1_Departamento_n'!C34</f>
        <v>4628732</v>
      </c>
      <c r="I1803" s="1">
        <f>'1_Departamento_n'!H34</f>
        <v>1313</v>
      </c>
      <c r="J1803" s="1">
        <f>'0_Parametros'!B7</f>
        <v>10</v>
      </c>
      <c r="K1803" s="3">
        <f>(I1803-SUM($J$1794:$J$1849))*G1803/H1803</f>
        <v>0.9685939907516788</v>
      </c>
      <c r="L1803" s="1">
        <f>INT(K1803)</f>
        <v>0</v>
      </c>
      <c r="M1803" s="3">
        <f>K1803-L1803</f>
        <v>0.9685939907516788</v>
      </c>
      <c r="N1803" s="1">
        <f>COUNTIF($M$1794:$M$1849,"&gt;"&amp;M1803)+COUNTIF($M$1794:M1803,M1803)</f>
        <v>2</v>
      </c>
      <c r="O1803" s="1">
        <f>J1803+L1803+IF(N1803&lt;=I1803-SUM($J$1794:$J$1849)-SUM($L$1794:$L$1849),1,0)</f>
        <v>11</v>
      </c>
    </row>
    <row r="1804" spans="1:15">
      <c r="A1804" s="1" t="s">
        <v>83</v>
      </c>
      <c r="B1804" s="1" t="s">
        <v>87</v>
      </c>
      <c r="C1804" s="1" t="s">
        <v>38</v>
      </c>
      <c r="D1804" s="1" t="s">
        <v>39</v>
      </c>
      <c r="E1804" s="1" t="s">
        <v>47</v>
      </c>
      <c r="F1804" s="1" t="s">
        <v>41</v>
      </c>
      <c r="G1804" s="1">
        <v>160150</v>
      </c>
      <c r="H1804" s="1">
        <f>'1_Departamento_n'!C34</f>
        <v>4628732</v>
      </c>
      <c r="I1804" s="1">
        <f>'1_Departamento_n'!H34</f>
        <v>1313</v>
      </c>
      <c r="J1804" s="1">
        <f>'0_Parametros'!B7</f>
        <v>10</v>
      </c>
      <c r="K1804" s="3">
        <f>(I1804-SUM($J$1794:$J$1849))*G1804/H1804</f>
        <v>26.053128588995865</v>
      </c>
      <c r="L1804" s="1">
        <f>INT(K1804)</f>
        <v>26</v>
      </c>
      <c r="M1804" s="3">
        <f>K1804-L1804</f>
        <v>0.05312858899586459</v>
      </c>
      <c r="N1804" s="1">
        <f>COUNTIF($M$1794:$M$1849,"&gt;"&amp;M1804)+COUNTIF($M$1794:M1804,M1804)</f>
        <v>55</v>
      </c>
      <c r="O1804" s="1">
        <f>J1804+L1804+IF(N1804&lt;=I1804-SUM($J$1794:$J$1849)-SUM($L$1794:$L$1849),1,0)</f>
        <v>36</v>
      </c>
    </row>
    <row r="1805" spans="1:15">
      <c r="A1805" s="1" t="s">
        <v>83</v>
      </c>
      <c r="B1805" s="1" t="s">
        <v>87</v>
      </c>
      <c r="C1805" s="1" t="s">
        <v>38</v>
      </c>
      <c r="D1805" s="1" t="s">
        <v>39</v>
      </c>
      <c r="E1805" s="1" t="s">
        <v>47</v>
      </c>
      <c r="F1805" s="1" t="s">
        <v>42</v>
      </c>
      <c r="G1805" s="1">
        <v>4826</v>
      </c>
      <c r="H1805" s="1">
        <f>'1_Departamento_n'!C34</f>
        <v>4628732</v>
      </c>
      <c r="I1805" s="1">
        <f>'1_Departamento_n'!H34</f>
        <v>1313</v>
      </c>
      <c r="J1805" s="1">
        <f>'0_Parametros'!B7</f>
        <v>10</v>
      </c>
      <c r="K1805" s="3">
        <f>(I1805-SUM($J$1794:$J$1849))*G1805/H1805</f>
        <v>0.7850914678145117</v>
      </c>
      <c r="L1805" s="1">
        <f>INT(K1805)</f>
        <v>0</v>
      </c>
      <c r="M1805" s="3">
        <f>K1805-L1805</f>
        <v>0.7850914678145117</v>
      </c>
      <c r="N1805" s="1">
        <f>COUNTIF($M$1794:$M$1849,"&gt;"&amp;M1805)+COUNTIF($M$1794:M1805,M1805)</f>
        <v>18</v>
      </c>
      <c r="O1805" s="1">
        <f>J1805+L1805+IF(N1805&lt;=I1805-SUM($J$1794:$J$1849)-SUM($L$1794:$L$1849),1,0)</f>
        <v>11</v>
      </c>
    </row>
    <row r="1806" spans="1:15">
      <c r="A1806" s="1" t="s">
        <v>83</v>
      </c>
      <c r="B1806" s="1" t="s">
        <v>87</v>
      </c>
      <c r="C1806" s="1" t="s">
        <v>38</v>
      </c>
      <c r="D1806" s="1" t="s">
        <v>39</v>
      </c>
      <c r="E1806" s="1" t="s">
        <v>48</v>
      </c>
      <c r="F1806" s="1" t="s">
        <v>41</v>
      </c>
      <c r="G1806" s="1">
        <v>310104</v>
      </c>
      <c r="H1806" s="1">
        <f>'1_Departamento_n'!C34</f>
        <v>4628732</v>
      </c>
      <c r="I1806" s="1">
        <f>'1_Departamento_n'!H34</f>
        <v>1313</v>
      </c>
      <c r="J1806" s="1">
        <f>'0_Parametros'!B7</f>
        <v>10</v>
      </c>
      <c r="K1806" s="3">
        <f>(I1806-SUM($J$1794:$J$1849))*G1806/H1806</f>
        <v>50.44757657172634</v>
      </c>
      <c r="L1806" s="1">
        <f>INT(K1806)</f>
        <v>50</v>
      </c>
      <c r="M1806" s="3">
        <f>K1806-L1806</f>
        <v>0.44757657172633714</v>
      </c>
      <c r="N1806" s="1">
        <f>COUNTIF($M$1794:$M$1849,"&gt;"&amp;M1806)+COUNTIF($M$1794:M1806,M1806)</f>
        <v>35</v>
      </c>
      <c r="O1806" s="1">
        <f>J1806+L1806+IF(N1806&lt;=I1806-SUM($J$1794:$J$1849)-SUM($L$1794:$L$1849),1,0)</f>
        <v>60</v>
      </c>
    </row>
    <row r="1807" spans="1:15">
      <c r="A1807" s="1" t="s">
        <v>83</v>
      </c>
      <c r="B1807" s="1" t="s">
        <v>87</v>
      </c>
      <c r="C1807" s="1" t="s">
        <v>38</v>
      </c>
      <c r="D1807" s="1" t="s">
        <v>39</v>
      </c>
      <c r="E1807" s="1" t="s">
        <v>48</v>
      </c>
      <c r="F1807" s="1" t="s">
        <v>42</v>
      </c>
      <c r="G1807" s="1">
        <v>6817</v>
      </c>
      <c r="H1807" s="1">
        <f>'1_Departamento_n'!C34</f>
        <v>4628732</v>
      </c>
      <c r="I1807" s="1">
        <f>'1_Departamento_n'!H34</f>
        <v>1313</v>
      </c>
      <c r="J1807" s="1">
        <f>'0_Parametros'!B7</f>
        <v>10</v>
      </c>
      <c r="K1807" s="3">
        <f>(I1807-SUM($J$1794:$J$1849))*G1807/H1807</f>
        <v>1.1089864351619407</v>
      </c>
      <c r="L1807" s="1">
        <f>INT(K1807)</f>
        <v>1</v>
      </c>
      <c r="M1807" s="3">
        <f>K1807-L1807</f>
        <v>0.10898643516194073</v>
      </c>
      <c r="N1807" s="1">
        <f>COUNTIF($M$1794:$M$1849,"&gt;"&amp;M1807)+COUNTIF($M$1794:M1807,M1807)</f>
        <v>52</v>
      </c>
      <c r="O1807" s="1">
        <f>J1807+L1807+IF(N1807&lt;=I1807-SUM($J$1794:$J$1849)-SUM($L$1794:$L$1849),1,0)</f>
        <v>11</v>
      </c>
    </row>
    <row r="1808" spans="1:15">
      <c r="A1808" s="1" t="s">
        <v>83</v>
      </c>
      <c r="B1808" s="1" t="s">
        <v>87</v>
      </c>
      <c r="C1808" s="1" t="s">
        <v>38</v>
      </c>
      <c r="D1808" s="1" t="s">
        <v>49</v>
      </c>
      <c r="E1808" s="1" t="s">
        <v>40</v>
      </c>
      <c r="F1808" s="1" t="s">
        <v>41</v>
      </c>
      <c r="G1808" s="1">
        <v>93556</v>
      </c>
      <c r="H1808" s="1">
        <f>'1_Departamento_n'!C34</f>
        <v>4628732</v>
      </c>
      <c r="I1808" s="1">
        <f>'1_Departamento_n'!H34</f>
        <v>1313</v>
      </c>
      <c r="J1808" s="1">
        <f>'0_Parametros'!B7</f>
        <v>10</v>
      </c>
      <c r="K1808" s="3">
        <f>(I1808-SUM($J$1794:$J$1849))*G1808/H1808</f>
        <v>15.219647194955336</v>
      </c>
      <c r="L1808" s="1">
        <f>INT(K1808)</f>
        <v>15</v>
      </c>
      <c r="M1808" s="3">
        <f>K1808-L1808</f>
        <v>0.21964719495533558</v>
      </c>
      <c r="N1808" s="1">
        <f>COUNTIF($M$1794:$M$1849,"&gt;"&amp;M1808)+COUNTIF($M$1794:M1808,M1808)</f>
        <v>47</v>
      </c>
      <c r="O1808" s="1">
        <f>J1808+L1808+IF(N1808&lt;=I1808-SUM($J$1794:$J$1849)-SUM($L$1794:$L$1849),1,0)</f>
        <v>25</v>
      </c>
    </row>
    <row r="1809" spans="1:15">
      <c r="A1809" s="1" t="s">
        <v>83</v>
      </c>
      <c r="B1809" s="1" t="s">
        <v>87</v>
      </c>
      <c r="C1809" s="1" t="s">
        <v>38</v>
      </c>
      <c r="D1809" s="1" t="s">
        <v>49</v>
      </c>
      <c r="E1809" s="1" t="s">
        <v>40</v>
      </c>
      <c r="F1809" s="1" t="s">
        <v>42</v>
      </c>
      <c r="G1809" s="1">
        <v>5038</v>
      </c>
      <c r="H1809" s="1">
        <f>'1_Departamento_n'!C34</f>
        <v>4628732</v>
      </c>
      <c r="I1809" s="1">
        <f>'1_Departamento_n'!H34</f>
        <v>1313</v>
      </c>
      <c r="J1809" s="1">
        <f>'0_Parametros'!B7</f>
        <v>10</v>
      </c>
      <c r="K1809" s="3">
        <f>(I1809-SUM($J$1794:$J$1849))*G1809/H1809</f>
        <v>0.819579530636036</v>
      </c>
      <c r="L1809" s="1">
        <f>INT(K1809)</f>
        <v>0</v>
      </c>
      <c r="M1809" s="3">
        <f>K1809-L1809</f>
        <v>0.819579530636036</v>
      </c>
      <c r="N1809" s="1">
        <f>COUNTIF($M$1794:$M$1849,"&gt;"&amp;M1809)+COUNTIF($M$1794:M1809,M1809)</f>
        <v>14</v>
      </c>
      <c r="O1809" s="1">
        <f>J1809+L1809+IF(N1809&lt;=I1809-SUM($J$1794:$J$1849)-SUM($L$1794:$L$1849),1,0)</f>
        <v>11</v>
      </c>
    </row>
    <row r="1810" spans="1:15">
      <c r="A1810" s="1" t="s">
        <v>83</v>
      </c>
      <c r="B1810" s="1" t="s">
        <v>87</v>
      </c>
      <c r="C1810" s="1" t="s">
        <v>38</v>
      </c>
      <c r="D1810" s="1" t="s">
        <v>49</v>
      </c>
      <c r="E1810" s="1" t="s">
        <v>43</v>
      </c>
      <c r="F1810" s="1" t="s">
        <v>41</v>
      </c>
      <c r="G1810" s="1">
        <v>132906</v>
      </c>
      <c r="H1810" s="1">
        <f>'1_Departamento_n'!C34</f>
        <v>4628732</v>
      </c>
      <c r="I1810" s="1">
        <f>'1_Departamento_n'!H34</f>
        <v>1313</v>
      </c>
      <c r="J1810" s="1">
        <f>'0_Parametros'!B7</f>
        <v>10</v>
      </c>
      <c r="K1810" s="3">
        <f>(I1810-SUM($J$1794:$J$1849))*G1810/H1810</f>
        <v>21.621087157346764</v>
      </c>
      <c r="L1810" s="1">
        <f>INT(K1810)</f>
        <v>21</v>
      </c>
      <c r="M1810" s="3">
        <f>K1810-L1810</f>
        <v>0.6210871573467642</v>
      </c>
      <c r="N1810" s="1">
        <f>COUNTIF($M$1794:$M$1849,"&gt;"&amp;M1810)+COUNTIF($M$1794:M1810,M1810)</f>
        <v>25</v>
      </c>
      <c r="O1810" s="1">
        <f>J1810+L1810+IF(N1810&lt;=I1810-SUM($J$1794:$J$1849)-SUM($L$1794:$L$1849),1,0)</f>
        <v>32</v>
      </c>
    </row>
    <row r="1811" spans="1:15">
      <c r="A1811" s="1" t="s">
        <v>83</v>
      </c>
      <c r="B1811" s="1" t="s">
        <v>87</v>
      </c>
      <c r="C1811" s="1" t="s">
        <v>38</v>
      </c>
      <c r="D1811" s="1" t="s">
        <v>49</v>
      </c>
      <c r="E1811" s="1" t="s">
        <v>43</v>
      </c>
      <c r="F1811" s="1" t="s">
        <v>42</v>
      </c>
      <c r="G1811" s="1">
        <v>5249</v>
      </c>
      <c r="H1811" s="1">
        <f>'1_Departamento_n'!C34</f>
        <v>4628732</v>
      </c>
      <c r="I1811" s="1">
        <f>'1_Departamento_n'!H34</f>
        <v>1313</v>
      </c>
      <c r="J1811" s="1">
        <f>'0_Parametros'!B7</f>
        <v>10</v>
      </c>
      <c r="K1811" s="3">
        <f>(I1811-SUM($J$1794:$J$1849))*G1811/H1811</f>
        <v>0.8539049139159494</v>
      </c>
      <c r="L1811" s="1">
        <f>INT(K1811)</f>
        <v>0</v>
      </c>
      <c r="M1811" s="3">
        <f>K1811-L1811</f>
        <v>0.8539049139159494</v>
      </c>
      <c r="N1811" s="1">
        <f>COUNTIF($M$1794:$M$1849,"&gt;"&amp;M1811)+COUNTIF($M$1794:M1811,M1811)</f>
        <v>8</v>
      </c>
      <c r="O1811" s="1">
        <f>J1811+L1811+IF(N1811&lt;=I1811-SUM($J$1794:$J$1849)-SUM($L$1794:$L$1849),1,0)</f>
        <v>11</v>
      </c>
    </row>
    <row r="1812" spans="1:15">
      <c r="A1812" s="1" t="s">
        <v>83</v>
      </c>
      <c r="B1812" s="1" t="s">
        <v>87</v>
      </c>
      <c r="C1812" s="1" t="s">
        <v>38</v>
      </c>
      <c r="D1812" s="1" t="s">
        <v>49</v>
      </c>
      <c r="E1812" s="1" t="s">
        <v>44</v>
      </c>
      <c r="F1812" s="1" t="s">
        <v>41</v>
      </c>
      <c r="G1812" s="1">
        <v>167028</v>
      </c>
      <c r="H1812" s="1">
        <f>'1_Departamento_n'!C34</f>
        <v>4628732</v>
      </c>
      <c r="I1812" s="1">
        <f>'1_Departamento_n'!H34</f>
        <v>1313</v>
      </c>
      <c r="J1812" s="1">
        <f>'0_Parametros'!B7</f>
        <v>10</v>
      </c>
      <c r="K1812" s="3">
        <f>(I1812-SUM($J$1794:$J$1849))*G1812/H1812</f>
        <v>27.17203847619607</v>
      </c>
      <c r="L1812" s="1">
        <f>INT(K1812)</f>
        <v>27</v>
      </c>
      <c r="M1812" s="3">
        <f>K1812-L1812</f>
        <v>0.1720384761960716</v>
      </c>
      <c r="N1812" s="1">
        <f>COUNTIF($M$1794:$M$1849,"&gt;"&amp;M1812)+COUNTIF($M$1794:M1812,M1812)</f>
        <v>48</v>
      </c>
      <c r="O1812" s="1">
        <f>J1812+L1812+IF(N1812&lt;=I1812-SUM($J$1794:$J$1849)-SUM($L$1794:$L$1849),1,0)</f>
        <v>37</v>
      </c>
    </row>
    <row r="1813" spans="1:15">
      <c r="A1813" s="1" t="s">
        <v>83</v>
      </c>
      <c r="B1813" s="1" t="s">
        <v>87</v>
      </c>
      <c r="C1813" s="1" t="s">
        <v>38</v>
      </c>
      <c r="D1813" s="1" t="s">
        <v>49</v>
      </c>
      <c r="E1813" s="1" t="s">
        <v>44</v>
      </c>
      <c r="F1813" s="1" t="s">
        <v>42</v>
      </c>
      <c r="G1813" s="1">
        <v>13312</v>
      </c>
      <c r="H1813" s="1">
        <f>'1_Departamento_n'!C34</f>
        <v>4628732</v>
      </c>
      <c r="I1813" s="1">
        <f>'1_Departamento_n'!H34</f>
        <v>1313</v>
      </c>
      <c r="J1813" s="1">
        <f>'0_Parametros'!B7</f>
        <v>10</v>
      </c>
      <c r="K1813" s="3">
        <f>(I1813-SUM($J$1794:$J$1849))*G1813/H1813</f>
        <v>2.165590057925151</v>
      </c>
      <c r="L1813" s="1">
        <f>INT(K1813)</f>
        <v>2</v>
      </c>
      <c r="M1813" s="3">
        <f>K1813-L1813</f>
        <v>0.1655900579251508</v>
      </c>
      <c r="N1813" s="1">
        <f>COUNTIF($M$1794:$M$1849,"&gt;"&amp;M1813)+COUNTIF($M$1794:M1813,M1813)</f>
        <v>49</v>
      </c>
      <c r="O1813" s="1">
        <f>J1813+L1813+IF(N1813&lt;=I1813-SUM($J$1794:$J$1849)-SUM($L$1794:$L$1849),1,0)</f>
        <v>12</v>
      </c>
    </row>
    <row r="1814" spans="1:15">
      <c r="A1814" s="1" t="s">
        <v>83</v>
      </c>
      <c r="B1814" s="1" t="s">
        <v>87</v>
      </c>
      <c r="C1814" s="1" t="s">
        <v>38</v>
      </c>
      <c r="D1814" s="1" t="s">
        <v>49</v>
      </c>
      <c r="E1814" s="1" t="s">
        <v>45</v>
      </c>
      <c r="F1814" s="1" t="s">
        <v>41</v>
      </c>
      <c r="G1814" s="1">
        <v>183331</v>
      </c>
      <c r="H1814" s="1">
        <f>'1_Departamento_n'!C34</f>
        <v>4628732</v>
      </c>
      <c r="I1814" s="1">
        <f>'1_Departamento_n'!H34</f>
        <v>1313</v>
      </c>
      <c r="J1814" s="1">
        <f>'0_Parametros'!B7</f>
        <v>10</v>
      </c>
      <c r="K1814" s="3">
        <f>(I1814-SUM($J$1794:$J$1849))*G1814/H1814</f>
        <v>29.824203043079617</v>
      </c>
      <c r="L1814" s="1">
        <f>INT(K1814)</f>
        <v>29</v>
      </c>
      <c r="M1814" s="3">
        <f>K1814-L1814</f>
        <v>0.824203043079617</v>
      </c>
      <c r="N1814" s="1">
        <f>COUNTIF($M$1794:$M$1849,"&gt;"&amp;M1814)+COUNTIF($M$1794:M1814,M1814)</f>
        <v>13</v>
      </c>
      <c r="O1814" s="1">
        <f>J1814+L1814+IF(N1814&lt;=I1814-SUM($J$1794:$J$1849)-SUM($L$1794:$L$1849),1,0)</f>
        <v>40</v>
      </c>
    </row>
    <row r="1815" spans="1:15">
      <c r="A1815" s="1" t="s">
        <v>83</v>
      </c>
      <c r="B1815" s="1" t="s">
        <v>87</v>
      </c>
      <c r="C1815" s="1" t="s">
        <v>38</v>
      </c>
      <c r="D1815" s="1" t="s">
        <v>49</v>
      </c>
      <c r="E1815" s="1" t="s">
        <v>45</v>
      </c>
      <c r="F1815" s="1" t="s">
        <v>42</v>
      </c>
      <c r="G1815" s="1">
        <v>9814</v>
      </c>
      <c r="H1815" s="1">
        <f>'1_Departamento_n'!C34</f>
        <v>4628732</v>
      </c>
      <c r="I1815" s="1">
        <f>'1_Departamento_n'!H34</f>
        <v>1313</v>
      </c>
      <c r="J1815" s="1">
        <f>'0_Parametros'!B7</f>
        <v>10</v>
      </c>
      <c r="K1815" s="3">
        <f>(I1815-SUM($J$1794:$J$1849))*G1815/H1815</f>
        <v>1.5965370213699994</v>
      </c>
      <c r="L1815" s="1">
        <f>INT(K1815)</f>
        <v>1</v>
      </c>
      <c r="M1815" s="3">
        <f>K1815-L1815</f>
        <v>0.5965370213699994</v>
      </c>
      <c r="N1815" s="1">
        <f>COUNTIF($M$1794:$M$1849,"&gt;"&amp;M1815)+COUNTIF($M$1794:M1815,M1815)</f>
        <v>26</v>
      </c>
      <c r="O1815" s="1">
        <f>J1815+L1815+IF(N1815&lt;=I1815-SUM($J$1794:$J$1849)-SUM($L$1794:$L$1849),1,0)</f>
        <v>12</v>
      </c>
    </row>
    <row r="1816" spans="1:15">
      <c r="A1816" s="1" t="s">
        <v>83</v>
      </c>
      <c r="B1816" s="1" t="s">
        <v>87</v>
      </c>
      <c r="C1816" s="1" t="s">
        <v>38</v>
      </c>
      <c r="D1816" s="1" t="s">
        <v>49</v>
      </c>
      <c r="E1816" s="1" t="s">
        <v>46</v>
      </c>
      <c r="F1816" s="1" t="s">
        <v>41</v>
      </c>
      <c r="G1816" s="1">
        <v>164594</v>
      </c>
      <c r="H1816" s="1">
        <f>'1_Departamento_n'!C34</f>
        <v>4628732</v>
      </c>
      <c r="I1816" s="1">
        <f>'1_Departamento_n'!H34</f>
        <v>1313</v>
      </c>
      <c r="J1816" s="1">
        <f>'0_Parametros'!B7</f>
        <v>10</v>
      </c>
      <c r="K1816" s="3">
        <f>(I1816-SUM($J$1794:$J$1849))*G1816/H1816</f>
        <v>26.776076471914987</v>
      </c>
      <c r="L1816" s="1">
        <f>INT(K1816)</f>
        <v>26</v>
      </c>
      <c r="M1816" s="3">
        <f>K1816-L1816</f>
        <v>0.7760764719149869</v>
      </c>
      <c r="N1816" s="1">
        <f>COUNTIF($M$1794:$M$1849,"&gt;"&amp;M1816)+COUNTIF($M$1794:M1816,M1816)</f>
        <v>19</v>
      </c>
      <c r="O1816" s="1">
        <f>J1816+L1816+IF(N1816&lt;=I1816-SUM($J$1794:$J$1849)-SUM($L$1794:$L$1849),1,0)</f>
        <v>37</v>
      </c>
    </row>
    <row r="1817" spans="1:15">
      <c r="A1817" s="1" t="s">
        <v>83</v>
      </c>
      <c r="B1817" s="1" t="s">
        <v>87</v>
      </c>
      <c r="C1817" s="1" t="s">
        <v>38</v>
      </c>
      <c r="D1817" s="1" t="s">
        <v>49</v>
      </c>
      <c r="E1817" s="1" t="s">
        <v>46</v>
      </c>
      <c r="F1817" s="1" t="s">
        <v>42</v>
      </c>
      <c r="G1817" s="1">
        <v>6369</v>
      </c>
      <c r="H1817" s="1">
        <f>'1_Departamento_n'!C34</f>
        <v>4628732</v>
      </c>
      <c r="I1817" s="1">
        <f>'1_Departamento_n'!H34</f>
        <v>1313</v>
      </c>
      <c r="J1817" s="1">
        <f>'0_Parametros'!B7</f>
        <v>10</v>
      </c>
      <c r="K1817" s="3">
        <f>(I1817-SUM($J$1794:$J$1849))*G1817/H1817</f>
        <v>1.036106000520229</v>
      </c>
      <c r="L1817" s="1">
        <f>INT(K1817)</f>
        <v>1</v>
      </c>
      <c r="M1817" s="3">
        <f>K1817-L1817</f>
        <v>0.03610600052022894</v>
      </c>
      <c r="N1817" s="1">
        <f>COUNTIF($M$1794:$M$1849,"&gt;"&amp;M1817)+COUNTIF($M$1794:M1817,M1817)</f>
        <v>56</v>
      </c>
      <c r="O1817" s="1">
        <f>J1817+L1817+IF(N1817&lt;=I1817-SUM($J$1794:$J$1849)-SUM($L$1794:$L$1849),1,0)</f>
        <v>11</v>
      </c>
    </row>
    <row r="1818" spans="1:15">
      <c r="A1818" s="1" t="s">
        <v>83</v>
      </c>
      <c r="B1818" s="1" t="s">
        <v>87</v>
      </c>
      <c r="C1818" s="1" t="s">
        <v>38</v>
      </c>
      <c r="D1818" s="1" t="s">
        <v>49</v>
      </c>
      <c r="E1818" s="1" t="s">
        <v>47</v>
      </c>
      <c r="F1818" s="1" t="s">
        <v>41</v>
      </c>
      <c r="G1818" s="1">
        <v>141147</v>
      </c>
      <c r="H1818" s="1">
        <f>'1_Departamento_n'!C34</f>
        <v>4628732</v>
      </c>
      <c r="I1818" s="1">
        <f>'1_Departamento_n'!H34</f>
        <v>1313</v>
      </c>
      <c r="J1818" s="1">
        <f>'0_Parametros'!B7</f>
        <v>10</v>
      </c>
      <c r="K1818" s="3">
        <f>(I1818-SUM($J$1794:$J$1849))*G1818/H1818</f>
        <v>22.961729259762716</v>
      </c>
      <c r="L1818" s="1">
        <f>INT(K1818)</f>
        <v>22</v>
      </c>
      <c r="M1818" s="3">
        <f>K1818-L1818</f>
        <v>0.9617292597627163</v>
      </c>
      <c r="N1818" s="1">
        <f>COUNTIF($M$1794:$M$1849,"&gt;"&amp;M1818)+COUNTIF($M$1794:M1818,M1818)</f>
        <v>3</v>
      </c>
      <c r="O1818" s="1">
        <f>J1818+L1818+IF(N1818&lt;=I1818-SUM($J$1794:$J$1849)-SUM($L$1794:$L$1849),1,0)</f>
        <v>33</v>
      </c>
    </row>
    <row r="1819" spans="1:15">
      <c r="A1819" s="1" t="s">
        <v>83</v>
      </c>
      <c r="B1819" s="1" t="s">
        <v>87</v>
      </c>
      <c r="C1819" s="1" t="s">
        <v>38</v>
      </c>
      <c r="D1819" s="1" t="s">
        <v>49</v>
      </c>
      <c r="E1819" s="1" t="s">
        <v>47</v>
      </c>
      <c r="F1819" s="1" t="s">
        <v>42</v>
      </c>
      <c r="G1819" s="1">
        <v>5033</v>
      </c>
      <c r="H1819" s="1">
        <f>'1_Departamento_n'!C34</f>
        <v>4628732</v>
      </c>
      <c r="I1819" s="1">
        <f>'1_Departamento_n'!H34</f>
        <v>1313</v>
      </c>
      <c r="J1819" s="1">
        <f>'0_Parametros'!B7</f>
        <v>10</v>
      </c>
      <c r="K1819" s="3">
        <f>(I1819-SUM($J$1794:$J$1849))*G1819/H1819</f>
        <v>0.8187661329279812</v>
      </c>
      <c r="L1819" s="1">
        <f>INT(K1819)</f>
        <v>0</v>
      </c>
      <c r="M1819" s="3">
        <f>K1819-L1819</f>
        <v>0.8187661329279812</v>
      </c>
      <c r="N1819" s="1">
        <f>COUNTIF($M$1794:$M$1849,"&gt;"&amp;M1819)+COUNTIF($M$1794:M1819,M1819)</f>
        <v>15</v>
      </c>
      <c r="O1819" s="1">
        <f>J1819+L1819+IF(N1819&lt;=I1819-SUM($J$1794:$J$1849)-SUM($L$1794:$L$1849),1,0)</f>
        <v>11</v>
      </c>
    </row>
    <row r="1820" spans="1:15">
      <c r="A1820" s="1" t="s">
        <v>83</v>
      </c>
      <c r="B1820" s="1" t="s">
        <v>87</v>
      </c>
      <c r="C1820" s="1" t="s">
        <v>38</v>
      </c>
      <c r="D1820" s="1" t="s">
        <v>49</v>
      </c>
      <c r="E1820" s="1" t="s">
        <v>48</v>
      </c>
      <c r="F1820" s="1" t="s">
        <v>41</v>
      </c>
      <c r="G1820" s="1">
        <v>230571</v>
      </c>
      <c r="H1820" s="1">
        <f>'1_Departamento_n'!C34</f>
        <v>4628732</v>
      </c>
      <c r="I1820" s="1">
        <f>'1_Departamento_n'!H34</f>
        <v>1313</v>
      </c>
      <c r="J1820" s="1">
        <f>'0_Parametros'!B7</f>
        <v>10</v>
      </c>
      <c r="K1820" s="3">
        <f>(I1820-SUM($J$1794:$J$1849))*G1820/H1820</f>
        <v>37.50918458878155</v>
      </c>
      <c r="L1820" s="1">
        <f>INT(K1820)</f>
        <v>37</v>
      </c>
      <c r="M1820" s="3">
        <f>K1820-L1820</f>
        <v>0.5091845887815509</v>
      </c>
      <c r="N1820" s="1">
        <f>COUNTIF($M$1794:$M$1849,"&gt;"&amp;M1820)+COUNTIF($M$1794:M1820,M1820)</f>
        <v>32</v>
      </c>
      <c r="O1820" s="1">
        <f>J1820+L1820+IF(N1820&lt;=I1820-SUM($J$1794:$J$1849)-SUM($L$1794:$L$1849),1,0)</f>
        <v>47</v>
      </c>
    </row>
    <row r="1821" spans="1:15">
      <c r="A1821" s="1" t="s">
        <v>83</v>
      </c>
      <c r="B1821" s="1" t="s">
        <v>87</v>
      </c>
      <c r="C1821" s="1" t="s">
        <v>38</v>
      </c>
      <c r="D1821" s="1" t="s">
        <v>49</v>
      </c>
      <c r="E1821" s="1" t="s">
        <v>48</v>
      </c>
      <c r="F1821" s="1" t="s">
        <v>42</v>
      </c>
      <c r="G1821" s="1">
        <v>6610</v>
      </c>
      <c r="H1821" s="1">
        <f>'1_Departamento_n'!C34</f>
        <v>4628732</v>
      </c>
      <c r="I1821" s="1">
        <f>'1_Departamento_n'!H34</f>
        <v>1313</v>
      </c>
      <c r="J1821" s="1">
        <f>'0_Parametros'!B7</f>
        <v>10</v>
      </c>
      <c r="K1821" s="3">
        <f>(I1821-SUM($J$1794:$J$1849))*G1821/H1821</f>
        <v>1.0753117700484711</v>
      </c>
      <c r="L1821" s="1">
        <f>INT(K1821)</f>
        <v>1</v>
      </c>
      <c r="M1821" s="3">
        <f>K1821-L1821</f>
        <v>0.07531177004847112</v>
      </c>
      <c r="N1821" s="1">
        <f>COUNTIF($M$1794:$M$1849,"&gt;"&amp;M1821)+COUNTIF($M$1794:M1821,M1821)</f>
        <v>54</v>
      </c>
      <c r="O1821" s="1">
        <f>J1821+L1821+IF(N1821&lt;=I1821-SUM($J$1794:$J$1849)-SUM($L$1794:$L$1849),1,0)</f>
        <v>11</v>
      </c>
    </row>
    <row r="1822" spans="1:15">
      <c r="A1822" s="1" t="s">
        <v>83</v>
      </c>
      <c r="B1822" s="1" t="s">
        <v>87</v>
      </c>
      <c r="C1822" s="1" t="s">
        <v>50</v>
      </c>
      <c r="D1822" s="1" t="s">
        <v>39</v>
      </c>
      <c r="E1822" s="1" t="s">
        <v>40</v>
      </c>
      <c r="F1822" s="1" t="s">
        <v>41</v>
      </c>
      <c r="G1822" s="1">
        <v>90736</v>
      </c>
      <c r="H1822" s="1">
        <f>'1_Departamento_n'!C34</f>
        <v>4628732</v>
      </c>
      <c r="I1822" s="1">
        <f>'1_Departamento_n'!H34</f>
        <v>1313</v>
      </c>
      <c r="J1822" s="1">
        <f>'0_Parametros'!B7</f>
        <v>10</v>
      </c>
      <c r="K1822" s="3">
        <f>(I1822-SUM($J$1794:$J$1849))*G1822/H1822</f>
        <v>14.760890887612417</v>
      </c>
      <c r="L1822" s="1">
        <f>INT(K1822)</f>
        <v>14</v>
      </c>
      <c r="M1822" s="3">
        <f>K1822-L1822</f>
        <v>0.7608908876124172</v>
      </c>
      <c r="N1822" s="1">
        <f>COUNTIF($M$1794:$M$1849,"&gt;"&amp;M1822)+COUNTIF($M$1794:M1822,M1822)</f>
        <v>20</v>
      </c>
      <c r="O1822" s="1">
        <f>J1822+L1822+IF(N1822&lt;=I1822-SUM($J$1794:$J$1849)-SUM($L$1794:$L$1849),1,0)</f>
        <v>25</v>
      </c>
    </row>
    <row r="1823" spans="1:15">
      <c r="A1823" s="1" t="s">
        <v>83</v>
      </c>
      <c r="B1823" s="1" t="s">
        <v>87</v>
      </c>
      <c r="C1823" s="1" t="s">
        <v>50</v>
      </c>
      <c r="D1823" s="1" t="s">
        <v>39</v>
      </c>
      <c r="E1823" s="1" t="s">
        <v>40</v>
      </c>
      <c r="F1823" s="1" t="s">
        <v>42</v>
      </c>
      <c r="G1823" s="1">
        <v>25232</v>
      </c>
      <c r="H1823" s="1">
        <f>'1_Departamento_n'!C34</f>
        <v>4628732</v>
      </c>
      <c r="I1823" s="1">
        <f>'1_Departamento_n'!H34</f>
        <v>1313</v>
      </c>
      <c r="J1823" s="1">
        <f>'0_Parametros'!B7</f>
        <v>10</v>
      </c>
      <c r="K1823" s="3">
        <f>(I1823-SUM($J$1794:$J$1849))*G1823/H1823</f>
        <v>4.10473019392784</v>
      </c>
      <c r="L1823" s="1">
        <f>INT(K1823)</f>
        <v>4</v>
      </c>
      <c r="M1823" s="3">
        <f>K1823-L1823</f>
        <v>0.10473019392784</v>
      </c>
      <c r="N1823" s="1">
        <f>COUNTIF($M$1794:$M$1849,"&gt;"&amp;M1823)+COUNTIF($M$1794:M1823,M1823)</f>
        <v>53</v>
      </c>
      <c r="O1823" s="1">
        <f>J1823+L1823+IF(N1823&lt;=I1823-SUM($J$1794:$J$1849)-SUM($L$1794:$L$1849),1,0)</f>
        <v>14</v>
      </c>
    </row>
    <row r="1824" spans="1:15">
      <c r="A1824" s="1" t="s">
        <v>83</v>
      </c>
      <c r="B1824" s="1" t="s">
        <v>87</v>
      </c>
      <c r="C1824" s="1" t="s">
        <v>50</v>
      </c>
      <c r="D1824" s="1" t="s">
        <v>39</v>
      </c>
      <c r="E1824" s="1" t="s">
        <v>43</v>
      </c>
      <c r="F1824" s="1" t="s">
        <v>41</v>
      </c>
      <c r="G1824" s="1">
        <v>136152</v>
      </c>
      <c r="H1824" s="1">
        <f>'1_Departamento_n'!C34</f>
        <v>4628732</v>
      </c>
      <c r="I1824" s="1">
        <f>'1_Departamento_n'!H34</f>
        <v>1313</v>
      </c>
      <c r="J1824" s="1">
        <f>'0_Parametros'!B7</f>
        <v>10</v>
      </c>
      <c r="K1824" s="3">
        <f>(I1824-SUM($J$1794:$J$1849))*G1824/H1824</f>
        <v>22.149144949415952</v>
      </c>
      <c r="L1824" s="1">
        <f>INT(K1824)</f>
        <v>22</v>
      </c>
      <c r="M1824" s="3">
        <f>K1824-L1824</f>
        <v>0.1491449494159518</v>
      </c>
      <c r="N1824" s="1">
        <f>COUNTIF($M$1794:$M$1849,"&gt;"&amp;M1824)+COUNTIF($M$1794:M1824,M1824)</f>
        <v>50</v>
      </c>
      <c r="O1824" s="1">
        <f>J1824+L1824+IF(N1824&lt;=I1824-SUM($J$1794:$J$1849)-SUM($L$1794:$L$1849),1,0)</f>
        <v>32</v>
      </c>
    </row>
    <row r="1825" spans="1:15">
      <c r="A1825" s="1" t="s">
        <v>83</v>
      </c>
      <c r="B1825" s="1" t="s">
        <v>87</v>
      </c>
      <c r="C1825" s="1" t="s">
        <v>50</v>
      </c>
      <c r="D1825" s="1" t="s">
        <v>39</v>
      </c>
      <c r="E1825" s="1" t="s">
        <v>43</v>
      </c>
      <c r="F1825" s="1" t="s">
        <v>42</v>
      </c>
      <c r="G1825" s="1">
        <v>29431</v>
      </c>
      <c r="H1825" s="1">
        <f>'1_Departamento_n'!C34</f>
        <v>4628732</v>
      </c>
      <c r="I1825" s="1">
        <f>'1_Departamento_n'!H34</f>
        <v>1313</v>
      </c>
      <c r="J1825" s="1">
        <f>'0_Parametros'!B7</f>
        <v>10</v>
      </c>
      <c r="K1825" s="3">
        <f>(I1825-SUM($J$1794:$J$1849))*G1825/H1825</f>
        <v>4.787821589152277</v>
      </c>
      <c r="L1825" s="1">
        <f>INT(K1825)</f>
        <v>4</v>
      </c>
      <c r="M1825" s="3">
        <f>K1825-L1825</f>
        <v>0.7878215891522773</v>
      </c>
      <c r="N1825" s="1">
        <f>COUNTIF($M$1794:$M$1849,"&gt;"&amp;M1825)+COUNTIF($M$1794:M1825,M1825)</f>
        <v>17</v>
      </c>
      <c r="O1825" s="1">
        <f>J1825+L1825+IF(N1825&lt;=I1825-SUM($J$1794:$J$1849)-SUM($L$1794:$L$1849),1,0)</f>
        <v>15</v>
      </c>
    </row>
    <row r="1826" spans="1:15">
      <c r="A1826" s="1" t="s">
        <v>83</v>
      </c>
      <c r="B1826" s="1" t="s">
        <v>87</v>
      </c>
      <c r="C1826" s="1" t="s">
        <v>50</v>
      </c>
      <c r="D1826" s="1" t="s">
        <v>39</v>
      </c>
      <c r="E1826" s="1" t="s">
        <v>44</v>
      </c>
      <c r="F1826" s="1" t="s">
        <v>41</v>
      </c>
      <c r="G1826" s="1">
        <v>149821</v>
      </c>
      <c r="H1826" s="1">
        <f>'1_Departamento_n'!C34</f>
        <v>4628732</v>
      </c>
      <c r="I1826" s="1">
        <f>'1_Departamento_n'!H34</f>
        <v>1313</v>
      </c>
      <c r="J1826" s="1">
        <f>'0_Parametros'!B7</f>
        <v>10</v>
      </c>
      <c r="K1826" s="3">
        <f>(I1826-SUM($J$1794:$J$1849))*G1826/H1826</f>
        <v>24.372811603696217</v>
      </c>
      <c r="L1826" s="1">
        <f>INT(K1826)</f>
        <v>24</v>
      </c>
      <c r="M1826" s="3">
        <f>K1826-L1826</f>
        <v>0.372811603696217</v>
      </c>
      <c r="N1826" s="1">
        <f>COUNTIF($M$1794:$M$1849,"&gt;"&amp;M1826)+COUNTIF($M$1794:M1826,M1826)</f>
        <v>43</v>
      </c>
      <c r="O1826" s="1">
        <f>J1826+L1826+IF(N1826&lt;=I1826-SUM($J$1794:$J$1849)-SUM($L$1794:$L$1849),1,0)</f>
        <v>34</v>
      </c>
    </row>
    <row r="1827" spans="1:15">
      <c r="A1827" s="1" t="s">
        <v>83</v>
      </c>
      <c r="B1827" s="1" t="s">
        <v>87</v>
      </c>
      <c r="C1827" s="1" t="s">
        <v>50</v>
      </c>
      <c r="D1827" s="1" t="s">
        <v>39</v>
      </c>
      <c r="E1827" s="1" t="s">
        <v>44</v>
      </c>
      <c r="F1827" s="1" t="s">
        <v>42</v>
      </c>
      <c r="G1827" s="1">
        <v>33094</v>
      </c>
      <c r="H1827" s="1">
        <f>'1_Departamento_n'!C34</f>
        <v>4628732</v>
      </c>
      <c r="I1827" s="1">
        <f>'1_Departamento_n'!H34</f>
        <v>1313</v>
      </c>
      <c r="J1827" s="1">
        <f>'0_Parametros'!B7</f>
        <v>10</v>
      </c>
      <c r="K1827" s="3">
        <f>(I1827-SUM($J$1794:$J$1849))*G1827/H1827</f>
        <v>5.383716750073238</v>
      </c>
      <c r="L1827" s="1">
        <f>INT(K1827)</f>
        <v>5</v>
      </c>
      <c r="M1827" s="3">
        <f>K1827-L1827</f>
        <v>0.3837167500732379</v>
      </c>
      <c r="N1827" s="1">
        <f>COUNTIF($M$1794:$M$1849,"&gt;"&amp;M1827)+COUNTIF($M$1794:M1827,M1827)</f>
        <v>41</v>
      </c>
      <c r="O1827" s="1">
        <f>J1827+L1827+IF(N1827&lt;=I1827-SUM($J$1794:$J$1849)-SUM($L$1794:$L$1849),1,0)</f>
        <v>15</v>
      </c>
    </row>
    <row r="1828" spans="1:15">
      <c r="A1828" s="1" t="s">
        <v>83</v>
      </c>
      <c r="B1828" s="1" t="s">
        <v>87</v>
      </c>
      <c r="C1828" s="1" t="s">
        <v>50</v>
      </c>
      <c r="D1828" s="1" t="s">
        <v>39</v>
      </c>
      <c r="E1828" s="1" t="s">
        <v>45</v>
      </c>
      <c r="F1828" s="1" t="s">
        <v>41</v>
      </c>
      <c r="G1828" s="1">
        <v>153174</v>
      </c>
      <c r="H1828" s="1">
        <f>'1_Departamento_n'!C34</f>
        <v>4628732</v>
      </c>
      <c r="I1828" s="1">
        <f>'1_Departamento_n'!H34</f>
        <v>1313</v>
      </c>
      <c r="J1828" s="1">
        <f>'0_Parametros'!B7</f>
        <v>10</v>
      </c>
      <c r="K1828" s="3">
        <f>(I1828-SUM($J$1794:$J$1849))*G1828/H1828</f>
        <v>24.91827610671778</v>
      </c>
      <c r="L1828" s="1">
        <f>INT(K1828)</f>
        <v>24</v>
      </c>
      <c r="M1828" s="3">
        <f>K1828-L1828</f>
        <v>0.91827610671778</v>
      </c>
      <c r="N1828" s="1">
        <f>COUNTIF($M$1794:$M$1849,"&gt;"&amp;M1828)+COUNTIF($M$1794:M1828,M1828)</f>
        <v>4</v>
      </c>
      <c r="O1828" s="1">
        <f>J1828+L1828+IF(N1828&lt;=I1828-SUM($J$1794:$J$1849)-SUM($L$1794:$L$1849),1,0)</f>
        <v>35</v>
      </c>
    </row>
    <row r="1829" spans="1:15">
      <c r="A1829" s="1" t="s">
        <v>83</v>
      </c>
      <c r="B1829" s="1" t="s">
        <v>87</v>
      </c>
      <c r="C1829" s="1" t="s">
        <v>50</v>
      </c>
      <c r="D1829" s="1" t="s">
        <v>39</v>
      </c>
      <c r="E1829" s="1" t="s">
        <v>45</v>
      </c>
      <c r="F1829" s="1" t="s">
        <v>42</v>
      </c>
      <c r="G1829" s="1">
        <v>29659</v>
      </c>
      <c r="H1829" s="1">
        <f>'1_Departamento_n'!C34</f>
        <v>4628732</v>
      </c>
      <c r="I1829" s="1">
        <f>'1_Departamento_n'!H34</f>
        <v>1313</v>
      </c>
      <c r="J1829" s="1">
        <f>'0_Parametros'!B7</f>
        <v>10</v>
      </c>
      <c r="K1829" s="3">
        <f>(I1829-SUM($J$1794:$J$1849))*G1829/H1829</f>
        <v>4.824912524639577</v>
      </c>
      <c r="L1829" s="1">
        <f>INT(K1829)</f>
        <v>4</v>
      </c>
      <c r="M1829" s="3">
        <f>K1829-L1829</f>
        <v>0.8249125246395774</v>
      </c>
      <c r="N1829" s="1">
        <f>COUNTIF($M$1794:$M$1849,"&gt;"&amp;M1829)+COUNTIF($M$1794:M1829,M1829)</f>
        <v>12</v>
      </c>
      <c r="O1829" s="1">
        <f>J1829+L1829+IF(N1829&lt;=I1829-SUM($J$1794:$J$1849)-SUM($L$1794:$L$1849),1,0)</f>
        <v>15</v>
      </c>
    </row>
    <row r="1830" spans="1:15">
      <c r="A1830" s="1" t="s">
        <v>83</v>
      </c>
      <c r="B1830" s="1" t="s">
        <v>87</v>
      </c>
      <c r="C1830" s="1" t="s">
        <v>50</v>
      </c>
      <c r="D1830" s="1" t="s">
        <v>39</v>
      </c>
      <c r="E1830" s="1" t="s">
        <v>46</v>
      </c>
      <c r="F1830" s="1" t="s">
        <v>41</v>
      </c>
      <c r="G1830" s="1">
        <v>134442</v>
      </c>
      <c r="H1830" s="1">
        <f>'1_Departamento_n'!C34</f>
        <v>4628732</v>
      </c>
      <c r="I1830" s="1">
        <f>'1_Departamento_n'!H34</f>
        <v>1313</v>
      </c>
      <c r="J1830" s="1">
        <f>'0_Parametros'!B7</f>
        <v>10</v>
      </c>
      <c r="K1830" s="3">
        <f>(I1830-SUM($J$1794:$J$1849))*G1830/H1830</f>
        <v>21.870962933261204</v>
      </c>
      <c r="L1830" s="1">
        <f>INT(K1830)</f>
        <v>21</v>
      </c>
      <c r="M1830" s="3">
        <f>K1830-L1830</f>
        <v>0.8709629332612039</v>
      </c>
      <c r="N1830" s="1">
        <f>COUNTIF($M$1794:$M$1849,"&gt;"&amp;M1830)+COUNTIF($M$1794:M1830,M1830)</f>
        <v>5</v>
      </c>
      <c r="O1830" s="1">
        <f>J1830+L1830+IF(N1830&lt;=I1830-SUM($J$1794:$J$1849)-SUM($L$1794:$L$1849),1,0)</f>
        <v>32</v>
      </c>
    </row>
    <row r="1831" spans="1:15">
      <c r="A1831" s="1" t="s">
        <v>83</v>
      </c>
      <c r="B1831" s="1" t="s">
        <v>87</v>
      </c>
      <c r="C1831" s="1" t="s">
        <v>50</v>
      </c>
      <c r="D1831" s="1" t="s">
        <v>39</v>
      </c>
      <c r="E1831" s="1" t="s">
        <v>46</v>
      </c>
      <c r="F1831" s="1" t="s">
        <v>42</v>
      </c>
      <c r="G1831" s="1">
        <v>24529</v>
      </c>
      <c r="H1831" s="1">
        <f>'1_Departamento_n'!C34</f>
        <v>4628732</v>
      </c>
      <c r="I1831" s="1">
        <f>'1_Departamento_n'!H34</f>
        <v>1313</v>
      </c>
      <c r="J1831" s="1">
        <f>'0_Parametros'!B7</f>
        <v>10</v>
      </c>
      <c r="K1831" s="3">
        <f>(I1831-SUM($J$1794:$J$1849))*G1831/H1831</f>
        <v>3.990366476175333</v>
      </c>
      <c r="L1831" s="1">
        <f>INT(K1831)</f>
        <v>3</v>
      </c>
      <c r="M1831" s="3">
        <f>K1831-L1831</f>
        <v>0.9903664761753328</v>
      </c>
      <c r="N1831" s="1">
        <f>COUNTIF($M$1794:$M$1849,"&gt;"&amp;M1831)+COUNTIF($M$1794:M1831,M1831)</f>
        <v>1</v>
      </c>
      <c r="O1831" s="1">
        <f>J1831+L1831+IF(N1831&lt;=I1831-SUM($J$1794:$J$1849)-SUM($L$1794:$L$1849),1,0)</f>
        <v>14</v>
      </c>
    </row>
    <row r="1832" spans="1:15">
      <c r="A1832" s="1" t="s">
        <v>83</v>
      </c>
      <c r="B1832" s="1" t="s">
        <v>87</v>
      </c>
      <c r="C1832" s="1" t="s">
        <v>50</v>
      </c>
      <c r="D1832" s="1" t="s">
        <v>39</v>
      </c>
      <c r="E1832" s="1" t="s">
        <v>47</v>
      </c>
      <c r="F1832" s="1" t="s">
        <v>41</v>
      </c>
      <c r="G1832" s="1">
        <v>118479</v>
      </c>
      <c r="H1832" s="1">
        <f>'1_Departamento_n'!C34</f>
        <v>4628732</v>
      </c>
      <c r="I1832" s="1">
        <f>'1_Departamento_n'!H34</f>
        <v>1313</v>
      </c>
      <c r="J1832" s="1">
        <f>'0_Parametros'!B7</f>
        <v>10</v>
      </c>
      <c r="K1832" s="3">
        <f>(I1832-SUM($J$1794:$J$1849))*G1832/H1832</f>
        <v>19.274109410525387</v>
      </c>
      <c r="L1832" s="1">
        <f>INT(K1832)</f>
        <v>19</v>
      </c>
      <c r="M1832" s="3">
        <f>K1832-L1832</f>
        <v>0.2741094105253872</v>
      </c>
      <c r="N1832" s="1">
        <f>COUNTIF($M$1794:$M$1849,"&gt;"&amp;M1832)+COUNTIF($M$1794:M1832,M1832)</f>
        <v>45</v>
      </c>
      <c r="O1832" s="1">
        <f>J1832+L1832+IF(N1832&lt;=I1832-SUM($J$1794:$J$1849)-SUM($L$1794:$L$1849),1,0)</f>
        <v>29</v>
      </c>
    </row>
    <row r="1833" spans="1:15">
      <c r="A1833" s="1" t="s">
        <v>83</v>
      </c>
      <c r="B1833" s="1" t="s">
        <v>87</v>
      </c>
      <c r="C1833" s="1" t="s">
        <v>50</v>
      </c>
      <c r="D1833" s="1" t="s">
        <v>39</v>
      </c>
      <c r="E1833" s="1" t="s">
        <v>47</v>
      </c>
      <c r="F1833" s="1" t="s">
        <v>42</v>
      </c>
      <c r="G1833" s="1">
        <v>22506</v>
      </c>
      <c r="H1833" s="1">
        <f>'1_Departamento_n'!C34</f>
        <v>4628732</v>
      </c>
      <c r="I1833" s="1">
        <f>'1_Departamento_n'!H34</f>
        <v>1313</v>
      </c>
      <c r="J1833" s="1">
        <f>'0_Parametros'!B7</f>
        <v>10</v>
      </c>
      <c r="K1833" s="3">
        <f>(I1833-SUM($J$1794:$J$1849))*G1833/H1833</f>
        <v>3.6612657634963526</v>
      </c>
      <c r="L1833" s="1">
        <f>INT(K1833)</f>
        <v>3</v>
      </c>
      <c r="M1833" s="3">
        <f>K1833-L1833</f>
        <v>0.6612657634963526</v>
      </c>
      <c r="N1833" s="1">
        <f>COUNTIF($M$1794:$M$1849,"&gt;"&amp;M1833)+COUNTIF($M$1794:M1833,M1833)</f>
        <v>23</v>
      </c>
      <c r="O1833" s="1">
        <f>J1833+L1833+IF(N1833&lt;=I1833-SUM($J$1794:$J$1849)-SUM($L$1794:$L$1849),1,0)</f>
        <v>14</v>
      </c>
    </row>
    <row r="1834" spans="1:15">
      <c r="A1834" s="1" t="s">
        <v>83</v>
      </c>
      <c r="B1834" s="1" t="s">
        <v>87</v>
      </c>
      <c r="C1834" s="1" t="s">
        <v>50</v>
      </c>
      <c r="D1834" s="1" t="s">
        <v>39</v>
      </c>
      <c r="E1834" s="1" t="s">
        <v>48</v>
      </c>
      <c r="F1834" s="1" t="s">
        <v>41</v>
      </c>
      <c r="G1834" s="1">
        <v>172902</v>
      </c>
      <c r="H1834" s="1">
        <f>'1_Departamento_n'!C34</f>
        <v>4628732</v>
      </c>
      <c r="I1834" s="1">
        <f>'1_Departamento_n'!H34</f>
        <v>1313</v>
      </c>
      <c r="J1834" s="1">
        <f>'0_Parametros'!B7</f>
        <v>10</v>
      </c>
      <c r="K1834" s="3">
        <f>(I1834-SUM($J$1794:$J$1849))*G1834/H1834</f>
        <v>28.127618103618875</v>
      </c>
      <c r="L1834" s="1">
        <f>INT(K1834)</f>
        <v>28</v>
      </c>
      <c r="M1834" s="3">
        <f>K1834-L1834</f>
        <v>0.12761810361887527</v>
      </c>
      <c r="N1834" s="1">
        <f>COUNTIF($M$1794:$M$1849,"&gt;"&amp;M1834)+COUNTIF($M$1794:M1834,M1834)</f>
        <v>51</v>
      </c>
      <c r="O1834" s="1">
        <f>J1834+L1834+IF(N1834&lt;=I1834-SUM($J$1794:$J$1849)-SUM($L$1794:$L$1849),1,0)</f>
        <v>38</v>
      </c>
    </row>
    <row r="1835" spans="1:15">
      <c r="A1835" s="1" t="s">
        <v>83</v>
      </c>
      <c r="B1835" s="1" t="s">
        <v>87</v>
      </c>
      <c r="C1835" s="1" t="s">
        <v>50</v>
      </c>
      <c r="D1835" s="1" t="s">
        <v>39</v>
      </c>
      <c r="E1835" s="1" t="s">
        <v>48</v>
      </c>
      <c r="F1835" s="1" t="s">
        <v>42</v>
      </c>
      <c r="G1835" s="1">
        <v>34397</v>
      </c>
      <c r="H1835" s="1">
        <f>'1_Departamento_n'!C34</f>
        <v>4628732</v>
      </c>
      <c r="I1835" s="1">
        <f>'1_Departamento_n'!H34</f>
        <v>1313</v>
      </c>
      <c r="J1835" s="1">
        <f>'0_Parametros'!B7</f>
        <v>10</v>
      </c>
      <c r="K1835" s="3">
        <f>(I1835-SUM($J$1794:$J$1849))*G1835/H1835</f>
        <v>5.595688192792324</v>
      </c>
      <c r="L1835" s="1">
        <f>INT(K1835)</f>
        <v>5</v>
      </c>
      <c r="M1835" s="3">
        <f>K1835-L1835</f>
        <v>0.5956881927923243</v>
      </c>
      <c r="N1835" s="1">
        <f>COUNTIF($M$1794:$M$1849,"&gt;"&amp;M1835)+COUNTIF($M$1794:M1835,M1835)</f>
        <v>27</v>
      </c>
      <c r="O1835" s="1">
        <f>J1835+L1835+IF(N1835&lt;=I1835-SUM($J$1794:$J$1849)-SUM($L$1794:$L$1849),1,0)</f>
        <v>16</v>
      </c>
    </row>
    <row r="1836" spans="1:15">
      <c r="A1836" s="1" t="s">
        <v>83</v>
      </c>
      <c r="B1836" s="1" t="s">
        <v>87</v>
      </c>
      <c r="C1836" s="1" t="s">
        <v>50</v>
      </c>
      <c r="D1836" s="1" t="s">
        <v>49</v>
      </c>
      <c r="E1836" s="1" t="s">
        <v>40</v>
      </c>
      <c r="F1836" s="1" t="s">
        <v>41</v>
      </c>
      <c r="G1836" s="1">
        <v>94729</v>
      </c>
      <c r="H1836" s="1">
        <f>'1_Departamento_n'!C34</f>
        <v>4628732</v>
      </c>
      <c r="I1836" s="1">
        <f>'1_Departamento_n'!H34</f>
        <v>1313</v>
      </c>
      <c r="J1836" s="1">
        <f>'0_Parametros'!B7</f>
        <v>10</v>
      </c>
      <c r="K1836" s="3">
        <f>(I1836-SUM($J$1794:$J$1849))*G1836/H1836</f>
        <v>15.410470297264997</v>
      </c>
      <c r="L1836" s="1">
        <f>INT(K1836)</f>
        <v>15</v>
      </c>
      <c r="M1836" s="3">
        <f>K1836-L1836</f>
        <v>0.41047029726499673</v>
      </c>
      <c r="N1836" s="1">
        <f>COUNTIF($M$1794:$M$1849,"&gt;"&amp;M1836)+COUNTIF($M$1794:M1836,M1836)</f>
        <v>39</v>
      </c>
      <c r="O1836" s="1">
        <f>J1836+L1836+IF(N1836&lt;=I1836-SUM($J$1794:$J$1849)-SUM($L$1794:$L$1849),1,0)</f>
        <v>25</v>
      </c>
    </row>
    <row r="1837" spans="1:15">
      <c r="A1837" s="1" t="s">
        <v>83</v>
      </c>
      <c r="B1837" s="1" t="s">
        <v>87</v>
      </c>
      <c r="C1837" s="1" t="s">
        <v>50</v>
      </c>
      <c r="D1837" s="1" t="s">
        <v>49</v>
      </c>
      <c r="E1837" s="1" t="s">
        <v>40</v>
      </c>
      <c r="F1837" s="1" t="s">
        <v>42</v>
      </c>
      <c r="G1837" s="1">
        <v>26357</v>
      </c>
      <c r="H1837" s="1">
        <f>'1_Departamento_n'!C34</f>
        <v>4628732</v>
      </c>
      <c r="I1837" s="1">
        <f>'1_Departamento_n'!H34</f>
        <v>1313</v>
      </c>
      <c r="J1837" s="1">
        <f>'0_Parametros'!B7</f>
        <v>10</v>
      </c>
      <c r="K1837" s="3">
        <f>(I1837-SUM($J$1794:$J$1849))*G1837/H1837</f>
        <v>4.287744678240174</v>
      </c>
      <c r="L1837" s="1">
        <f>INT(K1837)</f>
        <v>4</v>
      </c>
      <c r="M1837" s="3">
        <f>K1837-L1837</f>
        <v>0.28774467824017425</v>
      </c>
      <c r="N1837" s="1">
        <f>COUNTIF($M$1794:$M$1849,"&gt;"&amp;M1837)+COUNTIF($M$1794:M1837,M1837)</f>
        <v>44</v>
      </c>
      <c r="O1837" s="1">
        <f>J1837+L1837+IF(N1837&lt;=I1837-SUM($J$1794:$J$1849)-SUM($L$1794:$L$1849),1,0)</f>
        <v>14</v>
      </c>
    </row>
    <row r="1838" spans="1:15">
      <c r="A1838" s="1" t="s">
        <v>83</v>
      </c>
      <c r="B1838" s="1" t="s">
        <v>87</v>
      </c>
      <c r="C1838" s="1" t="s">
        <v>50</v>
      </c>
      <c r="D1838" s="1" t="s">
        <v>49</v>
      </c>
      <c r="E1838" s="1" t="s">
        <v>43</v>
      </c>
      <c r="F1838" s="1" t="s">
        <v>41</v>
      </c>
      <c r="G1838" s="1">
        <v>139112</v>
      </c>
      <c r="H1838" s="1">
        <f>'1_Departamento_n'!C34</f>
        <v>4628732</v>
      </c>
      <c r="I1838" s="1">
        <f>'1_Departamento_n'!H34</f>
        <v>1313</v>
      </c>
      <c r="J1838" s="1">
        <f>'0_Parametros'!B7</f>
        <v>10</v>
      </c>
      <c r="K1838" s="3">
        <f>(I1838-SUM($J$1794:$J$1849))*G1838/H1838</f>
        <v>22.630676392584405</v>
      </c>
      <c r="L1838" s="1">
        <f>INT(K1838)</f>
        <v>22</v>
      </c>
      <c r="M1838" s="3">
        <f>K1838-L1838</f>
        <v>0.6306763925844052</v>
      </c>
      <c r="N1838" s="1">
        <f>COUNTIF($M$1794:$M$1849,"&gt;"&amp;M1838)+COUNTIF($M$1794:M1838,M1838)</f>
        <v>24</v>
      </c>
      <c r="O1838" s="1">
        <f>J1838+L1838+IF(N1838&lt;=I1838-SUM($J$1794:$J$1849)-SUM($L$1794:$L$1849),1,0)</f>
        <v>33</v>
      </c>
    </row>
    <row r="1839" spans="1:15">
      <c r="A1839" s="1" t="s">
        <v>83</v>
      </c>
      <c r="B1839" s="1" t="s">
        <v>87</v>
      </c>
      <c r="C1839" s="1" t="s">
        <v>50</v>
      </c>
      <c r="D1839" s="1" t="s">
        <v>49</v>
      </c>
      <c r="E1839" s="1" t="s">
        <v>43</v>
      </c>
      <c r="F1839" s="1" t="s">
        <v>42</v>
      </c>
      <c r="G1839" s="1">
        <v>29798</v>
      </c>
      <c r="H1839" s="1">
        <f>'1_Departamento_n'!C34</f>
        <v>4628732</v>
      </c>
      <c r="I1839" s="1">
        <f>'1_Departamento_n'!H34</f>
        <v>1313</v>
      </c>
      <c r="J1839" s="1">
        <f>'0_Parametros'!B7</f>
        <v>10</v>
      </c>
      <c r="K1839" s="3">
        <f>(I1839-SUM($J$1794:$J$1849))*G1839/H1839</f>
        <v>4.8475249809235015</v>
      </c>
      <c r="L1839" s="1">
        <f>INT(K1839)</f>
        <v>4</v>
      </c>
      <c r="M1839" s="3">
        <f>K1839-L1839</f>
        <v>0.8475249809235015</v>
      </c>
      <c r="N1839" s="1">
        <f>COUNTIF($M$1794:$M$1849,"&gt;"&amp;M1839)+COUNTIF($M$1794:M1839,M1839)</f>
        <v>9</v>
      </c>
      <c r="O1839" s="1">
        <f>J1839+L1839+IF(N1839&lt;=I1839-SUM($J$1794:$J$1849)-SUM($L$1794:$L$1849),1,0)</f>
        <v>15</v>
      </c>
    </row>
    <row r="1840" spans="1:15">
      <c r="A1840" s="1" t="s">
        <v>83</v>
      </c>
      <c r="B1840" s="1" t="s">
        <v>87</v>
      </c>
      <c r="C1840" s="1" t="s">
        <v>50</v>
      </c>
      <c r="D1840" s="1" t="s">
        <v>49</v>
      </c>
      <c r="E1840" s="1" t="s">
        <v>44</v>
      </c>
      <c r="F1840" s="1" t="s">
        <v>41</v>
      </c>
      <c r="G1840" s="1">
        <v>130600</v>
      </c>
      <c r="H1840" s="1">
        <f>'1_Departamento_n'!C34</f>
        <v>4628732</v>
      </c>
      <c r="I1840" s="1">
        <f>'1_Departamento_n'!H34</f>
        <v>1313</v>
      </c>
      <c r="J1840" s="1">
        <f>'0_Parametros'!B7</f>
        <v>10</v>
      </c>
      <c r="K1840" s="3">
        <f>(I1840-SUM($J$1794:$J$1849))*G1840/H1840</f>
        <v>21.24594813439188</v>
      </c>
      <c r="L1840" s="1">
        <f>INT(K1840)</f>
        <v>21</v>
      </c>
      <c r="M1840" s="3">
        <f>K1840-L1840</f>
        <v>0.245948134391881</v>
      </c>
      <c r="N1840" s="1">
        <f>COUNTIF($M$1794:$M$1849,"&gt;"&amp;M1840)+COUNTIF($M$1794:M1840,M1840)</f>
        <v>46</v>
      </c>
      <c r="O1840" s="1">
        <f>J1840+L1840+IF(N1840&lt;=I1840-SUM($J$1794:$J$1849)-SUM($L$1794:$L$1849),1,0)</f>
        <v>31</v>
      </c>
    </row>
    <row r="1841" spans="1:15">
      <c r="A1841" s="1" t="s">
        <v>83</v>
      </c>
      <c r="B1841" s="1" t="s">
        <v>87</v>
      </c>
      <c r="C1841" s="1" t="s">
        <v>50</v>
      </c>
      <c r="D1841" s="1" t="s">
        <v>49</v>
      </c>
      <c r="E1841" s="1" t="s">
        <v>44</v>
      </c>
      <c r="F1841" s="1" t="s">
        <v>42</v>
      </c>
      <c r="G1841" s="1">
        <v>29583</v>
      </c>
      <c r="H1841" s="1">
        <f>'1_Departamento_n'!C34</f>
        <v>4628732</v>
      </c>
      <c r="I1841" s="1">
        <f>'1_Departamento_n'!H34</f>
        <v>1313</v>
      </c>
      <c r="J1841" s="1">
        <f>'0_Parametros'!B7</f>
        <v>10</v>
      </c>
      <c r="K1841" s="3">
        <f>(I1841-SUM($J$1794:$J$1849))*G1841/H1841</f>
        <v>4.812548879477144</v>
      </c>
      <c r="L1841" s="1">
        <f>INT(K1841)</f>
        <v>4</v>
      </c>
      <c r="M1841" s="3">
        <f>K1841-L1841</f>
        <v>0.812548879477144</v>
      </c>
      <c r="N1841" s="1">
        <f>COUNTIF($M$1794:$M$1849,"&gt;"&amp;M1841)+COUNTIF($M$1794:M1841,M1841)</f>
        <v>16</v>
      </c>
      <c r="O1841" s="1">
        <f>J1841+L1841+IF(N1841&lt;=I1841-SUM($J$1794:$J$1849)-SUM($L$1794:$L$1849),1,0)</f>
        <v>15</v>
      </c>
    </row>
    <row r="1842" spans="1:15">
      <c r="A1842" s="1" t="s">
        <v>83</v>
      </c>
      <c r="B1842" s="1" t="s">
        <v>87</v>
      </c>
      <c r="C1842" s="1" t="s">
        <v>50</v>
      </c>
      <c r="D1842" s="1" t="s">
        <v>49</v>
      </c>
      <c r="E1842" s="1" t="s">
        <v>45</v>
      </c>
      <c r="F1842" s="1" t="s">
        <v>41</v>
      </c>
      <c r="G1842" s="1">
        <v>132325</v>
      </c>
      <c r="H1842" s="1">
        <f>'1_Departamento_n'!C34</f>
        <v>4628732</v>
      </c>
      <c r="I1842" s="1">
        <f>'1_Departamento_n'!H34</f>
        <v>1313</v>
      </c>
      <c r="J1842" s="1">
        <f>'0_Parametros'!B7</f>
        <v>10</v>
      </c>
      <c r="K1842" s="3">
        <f>(I1842-SUM($J$1794:$J$1849))*G1842/H1842</f>
        <v>21.526570343670794</v>
      </c>
      <c r="L1842" s="1">
        <f>INT(K1842)</f>
        <v>21</v>
      </c>
      <c r="M1842" s="3">
        <f>K1842-L1842</f>
        <v>0.5265703436707945</v>
      </c>
      <c r="N1842" s="1">
        <f>COUNTIF($M$1794:$M$1849,"&gt;"&amp;M1842)+COUNTIF($M$1794:M1842,M1842)</f>
        <v>31</v>
      </c>
      <c r="O1842" s="1">
        <f>J1842+L1842+IF(N1842&lt;=I1842-SUM($J$1794:$J$1849)-SUM($L$1794:$L$1849),1,0)</f>
        <v>32</v>
      </c>
    </row>
    <row r="1843" spans="1:15">
      <c r="A1843" s="1" t="s">
        <v>83</v>
      </c>
      <c r="B1843" s="1" t="s">
        <v>87</v>
      </c>
      <c r="C1843" s="1" t="s">
        <v>50</v>
      </c>
      <c r="D1843" s="1" t="s">
        <v>49</v>
      </c>
      <c r="E1843" s="1" t="s">
        <v>45</v>
      </c>
      <c r="F1843" s="1" t="s">
        <v>42</v>
      </c>
      <c r="G1843" s="1">
        <v>27051</v>
      </c>
      <c r="H1843" s="1">
        <f>'1_Departamento_n'!C34</f>
        <v>4628732</v>
      </c>
      <c r="I1843" s="1">
        <f>'1_Departamento_n'!H34</f>
        <v>1313</v>
      </c>
      <c r="J1843" s="1">
        <f>'0_Parametros'!B7</f>
        <v>10</v>
      </c>
      <c r="K1843" s="3">
        <f>(I1843-SUM($J$1794:$J$1849))*G1843/H1843</f>
        <v>4.4006442801181835</v>
      </c>
      <c r="L1843" s="1">
        <f>INT(K1843)</f>
        <v>4</v>
      </c>
      <c r="M1843" s="3">
        <f>K1843-L1843</f>
        <v>0.40064428011818354</v>
      </c>
      <c r="N1843" s="1">
        <f>COUNTIF($M$1794:$M$1849,"&gt;"&amp;M1843)+COUNTIF($M$1794:M1843,M1843)</f>
        <v>40</v>
      </c>
      <c r="O1843" s="1">
        <f>J1843+L1843+IF(N1843&lt;=I1843-SUM($J$1794:$J$1849)-SUM($L$1794:$L$1849),1,0)</f>
        <v>14</v>
      </c>
    </row>
    <row r="1844" spans="1:15">
      <c r="A1844" s="1" t="s">
        <v>83</v>
      </c>
      <c r="B1844" s="1" t="s">
        <v>87</v>
      </c>
      <c r="C1844" s="1" t="s">
        <v>50</v>
      </c>
      <c r="D1844" s="1" t="s">
        <v>49</v>
      </c>
      <c r="E1844" s="1" t="s">
        <v>46</v>
      </c>
      <c r="F1844" s="1" t="s">
        <v>41</v>
      </c>
      <c r="G1844" s="1">
        <v>108137</v>
      </c>
      <c r="H1844" s="1">
        <f>'1_Departamento_n'!C34</f>
        <v>4628732</v>
      </c>
      <c r="I1844" s="1">
        <f>'1_Departamento_n'!H34</f>
        <v>1313</v>
      </c>
      <c r="J1844" s="1">
        <f>'0_Parametros'!B7</f>
        <v>10</v>
      </c>
      <c r="K1844" s="3">
        <f>(I1844-SUM($J$1794:$J$1849))*G1844/H1844</f>
        <v>17.5916775911848</v>
      </c>
      <c r="L1844" s="1">
        <f>INT(K1844)</f>
        <v>17</v>
      </c>
      <c r="M1844" s="3">
        <f>K1844-L1844</f>
        <v>0.5916775911848013</v>
      </c>
      <c r="N1844" s="1">
        <f>COUNTIF($M$1794:$M$1849,"&gt;"&amp;M1844)+COUNTIF($M$1794:M1844,M1844)</f>
        <v>28</v>
      </c>
      <c r="O1844" s="1">
        <f>J1844+L1844+IF(N1844&lt;=I1844-SUM($J$1794:$J$1849)-SUM($L$1794:$L$1849),1,0)</f>
        <v>28</v>
      </c>
    </row>
    <row r="1845" spans="1:15">
      <c r="A1845" s="1" t="s">
        <v>83</v>
      </c>
      <c r="B1845" s="1" t="s">
        <v>87</v>
      </c>
      <c r="C1845" s="1" t="s">
        <v>50</v>
      </c>
      <c r="D1845" s="1" t="s">
        <v>49</v>
      </c>
      <c r="E1845" s="1" t="s">
        <v>46</v>
      </c>
      <c r="F1845" s="1" t="s">
        <v>42</v>
      </c>
      <c r="G1845" s="1">
        <v>21508</v>
      </c>
      <c r="H1845" s="1">
        <f>'1_Departamento_n'!C34</f>
        <v>4628732</v>
      </c>
      <c r="I1845" s="1">
        <f>'1_Departamento_n'!H34</f>
        <v>1313</v>
      </c>
      <c r="J1845" s="1">
        <f>'0_Parametros'!B7</f>
        <v>10</v>
      </c>
      <c r="K1845" s="3">
        <f>(I1845-SUM($J$1794:$J$1849))*G1845/H1845</f>
        <v>3.4989115809686107</v>
      </c>
      <c r="L1845" s="1">
        <f>INT(K1845)</f>
        <v>3</v>
      </c>
      <c r="M1845" s="3">
        <f>K1845-L1845</f>
        <v>0.49891158096861066</v>
      </c>
      <c r="N1845" s="1">
        <f>COUNTIF($M$1794:$M$1849,"&gt;"&amp;M1845)+COUNTIF($M$1794:M1845,M1845)</f>
        <v>33</v>
      </c>
      <c r="O1845" s="1">
        <f>J1845+L1845+IF(N1845&lt;=I1845-SUM($J$1794:$J$1849)-SUM($L$1794:$L$1849),1,0)</f>
        <v>13</v>
      </c>
    </row>
    <row r="1846" spans="1:15">
      <c r="A1846" s="1" t="s">
        <v>83</v>
      </c>
      <c r="B1846" s="1" t="s">
        <v>87</v>
      </c>
      <c r="C1846" s="1" t="s">
        <v>50</v>
      </c>
      <c r="D1846" s="1" t="s">
        <v>49</v>
      </c>
      <c r="E1846" s="1" t="s">
        <v>47</v>
      </c>
      <c r="F1846" s="1" t="s">
        <v>41</v>
      </c>
      <c r="G1846" s="1">
        <v>94533</v>
      </c>
      <c r="H1846" s="1">
        <f>'1_Departamento_n'!C34</f>
        <v>4628732</v>
      </c>
      <c r="I1846" s="1">
        <f>'1_Departamento_n'!H34</f>
        <v>1313</v>
      </c>
      <c r="J1846" s="1">
        <f>'0_Parametros'!B7</f>
        <v>10</v>
      </c>
      <c r="K1846" s="3">
        <f>(I1846-SUM($J$1794:$J$1849))*G1846/H1846</f>
        <v>15.378585107109247</v>
      </c>
      <c r="L1846" s="1">
        <f>INT(K1846)</f>
        <v>15</v>
      </c>
      <c r="M1846" s="3">
        <f>K1846-L1846</f>
        <v>0.378585107109247</v>
      </c>
      <c r="N1846" s="1">
        <f>COUNTIF($M$1794:$M$1849,"&gt;"&amp;M1846)+COUNTIF($M$1794:M1846,M1846)</f>
        <v>42</v>
      </c>
      <c r="O1846" s="1">
        <f>J1846+L1846+IF(N1846&lt;=I1846-SUM($J$1794:$J$1849)-SUM($L$1794:$L$1849),1,0)</f>
        <v>25</v>
      </c>
    </row>
    <row r="1847" spans="1:15">
      <c r="A1847" s="1" t="s">
        <v>83</v>
      </c>
      <c r="B1847" s="1" t="s">
        <v>87</v>
      </c>
      <c r="C1847" s="1" t="s">
        <v>50</v>
      </c>
      <c r="D1847" s="1" t="s">
        <v>49</v>
      </c>
      <c r="E1847" s="1" t="s">
        <v>47</v>
      </c>
      <c r="F1847" s="1" t="s">
        <v>42</v>
      </c>
      <c r="G1847" s="1">
        <v>21120</v>
      </c>
      <c r="H1847" s="1">
        <f>'1_Departamento_n'!C34</f>
        <v>4628732</v>
      </c>
      <c r="I1847" s="1">
        <f>'1_Departamento_n'!H34</f>
        <v>1313</v>
      </c>
      <c r="J1847" s="1">
        <f>'0_Parametros'!B7</f>
        <v>10</v>
      </c>
      <c r="K1847" s="3">
        <f>(I1847-SUM($J$1794:$J$1849))*G1847/H1847</f>
        <v>3.435791918823557</v>
      </c>
      <c r="L1847" s="1">
        <f>INT(K1847)</f>
        <v>3</v>
      </c>
      <c r="M1847" s="3">
        <f>K1847-L1847</f>
        <v>0.43579191882355683</v>
      </c>
      <c r="N1847" s="1">
        <f>COUNTIF($M$1794:$M$1849,"&gt;"&amp;M1847)+COUNTIF($M$1794:M1847,M1847)</f>
        <v>37</v>
      </c>
      <c r="O1847" s="1">
        <f>J1847+L1847+IF(N1847&lt;=I1847-SUM($J$1794:$J$1849)-SUM($L$1794:$L$1849),1,0)</f>
        <v>13</v>
      </c>
    </row>
    <row r="1848" spans="1:15">
      <c r="A1848" s="1" t="s">
        <v>83</v>
      </c>
      <c r="B1848" s="1" t="s">
        <v>87</v>
      </c>
      <c r="C1848" s="1" t="s">
        <v>50</v>
      </c>
      <c r="D1848" s="1" t="s">
        <v>49</v>
      </c>
      <c r="E1848" s="1" t="s">
        <v>48</v>
      </c>
      <c r="F1848" s="1" t="s">
        <v>41</v>
      </c>
      <c r="G1848" s="1">
        <v>134368</v>
      </c>
      <c r="H1848" s="1">
        <f>'1_Departamento_n'!C34</f>
        <v>4628732</v>
      </c>
      <c r="I1848" s="1">
        <f>'1_Departamento_n'!H34</f>
        <v>1313</v>
      </c>
      <c r="J1848" s="1">
        <f>'0_Parametros'!B7</f>
        <v>10</v>
      </c>
      <c r="K1848" s="3">
        <f>(I1848-SUM($J$1794:$J$1849))*G1848/H1848</f>
        <v>21.858924647181993</v>
      </c>
      <c r="L1848" s="1">
        <f>INT(K1848)</f>
        <v>21</v>
      </c>
      <c r="M1848" s="3">
        <f>K1848-L1848</f>
        <v>0.8589246471819934</v>
      </c>
      <c r="N1848" s="1">
        <f>COUNTIF($M$1794:$M$1849,"&gt;"&amp;M1848)+COUNTIF($M$1794:M1848,M1848)</f>
        <v>7</v>
      </c>
      <c r="O1848" s="1">
        <f>J1848+L1848+IF(N1848&lt;=I1848-SUM($J$1794:$J$1849)-SUM($L$1794:$L$1849),1,0)</f>
        <v>32</v>
      </c>
    </row>
    <row r="1849" spans="1:15">
      <c r="A1849" s="1" t="s">
        <v>83</v>
      </c>
      <c r="B1849" s="1" t="s">
        <v>87</v>
      </c>
      <c r="C1849" s="1" t="s">
        <v>50</v>
      </c>
      <c r="D1849" s="1" t="s">
        <v>49</v>
      </c>
      <c r="E1849" s="1" t="s">
        <v>48</v>
      </c>
      <c r="F1849" s="1" t="s">
        <v>42</v>
      </c>
      <c r="G1849" s="1">
        <v>35850</v>
      </c>
      <c r="H1849" s="1">
        <f>'1_Departamento_n'!C34</f>
        <v>4628732</v>
      </c>
      <c r="I1849" s="1">
        <f>'1_Departamento_n'!H34</f>
        <v>1313</v>
      </c>
      <c r="J1849" s="1">
        <f>'0_Parametros'!B7</f>
        <v>10</v>
      </c>
      <c r="K1849" s="3">
        <f>(I1849-SUM($J$1794:$J$1849))*G1849/H1849</f>
        <v>5.832061566753055</v>
      </c>
      <c r="L1849" s="1">
        <f>INT(K1849)</f>
        <v>5</v>
      </c>
      <c r="M1849" s="3">
        <f>K1849-L1849</f>
        <v>0.8320615667530546</v>
      </c>
      <c r="N1849" s="1">
        <f>COUNTIF($M$1794:$M$1849,"&gt;"&amp;M1849)+COUNTIF($M$1794:M1849,M1849)</f>
        <v>10</v>
      </c>
      <c r="O1849" s="1">
        <f>J1849+L1849+IF(N1849&lt;=I1849-SUM($J$1794:$J$1849)-SUM($L$1794:$L$1849),1,0)</f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0.7109375" style="1" customWidth="1"/>
  </cols>
  <sheetData>
    <row r="1" spans="1:5">
      <c r="A1" s="2" t="s">
        <v>12</v>
      </c>
      <c r="B1" s="2" t="s">
        <v>13</v>
      </c>
      <c r="C1" s="2" t="s">
        <v>33</v>
      </c>
      <c r="D1" s="2" t="s">
        <v>34</v>
      </c>
      <c r="E1" s="2" t="s">
        <v>35</v>
      </c>
    </row>
    <row r="2" spans="1:5">
      <c r="A2" s="1" t="s">
        <v>36</v>
      </c>
      <c r="B2" s="1" t="s">
        <v>37</v>
      </c>
      <c r="C2" s="1">
        <f>'1_Departamento_n'!H2</f>
        <v>1313</v>
      </c>
      <c r="D2" s="1">
        <f>SUM('2_Asignacion_Celda'!O2:O57)</f>
        <v>1313</v>
      </c>
      <c r="E2" s="1">
        <f>D2-C2</f>
        <v>0</v>
      </c>
    </row>
    <row r="3" spans="1:5">
      <c r="A3" s="1" t="s">
        <v>51</v>
      </c>
      <c r="B3" s="1" t="s">
        <v>52</v>
      </c>
      <c r="C3" s="1">
        <f>'1_Departamento_n'!H3</f>
        <v>1313</v>
      </c>
      <c r="D3" s="1">
        <f>SUM('2_Asignacion_Celda'!O58:O113)</f>
        <v>1313</v>
      </c>
      <c r="E3" s="1">
        <f>D3-C3</f>
        <v>0</v>
      </c>
    </row>
    <row r="4" spans="1:5">
      <c r="A4" s="1" t="s">
        <v>51</v>
      </c>
      <c r="B4" s="1" t="s">
        <v>53</v>
      </c>
      <c r="C4" s="1">
        <f>'1_Departamento_n'!H4</f>
        <v>1312</v>
      </c>
      <c r="D4" s="1">
        <f>SUM('2_Asignacion_Celda'!O114:O169)</f>
        <v>1312</v>
      </c>
      <c r="E4" s="1">
        <f>D4-C4</f>
        <v>0</v>
      </c>
    </row>
    <row r="5" spans="1:5">
      <c r="A5" s="1" t="s">
        <v>51</v>
      </c>
      <c r="B5" s="1" t="s">
        <v>54</v>
      </c>
      <c r="C5" s="1">
        <f>'1_Departamento_n'!H5</f>
        <v>1312</v>
      </c>
      <c r="D5" s="1">
        <f>SUM('2_Asignacion_Celda'!O170:O225)</f>
        <v>1312</v>
      </c>
      <c r="E5" s="1">
        <f>D5-C5</f>
        <v>0</v>
      </c>
    </row>
    <row r="6" spans="1:5">
      <c r="A6" s="1" t="s">
        <v>51</v>
      </c>
      <c r="B6" s="1" t="s">
        <v>55</v>
      </c>
      <c r="C6" s="1">
        <f>'1_Departamento_n'!H6</f>
        <v>1312</v>
      </c>
      <c r="D6" s="1">
        <f>SUM('2_Asignacion_Celda'!O226:O281)</f>
        <v>1312</v>
      </c>
      <c r="E6" s="1">
        <f>D6-C6</f>
        <v>0</v>
      </c>
    </row>
    <row r="7" spans="1:5">
      <c r="A7" s="1" t="s">
        <v>51</v>
      </c>
      <c r="B7" s="1" t="s">
        <v>56</v>
      </c>
      <c r="C7" s="1">
        <f>'1_Departamento_n'!H7</f>
        <v>1312</v>
      </c>
      <c r="D7" s="1">
        <f>SUM('2_Asignacion_Celda'!O282:O337)</f>
        <v>1312</v>
      </c>
      <c r="E7" s="1">
        <f>D7-C7</f>
        <v>0</v>
      </c>
    </row>
    <row r="8" spans="1:5">
      <c r="A8" s="1" t="s">
        <v>51</v>
      </c>
      <c r="B8" s="1" t="s">
        <v>57</v>
      </c>
      <c r="C8" s="1">
        <f>'1_Departamento_n'!H8</f>
        <v>1312</v>
      </c>
      <c r="D8" s="1">
        <f>SUM('2_Asignacion_Celda'!O338:O393)</f>
        <v>1312</v>
      </c>
      <c r="E8" s="1">
        <f>D8-C8</f>
        <v>0</v>
      </c>
    </row>
    <row r="9" spans="1:5">
      <c r="A9" s="1" t="s">
        <v>51</v>
      </c>
      <c r="B9" s="1" t="s">
        <v>58</v>
      </c>
      <c r="C9" s="1">
        <f>'1_Departamento_n'!H9</f>
        <v>1293</v>
      </c>
      <c r="D9" s="1">
        <f>SUM('2_Asignacion_Celda'!O394:O449)</f>
        <v>1293</v>
      </c>
      <c r="E9" s="1">
        <f>D9-C9</f>
        <v>0</v>
      </c>
    </row>
    <row r="10" spans="1:5">
      <c r="A10" s="1" t="s">
        <v>51</v>
      </c>
      <c r="B10" s="1" t="s">
        <v>59</v>
      </c>
      <c r="C10" s="1">
        <f>'1_Departamento_n'!H10</f>
        <v>1312</v>
      </c>
      <c r="D10" s="1">
        <f>SUM('2_Asignacion_Celda'!O450:O505)</f>
        <v>1312</v>
      </c>
      <c r="E10" s="1">
        <f>D10-C10</f>
        <v>0</v>
      </c>
    </row>
    <row r="11" spans="1:5">
      <c r="A11" s="1" t="s">
        <v>60</v>
      </c>
      <c r="B11" s="1" t="s">
        <v>61</v>
      </c>
      <c r="C11" s="1">
        <f>'1_Departamento_n'!H11</f>
        <v>1313</v>
      </c>
      <c r="D11" s="1">
        <f>SUM('2_Asignacion_Celda'!O506:O561)</f>
        <v>1313</v>
      </c>
      <c r="E11" s="1">
        <f>D11-C11</f>
        <v>0</v>
      </c>
    </row>
    <row r="12" spans="1:5">
      <c r="A12" s="1" t="s">
        <v>60</v>
      </c>
      <c r="B12" s="1" t="s">
        <v>62</v>
      </c>
      <c r="C12" s="1">
        <f>'1_Departamento_n'!H12</f>
        <v>1312</v>
      </c>
      <c r="D12" s="1">
        <f>SUM('2_Asignacion_Celda'!O562:O617)</f>
        <v>1312</v>
      </c>
      <c r="E12" s="1">
        <f>D12-C12</f>
        <v>0</v>
      </c>
    </row>
    <row r="13" spans="1:5">
      <c r="A13" s="1" t="s">
        <v>60</v>
      </c>
      <c r="B13" s="1" t="s">
        <v>63</v>
      </c>
      <c r="C13" s="1">
        <f>'1_Departamento_n'!H13</f>
        <v>1310</v>
      </c>
      <c r="D13" s="1">
        <f>SUM('2_Asignacion_Celda'!O618:O673)</f>
        <v>1310</v>
      </c>
      <c r="E13" s="1">
        <f>D13-C13</f>
        <v>0</v>
      </c>
    </row>
    <row r="14" spans="1:5">
      <c r="A14" s="1" t="s">
        <v>60</v>
      </c>
      <c r="B14" s="1" t="s">
        <v>64</v>
      </c>
      <c r="C14" s="1">
        <f>'1_Departamento_n'!H14</f>
        <v>1312</v>
      </c>
      <c r="D14" s="1">
        <f>SUM('2_Asignacion_Celda'!O674:O729)</f>
        <v>1312</v>
      </c>
      <c r="E14" s="1">
        <f>D14-C14</f>
        <v>0</v>
      </c>
    </row>
    <row r="15" spans="1:5">
      <c r="A15" s="1" t="s">
        <v>60</v>
      </c>
      <c r="B15" s="1" t="s">
        <v>65</v>
      </c>
      <c r="C15" s="1">
        <f>'1_Departamento_n'!H15</f>
        <v>1311</v>
      </c>
      <c r="D15" s="1">
        <f>SUM('2_Asignacion_Celda'!O730:O785)</f>
        <v>1311</v>
      </c>
      <c r="E15" s="1">
        <f>D15-C15</f>
        <v>0</v>
      </c>
    </row>
    <row r="16" spans="1:5">
      <c r="A16" s="1" t="s">
        <v>60</v>
      </c>
      <c r="B16" s="1" t="s">
        <v>66</v>
      </c>
      <c r="C16" s="1">
        <f>'1_Departamento_n'!H16</f>
        <v>1312</v>
      </c>
      <c r="D16" s="1">
        <f>SUM('2_Asignacion_Celda'!O786:O841)</f>
        <v>1312</v>
      </c>
      <c r="E16" s="1">
        <f>D16-C16</f>
        <v>0</v>
      </c>
    </row>
    <row r="17" spans="1:5">
      <c r="A17" s="1" t="s">
        <v>60</v>
      </c>
      <c r="B17" s="1" t="s">
        <v>67</v>
      </c>
      <c r="C17" s="1">
        <f>'1_Departamento_n'!H17</f>
        <v>1312</v>
      </c>
      <c r="D17" s="1">
        <f>SUM('2_Asignacion_Celda'!O842:O897)</f>
        <v>1312</v>
      </c>
      <c r="E17" s="1">
        <f>D17-C17</f>
        <v>0</v>
      </c>
    </row>
    <row r="18" spans="1:5">
      <c r="A18" s="1" t="s">
        <v>68</v>
      </c>
      <c r="B18" s="1" t="s">
        <v>69</v>
      </c>
      <c r="C18" s="1">
        <f>'1_Departamento_n'!H18</f>
        <v>1312</v>
      </c>
      <c r="D18" s="1">
        <f>SUM('2_Asignacion_Celda'!O898:O953)</f>
        <v>1312</v>
      </c>
      <c r="E18" s="1">
        <f>D18-C18</f>
        <v>0</v>
      </c>
    </row>
    <row r="19" spans="1:5">
      <c r="A19" s="1" t="s">
        <v>68</v>
      </c>
      <c r="B19" s="1" t="s">
        <v>70</v>
      </c>
      <c r="C19" s="1">
        <f>'1_Departamento_n'!H19</f>
        <v>1313</v>
      </c>
      <c r="D19" s="1">
        <f>SUM('2_Asignacion_Celda'!O954:O1009)</f>
        <v>1313</v>
      </c>
      <c r="E19" s="1">
        <f>D19-C19</f>
        <v>0</v>
      </c>
    </row>
    <row r="20" spans="1:5">
      <c r="A20" s="1" t="s">
        <v>68</v>
      </c>
      <c r="B20" s="1" t="s">
        <v>71</v>
      </c>
      <c r="C20" s="1">
        <f>'1_Departamento_n'!H20</f>
        <v>1312</v>
      </c>
      <c r="D20" s="1">
        <f>SUM('2_Asignacion_Celda'!O1010:O1065)</f>
        <v>1312</v>
      </c>
      <c r="E20" s="1">
        <f>D20-C20</f>
        <v>0</v>
      </c>
    </row>
    <row r="21" spans="1:5">
      <c r="A21" s="1" t="s">
        <v>68</v>
      </c>
      <c r="B21" s="1" t="s">
        <v>72</v>
      </c>
      <c r="C21" s="1">
        <f>'1_Departamento_n'!H21</f>
        <v>1312</v>
      </c>
      <c r="D21" s="1">
        <f>SUM('2_Asignacion_Celda'!O1066:O1121)</f>
        <v>1312</v>
      </c>
      <c r="E21" s="1">
        <f>D21-C21</f>
        <v>0</v>
      </c>
    </row>
    <row r="22" spans="1:5">
      <c r="A22" s="1" t="s">
        <v>68</v>
      </c>
      <c r="B22" s="1" t="s">
        <v>73</v>
      </c>
      <c r="C22" s="1">
        <f>'1_Departamento_n'!H22</f>
        <v>1312</v>
      </c>
      <c r="D22" s="1">
        <f>SUM('2_Asignacion_Celda'!O1122:O1177)</f>
        <v>1312</v>
      </c>
      <c r="E22" s="1">
        <f>D22-C22</f>
        <v>0</v>
      </c>
    </row>
    <row r="23" spans="1:5">
      <c r="A23" s="1" t="s">
        <v>74</v>
      </c>
      <c r="B23" s="1" t="s">
        <v>75</v>
      </c>
      <c r="C23" s="1">
        <f>'1_Departamento_n'!H23</f>
        <v>1297</v>
      </c>
      <c r="D23" s="1">
        <f>SUM('2_Asignacion_Celda'!O1178:O1233)</f>
        <v>1297</v>
      </c>
      <c r="E23" s="1">
        <f>D23-C23</f>
        <v>0</v>
      </c>
    </row>
    <row r="24" spans="1:5">
      <c r="A24" s="1" t="s">
        <v>74</v>
      </c>
      <c r="B24" s="1" t="s">
        <v>76</v>
      </c>
      <c r="C24" s="1">
        <f>'1_Departamento_n'!H24</f>
        <v>1309</v>
      </c>
      <c r="D24" s="1">
        <f>SUM('2_Asignacion_Celda'!O1234:O1289)</f>
        <v>1309</v>
      </c>
      <c r="E24" s="1">
        <f>D24-C24</f>
        <v>0</v>
      </c>
    </row>
    <row r="25" spans="1:5">
      <c r="A25" s="1" t="s">
        <v>74</v>
      </c>
      <c r="B25" s="1" t="s">
        <v>77</v>
      </c>
      <c r="C25" s="1">
        <f>'1_Departamento_n'!H25</f>
        <v>1310</v>
      </c>
      <c r="D25" s="1">
        <f>SUM('2_Asignacion_Celda'!O1290:O1345)</f>
        <v>1310</v>
      </c>
      <c r="E25" s="1">
        <f>D25-C25</f>
        <v>0</v>
      </c>
    </row>
    <row r="26" spans="1:5">
      <c r="A26" s="1" t="s">
        <v>74</v>
      </c>
      <c r="B26" s="1" t="s">
        <v>78</v>
      </c>
      <c r="C26" s="1">
        <f>'1_Departamento_n'!H26</f>
        <v>1291</v>
      </c>
      <c r="D26" s="1">
        <f>SUM('2_Asignacion_Celda'!O1346:O1401)</f>
        <v>1291</v>
      </c>
      <c r="E26" s="1">
        <f>D26-C26</f>
        <v>0</v>
      </c>
    </row>
    <row r="27" spans="1:5">
      <c r="A27" s="1" t="s">
        <v>74</v>
      </c>
      <c r="B27" s="1" t="s">
        <v>79</v>
      </c>
      <c r="C27" s="1">
        <f>'1_Departamento_n'!H27</f>
        <v>1299</v>
      </c>
      <c r="D27" s="1">
        <f>SUM('2_Asignacion_Celda'!O1402:O1457)</f>
        <v>1299</v>
      </c>
      <c r="E27" s="1">
        <f>D27-C27</f>
        <v>0</v>
      </c>
    </row>
    <row r="28" spans="1:5">
      <c r="A28" s="1" t="s">
        <v>74</v>
      </c>
      <c r="B28" s="1" t="s">
        <v>80</v>
      </c>
      <c r="C28" s="1">
        <f>'1_Departamento_n'!H28</f>
        <v>1309</v>
      </c>
      <c r="D28" s="1">
        <f>SUM('2_Asignacion_Celda'!O1458:O1513)</f>
        <v>1309</v>
      </c>
      <c r="E28" s="1">
        <f>D28-C28</f>
        <v>0</v>
      </c>
    </row>
    <row r="29" spans="1:5">
      <c r="A29" s="1" t="s">
        <v>74</v>
      </c>
      <c r="B29" s="1" t="s">
        <v>81</v>
      </c>
      <c r="C29" s="1">
        <f>'1_Departamento_n'!H29</f>
        <v>1278</v>
      </c>
      <c r="D29" s="1">
        <f>SUM('2_Asignacion_Celda'!O1514:O1569)</f>
        <v>1278</v>
      </c>
      <c r="E29" s="1">
        <f>D29-C29</f>
        <v>0</v>
      </c>
    </row>
    <row r="30" spans="1:5">
      <c r="A30" s="1" t="s">
        <v>74</v>
      </c>
      <c r="B30" s="1" t="s">
        <v>82</v>
      </c>
      <c r="C30" s="1">
        <f>'1_Departamento_n'!H30</f>
        <v>1299</v>
      </c>
      <c r="D30" s="1">
        <f>SUM('2_Asignacion_Celda'!O1570:O1625)</f>
        <v>1299</v>
      </c>
      <c r="E30" s="1">
        <f>D30-C30</f>
        <v>0</v>
      </c>
    </row>
    <row r="31" spans="1:5">
      <c r="A31" s="1" t="s">
        <v>83</v>
      </c>
      <c r="B31" s="1" t="s">
        <v>84</v>
      </c>
      <c r="C31" s="1">
        <f>'1_Departamento_n'!H31</f>
        <v>1312</v>
      </c>
      <c r="D31" s="1">
        <f>SUM('2_Asignacion_Celda'!O1626:O1681)</f>
        <v>1312</v>
      </c>
      <c r="E31" s="1">
        <f>D31-C31</f>
        <v>0</v>
      </c>
    </row>
    <row r="32" spans="1:5">
      <c r="A32" s="1" t="s">
        <v>83</v>
      </c>
      <c r="B32" s="1" t="s">
        <v>85</v>
      </c>
      <c r="C32" s="1">
        <f>'1_Departamento_n'!H32</f>
        <v>1310</v>
      </c>
      <c r="D32" s="1">
        <f>SUM('2_Asignacion_Celda'!O1682:O1737)</f>
        <v>1310</v>
      </c>
      <c r="E32" s="1">
        <f>D32-C32</f>
        <v>0</v>
      </c>
    </row>
    <row r="33" spans="1:5">
      <c r="A33" s="1" t="s">
        <v>83</v>
      </c>
      <c r="B33" s="1" t="s">
        <v>86</v>
      </c>
      <c r="C33" s="1">
        <f>'1_Departamento_n'!H33</f>
        <v>1312</v>
      </c>
      <c r="D33" s="1">
        <f>SUM('2_Asignacion_Celda'!O1738:O1793)</f>
        <v>1312</v>
      </c>
      <c r="E33" s="1">
        <f>D33-C33</f>
        <v>0</v>
      </c>
    </row>
    <row r="34" spans="1:5">
      <c r="A34" s="1" t="s">
        <v>83</v>
      </c>
      <c r="B34" s="1" t="s">
        <v>87</v>
      </c>
      <c r="C34" s="1">
        <f>'1_Departamento_n'!H34</f>
        <v>1313</v>
      </c>
      <c r="D34" s="1">
        <f>SUM('2_Asignacion_Celda'!O1794:O1849)</f>
        <v>1313</v>
      </c>
      <c r="E34" s="1">
        <f>D34-C34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style="1" customWidth="1"/>
  </cols>
  <sheetData>
    <row r="1" spans="1:4">
      <c r="A1" s="2" t="s">
        <v>21</v>
      </c>
      <c r="B1" s="2" t="s">
        <v>14</v>
      </c>
      <c r="C1" s="2" t="s">
        <v>33</v>
      </c>
      <c r="D1" s="2" t="s">
        <v>88</v>
      </c>
    </row>
    <row r="2" spans="1:4">
      <c r="A2" s="1" t="s">
        <v>39</v>
      </c>
      <c r="B2" s="1">
        <f>SUMIF('2_Asignacion_Celda'!D2:D1849,A2,'2_Asignacion_Celda'!G2:G1849)</f>
        <v>25775997</v>
      </c>
      <c r="C2" s="1">
        <f>SUMIF('2_Asignacion_Celda'!D2:D1849,A2,'2_Asignacion_Celda'!O2:O1849)</f>
        <v>21768</v>
      </c>
      <c r="D2" s="4">
        <f>C2/SUM(C2:C3)</f>
        <v>0.5042040163991384</v>
      </c>
    </row>
    <row r="3" spans="1:4">
      <c r="A3" s="1" t="s">
        <v>49</v>
      </c>
      <c r="B3" s="1">
        <f>SUMIF('2_Asignacion_Celda'!D2:D1849,A3,'2_Asignacion_Celda'!G2:G1849)</f>
        <v>24392749</v>
      </c>
      <c r="C3" s="1">
        <f>SUMIF('2_Asignacion_Celda'!D2:D1849,A3,'2_Asignacion_Celda'!O2:O1849)</f>
        <v>21405</v>
      </c>
      <c r="D3" s="4">
        <f>C3/SUM(C2:C3)</f>
        <v>0.49579598360086163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style="1" customWidth="1"/>
  </cols>
  <sheetData>
    <row r="1" spans="1:4">
      <c r="A1" s="2" t="s">
        <v>22</v>
      </c>
      <c r="B1" s="2" t="s">
        <v>14</v>
      </c>
      <c r="C1" s="2" t="s">
        <v>33</v>
      </c>
      <c r="D1" s="2" t="s">
        <v>88</v>
      </c>
    </row>
    <row r="2" spans="1:4">
      <c r="A2" s="1" t="s">
        <v>40</v>
      </c>
      <c r="B2" s="1">
        <f>SUMIF('2_Asignacion_Celda'!E2:E1849,A2,'2_Asignacion_Celda'!G2:G1849)</f>
        <v>5744359</v>
      </c>
      <c r="C2" s="1">
        <f>SUMIF('2_Asignacion_Celda'!E2:E1849,A2,'2_Asignacion_Celda'!O2:O1849)</f>
        <v>5955</v>
      </c>
      <c r="D2" s="4">
        <f>C2/SUM(C2:C8)</f>
        <v>0.13793343061635743</v>
      </c>
    </row>
    <row r="3" spans="1:4">
      <c r="A3" s="1" t="s">
        <v>43</v>
      </c>
      <c r="B3" s="1">
        <f>SUMIF('2_Asignacion_Celda'!E2:E1849,A3,'2_Asignacion_Celda'!G2:G1849)</f>
        <v>7461675</v>
      </c>
      <c r="C3" s="1">
        <f>SUMIF('2_Asignacion_Celda'!E2:E1849,A3,'2_Asignacion_Celda'!O2:O1849)</f>
        <v>6686</v>
      </c>
      <c r="D3" s="4">
        <f>C3/SUM(C2:C8)</f>
        <v>0.15486530933685405</v>
      </c>
    </row>
    <row r="4" spans="1:4">
      <c r="A4" s="1" t="s">
        <v>44</v>
      </c>
      <c r="B4" s="1">
        <f>SUMIF('2_Asignacion_Celda'!E2:E1849,A4,'2_Asignacion_Celda'!G2:G1849)</f>
        <v>7965209</v>
      </c>
      <c r="C4" s="1">
        <f>SUMIF('2_Asignacion_Celda'!E2:E1849,A4,'2_Asignacion_Celda'!O2:O1849)</f>
        <v>6534</v>
      </c>
      <c r="D4" s="4">
        <f>C4/SUM(C2:C8)</f>
        <v>0.15134459036898062</v>
      </c>
    </row>
    <row r="5" spans="1:4">
      <c r="A5" s="1" t="s">
        <v>45</v>
      </c>
      <c r="B5" s="1">
        <f>SUMIF('2_Asignacion_Celda'!E2:E1849,A5,'2_Asignacion_Celda'!G2:G1849)</f>
        <v>7926389</v>
      </c>
      <c r="C5" s="1">
        <f>SUMIF('2_Asignacion_Celda'!E2:E1849,A5,'2_Asignacion_Celda'!O2:O1849)</f>
        <v>6419</v>
      </c>
      <c r="D5" s="4">
        <f>C5/SUM(C2:C8)</f>
        <v>0.1486808885182869</v>
      </c>
    </row>
    <row r="6" spans="1:4">
      <c r="A6" s="1" t="s">
        <v>46</v>
      </c>
      <c r="B6" s="1">
        <f>SUMIF('2_Asignacion_Celda'!E2:E1849,A6,'2_Asignacion_Celda'!G2:G1849)</f>
        <v>6751667</v>
      </c>
      <c r="C6" s="1">
        <f>SUMIF('2_Asignacion_Celda'!E2:E1849,A6,'2_Asignacion_Celda'!O2:O1849)</f>
        <v>5815</v>
      </c>
      <c r="D6" s="4">
        <f>C6/SUM(C2:C8)</f>
        <v>0.1346906631459477</v>
      </c>
    </row>
    <row r="7" spans="1:4">
      <c r="A7" s="1" t="s">
        <v>47</v>
      </c>
      <c r="B7" s="1">
        <f>SUMIF('2_Asignacion_Celda'!E2:E1849,A7,'2_Asignacion_Celda'!G2:G1849)</f>
        <v>5600016</v>
      </c>
      <c r="C7" s="1">
        <f>SUMIF('2_Asignacion_Celda'!E2:E1849,A7,'2_Asignacion_Celda'!O2:O1849)</f>
        <v>5248</v>
      </c>
      <c r="D7" s="4">
        <f>C7/SUM(C2:C8)</f>
        <v>0.12155745489078823</v>
      </c>
    </row>
    <row r="8" spans="1:4">
      <c r="A8" s="1" t="s">
        <v>48</v>
      </c>
      <c r="B8" s="1">
        <f>SUMIF('2_Asignacion_Celda'!E2:E1849,A8,'2_Asignacion_Celda'!G2:G1849)</f>
        <v>8719431</v>
      </c>
      <c r="C8" s="1">
        <f>SUMIF('2_Asignacion_Celda'!E2:E1849,A8,'2_Asignacion_Celda'!O2:O1849)</f>
        <v>6516</v>
      </c>
      <c r="D8" s="4">
        <f>C8/SUM(C2:C8)</f>
        <v>0.15092766312278508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style="1" customWidth="1"/>
  </cols>
  <sheetData>
    <row r="1" spans="1:4">
      <c r="A1" s="2" t="s">
        <v>23</v>
      </c>
      <c r="B1" s="2" t="s">
        <v>14</v>
      </c>
      <c r="C1" s="2" t="s">
        <v>33</v>
      </c>
      <c r="D1" s="2" t="s">
        <v>88</v>
      </c>
    </row>
    <row r="2" spans="1:4">
      <c r="A2" s="1" t="s">
        <v>41</v>
      </c>
      <c r="B2" s="1">
        <f>SUMIF('2_Asignacion_Celda'!F2:F1849,A2,'2_Asignacion_Celda'!G2:G1849)</f>
        <v>40083538</v>
      </c>
      <c r="C2" s="1">
        <f>SUMIF('2_Asignacion_Celda'!F2:F1849,A2,'2_Asignacion_Celda'!O2:O1849)</f>
        <v>25759</v>
      </c>
      <c r="D2" s="4">
        <f>C2/SUM(C2:C3)</f>
        <v>0.5966460519306048</v>
      </c>
    </row>
    <row r="3" spans="1:4">
      <c r="A3" s="1" t="s">
        <v>42</v>
      </c>
      <c r="B3" s="1">
        <f>SUMIF('2_Asignacion_Celda'!F2:F1849,A3,'2_Asignacion_Celda'!G2:G1849)</f>
        <v>10085208</v>
      </c>
      <c r="C3" s="1">
        <f>SUMIF('2_Asignacion_Celda'!F2:F1849,A3,'2_Asignacion_Celda'!O2:O1849)</f>
        <v>17414</v>
      </c>
      <c r="D3" s="4">
        <f>C3/SUM(C2:C3)</f>
        <v>0.40335394806939523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style="1" customWidth="1"/>
  </cols>
  <sheetData>
    <row r="1" spans="1:4">
      <c r="A1" s="2" t="s">
        <v>20</v>
      </c>
      <c r="B1" s="2" t="s">
        <v>14</v>
      </c>
      <c r="C1" s="2" t="s">
        <v>33</v>
      </c>
      <c r="D1" s="2" t="s">
        <v>88</v>
      </c>
    </row>
    <row r="2" spans="1:4">
      <c r="A2" s="1" t="s">
        <v>38</v>
      </c>
      <c r="B2" s="1">
        <f>SUMIF('2_Asignacion_Celda'!C2:C1849,A2,'2_Asignacion_Celda'!G2:G1849)</f>
        <v>23224623</v>
      </c>
      <c r="C2" s="1">
        <f>SUMIF('2_Asignacion_Celda'!C2:C1849,A2,'2_Asignacion_Celda'!O2:O1849)</f>
        <v>17505</v>
      </c>
      <c r="D2" s="4">
        <f>C2/SUM(C2:C3)</f>
        <v>0.40546174692516157</v>
      </c>
    </row>
    <row r="3" spans="1:4">
      <c r="A3" s="1" t="s">
        <v>50</v>
      </c>
      <c r="B3" s="1">
        <f>SUMIF('2_Asignacion_Celda'!C2:C1849,A3,'2_Asignacion_Celda'!G2:G1849)</f>
        <v>26944123</v>
      </c>
      <c r="C3" s="1">
        <f>SUMIF('2_Asignacion_Celda'!C2:C1849,A3,'2_Asignacion_Celda'!O2:O1849)</f>
        <v>25668</v>
      </c>
      <c r="D3" s="4">
        <f>C3/SUM(C2:C3)</f>
        <v>0.5945382530748384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style="1" customWidth="1"/>
  </cols>
  <sheetData>
    <row r="1" spans="1:4">
      <c r="A1" s="2" t="s">
        <v>12</v>
      </c>
      <c r="B1" s="2" t="s">
        <v>14</v>
      </c>
      <c r="C1" s="2" t="s">
        <v>33</v>
      </c>
      <c r="D1" s="2" t="s">
        <v>88</v>
      </c>
    </row>
    <row r="2" spans="1:4">
      <c r="A2" s="1" t="s">
        <v>36</v>
      </c>
      <c r="B2" s="1">
        <f>SUMIF('2_Asignacion_Celda'!A2:A1849,A2,'2_Asignacion_Celda'!G2:G1849)</f>
        <v>7780253</v>
      </c>
      <c r="C2" s="1">
        <f>SUMIF('2_Asignacion_Celda'!A2:A1849,A2,'2_Asignacion_Celda'!O2:O1849)</f>
        <v>1313</v>
      </c>
      <c r="D2" s="4">
        <f>C2/SUM(C2:C7)</f>
        <v>0.0304125263474857</v>
      </c>
    </row>
    <row r="3" spans="1:4">
      <c r="A3" s="1" t="s">
        <v>51</v>
      </c>
      <c r="B3" s="1">
        <f>SUMIF('2_Asignacion_Celda'!A2:A1849,A3,'2_Asignacion_Celda'!G2:G1849)</f>
        <v>11666255</v>
      </c>
      <c r="C3" s="1">
        <f>SUMIF('2_Asignacion_Celda'!A2:A1849,A3,'2_Asignacion_Celda'!O2:O1849)</f>
        <v>10478</v>
      </c>
      <c r="D3" s="4">
        <f>C3/SUM(C2:C7)</f>
        <v>0.2426979825353809</v>
      </c>
    </row>
    <row r="4" spans="1:4">
      <c r="A4" s="1" t="s">
        <v>60</v>
      </c>
      <c r="B4" s="1">
        <f>SUMIF('2_Asignacion_Celda'!A2:A1849,A4,'2_Asignacion_Celda'!G2:G1849)</f>
        <v>12414228</v>
      </c>
      <c r="C4" s="1">
        <f>SUMIF('2_Asignacion_Celda'!A2:A1849,A4,'2_Asignacion_Celda'!O2:O1849)</f>
        <v>9182</v>
      </c>
      <c r="D4" s="4">
        <f>C4/SUM(C2:C7)</f>
        <v>0.2126792208093021</v>
      </c>
    </row>
    <row r="5" spans="1:4">
      <c r="A5" s="1" t="s">
        <v>68</v>
      </c>
      <c r="B5" s="1">
        <f>SUMIF('2_Asignacion_Celda'!A2:A1849,A5,'2_Asignacion_Celda'!G2:G1849)</f>
        <v>9033646</v>
      </c>
      <c r="C5" s="1">
        <f>SUMIF('2_Asignacion_Celda'!A2:A1849,A5,'2_Asignacion_Celda'!O2:O1849)</f>
        <v>6561</v>
      </c>
      <c r="D5" s="4">
        <f>C5/SUM(C2:C7)</f>
        <v>0.15196998123827393</v>
      </c>
    </row>
    <row r="6" spans="1:4">
      <c r="A6" s="1" t="s">
        <v>74</v>
      </c>
      <c r="B6" s="1">
        <f>SUMIF('2_Asignacion_Celda'!A2:A1849,A6,'2_Asignacion_Celda'!G2:G1849)</f>
        <v>1428022</v>
      </c>
      <c r="C6" s="1">
        <f>SUMIF('2_Asignacion_Celda'!A2:A1849,A6,'2_Asignacion_Celda'!O2:O1849)</f>
        <v>10392</v>
      </c>
      <c r="D6" s="4">
        <f>C6/SUM(C2:C7)</f>
        <v>0.24070599680355778</v>
      </c>
    </row>
    <row r="7" spans="1:4">
      <c r="A7" s="1" t="s">
        <v>83</v>
      </c>
      <c r="B7" s="1">
        <f>SUMIF('2_Asignacion_Celda'!A2:A1849,A7,'2_Asignacion_Celda'!G2:G1849)</f>
        <v>7846342</v>
      </c>
      <c r="C7" s="1">
        <f>SUMIF('2_Asignacion_Celda'!A2:A1849,A7,'2_Asignacion_Celda'!O2:O1849)</f>
        <v>5247</v>
      </c>
      <c r="D7" s="4">
        <f>C7/SUM(C2:C7)</f>
        <v>0.12153429226599959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0_Parametros</vt:lpstr>
      <vt:lpstr>1_Departamento_n</vt:lpstr>
      <vt:lpstr>2_Asignacion_Celda</vt:lpstr>
      <vt:lpstr>3_Chequeo_Cuadre</vt:lpstr>
      <vt:lpstr>4_Resumen_Sexo</vt:lpstr>
      <vt:lpstr>5_Resumen_Edad</vt:lpstr>
      <vt:lpstr>6_Resumen_Zona</vt:lpstr>
      <vt:lpstr>7_Resumen_Regimen</vt:lpstr>
      <vt:lpstr>8_Resumen_Region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2026-10-05T15:21:40Z</dcterms:created>
  <dcterms:modified xsi:type="dcterms:W3CDTF">2026-10-05T15:21:40Z</dcterms:modified>
</cp:coreProperties>
</file>